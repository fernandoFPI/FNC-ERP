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E:\FNC Factory 2024\جرودات\"/>
    </mc:Choice>
  </mc:AlternateContent>
  <xr:revisionPtr revIDLastSave="0" documentId="13_ncr:1_{B967E56F-76A0-4205-A977-E3260FFBE413}" xr6:coauthVersionLast="47" xr6:coauthVersionMax="47" xr10:uidLastSave="{00000000-0000-0000-0000-000000000000}"/>
  <bookViews>
    <workbookView xWindow="-120" yWindow="-120" windowWidth="29040" windowHeight="15720" tabRatio="957" firstSheet="1" activeTab="2" xr2:uid="{00000000-000D-0000-FFFF-FFFF00000000}"/>
  </bookViews>
  <sheets>
    <sheet name="Summary" sheetId="17" r:id="rId1"/>
    <sheet name="Steel Store" sheetId="9" r:id="rId2"/>
    <sheet name="General Store" sheetId="1" r:id="rId3"/>
    <sheet name="Electrical Equipment Store" sheetId="12" r:id="rId4"/>
    <sheet name="Plumbing Store" sheetId="14" r:id="rId5"/>
    <sheet name="PVC Store" sheetId="13" r:id="rId6"/>
    <sheet name="Paint Store" sheetId="16" r:id="rId7"/>
    <sheet name="AC Unit Store" sheetId="3" r:id="rId8"/>
    <sheet name="Furniture Store" sheetId="5" r:id="rId9"/>
    <sheet name="Work Tools Store   " sheetId="19" r:id="rId10"/>
    <sheet name="Sandwich , Plywood ,Vinyl" sheetId="7" r:id="rId11"/>
    <sheet name="Safety Store" sheetId="4" r:id="rId12"/>
    <sheet name="General Construction Store" sheetId="6" r:id="rId13"/>
    <sheet name="Cleaning Materials Store " sheetId="15" r:id="rId14"/>
    <sheet name="Outside Area Cables" sheetId="23"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xlnm._FilterDatabase" localSheetId="7" hidden="1">'AC Unit Store'!$A$4:$I$4</definedName>
    <definedName name="_xlnm._FilterDatabase" localSheetId="3" hidden="1">'Electrical Equipment Store'!$A$4:$I$795</definedName>
    <definedName name="_xlnm._FilterDatabase" localSheetId="12" hidden="1">'General Construction Store'!$A$4:$H$4</definedName>
    <definedName name="_xlnm._FilterDatabase" localSheetId="2" hidden="1">'General Store'!$A$4:$H$405</definedName>
    <definedName name="_xlnm._FilterDatabase" localSheetId="14" hidden="1">'Outside Area Cables'!$A$3:$J$160</definedName>
    <definedName name="_xlnm._FilterDatabase" localSheetId="6" hidden="1">'Paint Store'!$A$4:$H$138</definedName>
    <definedName name="_xlnm._FilterDatabase" localSheetId="4" hidden="1">'Plumbing Store'!$A$4:$H$821</definedName>
    <definedName name="_xlnm._FilterDatabase" localSheetId="5" hidden="1">'PVC Store'!$A$4:$H$4</definedName>
    <definedName name="_xlnm._FilterDatabase" localSheetId="10" hidden="1">'Sandwich , Plywood ,Vinyl'!$A$4:$H$178</definedName>
    <definedName name="_xlnm._FilterDatabase" localSheetId="1" hidden="1">'Steel Store'!$A$4:$H$4</definedName>
    <definedName name="_xlnm._FilterDatabase" localSheetId="9" hidden="1">'Work Tools Store   '!$A$4:$H$49</definedName>
    <definedName name="_xlnm.Print_Titles" localSheetId="7">'AC Unit Store'!$1:$4</definedName>
    <definedName name="_xlnm.Print_Titles" localSheetId="3">'Electrical Equipment Store'!$1:$4</definedName>
    <definedName name="_xlnm.Print_Titles" localSheetId="8">'Furniture Store'!$1:$4</definedName>
    <definedName name="_xlnm.Print_Titles" localSheetId="12">'General Construction Store'!$1:$4</definedName>
    <definedName name="_xlnm.Print_Titles" localSheetId="2">'General Store'!$1:$4</definedName>
    <definedName name="_xlnm.Print_Titles" localSheetId="14">'Outside Area Cables'!$1:$3</definedName>
    <definedName name="_xlnm.Print_Titles" localSheetId="6">'Paint Store'!$1:$4</definedName>
    <definedName name="_xlnm.Print_Titles" localSheetId="4">'Plumbing Store'!$1:$4</definedName>
    <definedName name="_xlnm.Print_Titles" localSheetId="5">'PVC Store'!$1:$4</definedName>
    <definedName name="_xlnm.Print_Titles" localSheetId="11">'Safety Store'!$1:$4</definedName>
    <definedName name="_xlnm.Print_Titles" localSheetId="10">'Sandwich , Plywood ,Vinyl'!$1:$4</definedName>
    <definedName name="_xlnm.Print_Titles" localSheetId="1">'Steel Store'!$2:$5</definedName>
    <definedName name="_xlnm.Print_Titles" localSheetId="9">'Work Tools Store   '!$2:$4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23" l="1"/>
  <c r="A2" i="15"/>
  <c r="A2" i="6"/>
  <c r="A2" i="4"/>
  <c r="A2" i="7"/>
  <c r="A2" i="19"/>
  <c r="A2" i="5"/>
  <c r="A2" i="3"/>
  <c r="A2" i="16"/>
  <c r="A2" i="13"/>
  <c r="A2" i="14"/>
  <c r="A2" i="12"/>
  <c r="A2" i="1"/>
  <c r="A2" i="9"/>
  <c r="A3" i="17"/>
  <c r="C20" i="17"/>
  <c r="F824" i="14"/>
  <c r="F825" i="14"/>
  <c r="F826" i="14"/>
  <c r="F822" i="14"/>
  <c r="E824" i="14"/>
  <c r="E825" i="14"/>
  <c r="E826" i="14"/>
  <c r="E85" i="1"/>
  <c r="F85" i="1"/>
  <c r="E134" i="1"/>
  <c r="F134" i="1"/>
  <c r="E261" i="1"/>
  <c r="F261" i="1"/>
  <c r="E390" i="1"/>
  <c r="F390" i="1"/>
  <c r="E391" i="1"/>
  <c r="F391" i="1"/>
  <c r="E392" i="1"/>
  <c r="F392" i="1"/>
  <c r="E393" i="1"/>
  <c r="F393" i="1"/>
  <c r="E394" i="1"/>
  <c r="F394" i="1"/>
  <c r="E395" i="1"/>
  <c r="F395" i="1"/>
  <c r="E396" i="1"/>
  <c r="F396" i="1"/>
  <c r="E397" i="1"/>
  <c r="F397" i="1"/>
  <c r="E398" i="1"/>
  <c r="F398" i="1"/>
  <c r="G826" i="14" l="1"/>
  <c r="G825" i="14"/>
  <c r="E103" i="4"/>
  <c r="E87" i="4"/>
  <c r="B81" i="4"/>
  <c r="E78" i="4"/>
  <c r="B73" i="4"/>
  <c r="E59" i="4"/>
  <c r="E54" i="4"/>
  <c r="E35" i="4"/>
  <c r="E41" i="9" l="1"/>
  <c r="F41" i="9"/>
  <c r="B97" i="6" l="1"/>
  <c r="B96" i="6"/>
  <c r="B93" i="6"/>
  <c r="F75" i="7"/>
  <c r="E75" i="7"/>
  <c r="F66" i="7"/>
  <c r="E66" i="7"/>
  <c r="F65" i="7"/>
  <c r="E65" i="7"/>
  <c r="F63" i="7"/>
  <c r="E63" i="7"/>
  <c r="F62" i="7"/>
  <c r="E62" i="7"/>
  <c r="F56" i="7"/>
  <c r="E56" i="7"/>
  <c r="F47" i="7"/>
  <c r="E47" i="7"/>
  <c r="F46" i="7"/>
  <c r="E46" i="7"/>
  <c r="F45" i="7"/>
  <c r="E45" i="7"/>
  <c r="F44" i="7"/>
  <c r="E44" i="7"/>
  <c r="F43" i="7"/>
  <c r="E43" i="7"/>
  <c r="F42" i="7"/>
  <c r="E42" i="7"/>
  <c r="F69" i="3"/>
  <c r="E69" i="3"/>
  <c r="F68" i="3"/>
  <c r="E68" i="3"/>
  <c r="F67" i="3"/>
  <c r="E67" i="3"/>
  <c r="F66" i="3"/>
  <c r="E66" i="3"/>
  <c r="F47" i="3"/>
  <c r="E47" i="3"/>
  <c r="F44" i="3"/>
  <c r="E44" i="3"/>
  <c r="F41" i="3"/>
  <c r="E41" i="3"/>
  <c r="F37" i="3"/>
  <c r="E37" i="3"/>
  <c r="F20" i="3"/>
  <c r="E20" i="3"/>
  <c r="F19" i="3"/>
  <c r="E19" i="3"/>
  <c r="F17" i="3"/>
  <c r="E17" i="3"/>
  <c r="F15" i="3"/>
  <c r="E15" i="3"/>
  <c r="F14" i="3"/>
  <c r="E14" i="3"/>
  <c r="F13" i="3"/>
  <c r="E13" i="3"/>
  <c r="F10" i="3"/>
  <c r="E10" i="3"/>
  <c r="F8" i="3"/>
  <c r="E8" i="3"/>
  <c r="F7" i="3"/>
  <c r="E7" i="3"/>
  <c r="F6" i="3"/>
  <c r="E6" i="3"/>
  <c r="B41" i="16"/>
  <c r="B26" i="16"/>
  <c r="C6" i="16"/>
  <c r="F82" i="13"/>
  <c r="E82" i="13"/>
  <c r="F74" i="13"/>
  <c r="E74" i="13"/>
  <c r="E73" i="13"/>
  <c r="F71" i="13"/>
  <c r="E71" i="13"/>
  <c r="F70" i="13"/>
  <c r="E70" i="13"/>
  <c r="F62" i="13"/>
  <c r="E62" i="13"/>
  <c r="F58" i="13"/>
  <c r="E58" i="13"/>
  <c r="F57" i="13"/>
  <c r="E57" i="13"/>
  <c r="F56" i="13"/>
  <c r="E56" i="13"/>
  <c r="F55" i="13"/>
  <c r="E55" i="13"/>
  <c r="F54" i="13"/>
  <c r="E54" i="13"/>
  <c r="F53" i="13"/>
  <c r="E53" i="13"/>
  <c r="F52" i="13"/>
  <c r="E52" i="13"/>
  <c r="F51" i="13"/>
  <c r="E51" i="13"/>
  <c r="F46" i="13"/>
  <c r="E46" i="13"/>
  <c r="F45" i="13"/>
  <c r="E45" i="13"/>
  <c r="F43" i="13"/>
  <c r="E43" i="13"/>
  <c r="F41" i="13"/>
  <c r="E41" i="13"/>
  <c r="F40" i="13"/>
  <c r="E40" i="13"/>
  <c r="F11" i="13"/>
  <c r="E11" i="13"/>
  <c r="F5" i="13"/>
  <c r="E5" i="13"/>
  <c r="C32" i="1"/>
  <c r="G397" i="1" l="1"/>
  <c r="G394" i="1"/>
  <c r="G396" i="1"/>
  <c r="G393" i="1"/>
  <c r="G395" i="1"/>
  <c r="G392" i="1"/>
  <c r="G391" i="1"/>
  <c r="G398" i="1"/>
  <c r="G390" i="1"/>
  <c r="G134" i="1"/>
  <c r="G261" i="1"/>
  <c r="G85" i="1"/>
  <c r="G11" i="13" l="1"/>
  <c r="G5" i="13"/>
  <c r="G40" i="13" l="1"/>
  <c r="G70" i="13" l="1"/>
  <c r="G62" i="13"/>
  <c r="G57" i="13"/>
  <c r="G71" i="13"/>
  <c r="G46" i="13"/>
  <c r="G54" i="13"/>
  <c r="G51" i="13" l="1"/>
  <c r="G45" i="13"/>
  <c r="G43" i="13"/>
  <c r="G74" i="13" l="1"/>
  <c r="G53" i="13" l="1"/>
  <c r="G82" i="13"/>
  <c r="G56" i="13" l="1"/>
  <c r="G58" i="13"/>
  <c r="G52" i="13"/>
  <c r="G55" i="13" l="1"/>
  <c r="G41" i="13" l="1"/>
  <c r="G56" i="7" l="1"/>
  <c r="G46" i="7"/>
  <c r="G42" i="7"/>
  <c r="G65" i="7"/>
  <c r="G44" i="7" l="1"/>
  <c r="G75" i="7"/>
  <c r="G43" i="7"/>
  <c r="G63" i="7"/>
  <c r="G45" i="7"/>
  <c r="G47" i="7" l="1"/>
  <c r="G66" i="7"/>
  <c r="G62" i="7"/>
  <c r="G37" i="3" l="1"/>
  <c r="G47" i="3"/>
  <c r="G41" i="9" l="1"/>
  <c r="G67" i="3" l="1"/>
  <c r="G66" i="3"/>
  <c r="G7" i="3"/>
  <c r="G10" i="3"/>
  <c r="G44" i="3"/>
  <c r="G19" i="3"/>
  <c r="G68" i="3"/>
  <c r="G14" i="3" l="1"/>
  <c r="G20" i="3"/>
  <c r="G13" i="3"/>
  <c r="G17" i="3"/>
  <c r="G6" i="3"/>
  <c r="G41" i="3" l="1"/>
  <c r="G8" i="3"/>
  <c r="G15" i="3"/>
  <c r="G69" i="3" l="1"/>
  <c r="E114" i="4" l="1"/>
  <c r="E34" i="4" l="1"/>
  <c r="E109" i="4"/>
  <c r="F114" i="4" l="1"/>
  <c r="G114" i="4" s="1"/>
  <c r="G824" i="14" l="1"/>
  <c r="E70" i="3" l="1"/>
  <c r="F70" i="3"/>
  <c r="E16" i="3"/>
  <c r="F16" i="3"/>
  <c r="E64" i="3"/>
  <c r="E65" i="3"/>
  <c r="E63" i="3"/>
  <c r="F58" i="3"/>
  <c r="E57" i="3"/>
  <c r="F57" i="3"/>
  <c r="G57" i="3" s="1"/>
  <c r="E59" i="3"/>
  <c r="F59" i="3"/>
  <c r="E62" i="3"/>
  <c r="E61" i="3"/>
  <c r="F61" i="3"/>
  <c r="E60" i="3"/>
  <c r="E52" i="3"/>
  <c r="F52" i="3"/>
  <c r="E55" i="3"/>
  <c r="F55" i="3"/>
  <c r="E54" i="3"/>
  <c r="E12" i="3"/>
  <c r="F12" i="3"/>
  <c r="G12" i="3" s="1"/>
  <c r="E49" i="3"/>
  <c r="E51" i="3"/>
  <c r="F48" i="3"/>
  <c r="E46" i="3"/>
  <c r="E45" i="3"/>
  <c r="E30" i="3"/>
  <c r="F30" i="3"/>
  <c r="G30" i="3" s="1"/>
  <c r="E43" i="3"/>
  <c r="E40" i="3"/>
  <c r="F40" i="3"/>
  <c r="E42" i="3"/>
  <c r="E39" i="3"/>
  <c r="E38" i="3"/>
  <c r="F38" i="3"/>
  <c r="G38" i="3" s="1"/>
  <c r="E36" i="3"/>
  <c r="F36" i="3"/>
  <c r="G36" i="3" s="1"/>
  <c r="F34" i="3"/>
  <c r="E33" i="3"/>
  <c r="F33" i="3"/>
  <c r="G33" i="3" s="1"/>
  <c r="E32" i="3"/>
  <c r="F32" i="3"/>
  <c r="E35" i="3"/>
  <c r="E31" i="3"/>
  <c r="F31" i="3"/>
  <c r="G31" i="3" s="1"/>
  <c r="E72" i="3"/>
  <c r="F72" i="3"/>
  <c r="E29" i="3"/>
  <c r="F29" i="3"/>
  <c r="E28" i="3"/>
  <c r="E27" i="3"/>
  <c r="E26" i="3"/>
  <c r="F26" i="3"/>
  <c r="E25" i="3"/>
  <c r="F25" i="3"/>
  <c r="F24" i="3"/>
  <c r="F23" i="3"/>
  <c r="E22" i="3"/>
  <c r="F22" i="3"/>
  <c r="G22" i="3" s="1"/>
  <c r="E18" i="3"/>
  <c r="F18" i="3"/>
  <c r="E21" i="3"/>
  <c r="E71" i="3"/>
  <c r="E11" i="3"/>
  <c r="F11" i="3"/>
  <c r="G11" i="3" s="1"/>
  <c r="E73" i="3"/>
  <c r="F73" i="3"/>
  <c r="E5" i="3"/>
  <c r="F63" i="3"/>
  <c r="E58" i="3"/>
  <c r="E56" i="3"/>
  <c r="F54" i="3"/>
  <c r="G54" i="3" s="1"/>
  <c r="F53" i="3"/>
  <c r="E53" i="3"/>
  <c r="E50" i="3"/>
  <c r="E48" i="3"/>
  <c r="F46" i="3"/>
  <c r="G46" i="3" s="1"/>
  <c r="E34" i="3"/>
  <c r="E24" i="3"/>
  <c r="E23" i="3"/>
  <c r="G25" i="3" l="1"/>
  <c r="G52" i="3"/>
  <c r="G72" i="3"/>
  <c r="G53" i="3"/>
  <c r="G40" i="3"/>
  <c r="G63" i="3"/>
  <c r="G55" i="3"/>
  <c r="G16" i="3"/>
  <c r="G61" i="3"/>
  <c r="G34" i="3"/>
  <c r="G18" i="3"/>
  <c r="G26" i="3"/>
  <c r="G32" i="3"/>
  <c r="G23" i="3"/>
  <c r="G58" i="3"/>
  <c r="G24" i="3"/>
  <c r="G73" i="3"/>
  <c r="G48" i="3"/>
  <c r="G29" i="3"/>
  <c r="G59" i="3"/>
  <c r="G70" i="3"/>
  <c r="F45" i="3"/>
  <c r="G45" i="3" s="1"/>
  <c r="F43" i="3"/>
  <c r="G43" i="3" s="1"/>
  <c r="F28" i="3"/>
  <c r="G28" i="3" s="1"/>
  <c r="F49" i="3"/>
  <c r="G49" i="3" s="1"/>
  <c r="F42" i="3"/>
  <c r="G42" i="3" s="1"/>
  <c r="E9" i="3"/>
  <c r="F51" i="3"/>
  <c r="G51" i="3" s="1"/>
  <c r="F27" i="3"/>
  <c r="G27" i="3" s="1"/>
  <c r="F35" i="3"/>
  <c r="G35" i="3" s="1"/>
  <c r="F50" i="3"/>
  <c r="G50" i="3" s="1"/>
  <c r="F5" i="3"/>
  <c r="F9" i="3"/>
  <c r="G9" i="3" l="1"/>
  <c r="F39" i="3"/>
  <c r="G39" i="3" s="1"/>
  <c r="G5" i="3"/>
  <c r="F65" i="3"/>
  <c r="G65" i="3" s="1"/>
  <c r="F60" i="3"/>
  <c r="G60" i="3" s="1"/>
  <c r="F64" i="3"/>
  <c r="G64" i="3" s="1"/>
  <c r="F21" i="3" l="1"/>
  <c r="F62" i="3"/>
  <c r="G62" i="3" s="1"/>
  <c r="F56" i="3"/>
  <c r="G56" i="3" s="1"/>
  <c r="G21" i="3" l="1"/>
  <c r="F71" i="3" l="1"/>
  <c r="G71" i="3" l="1"/>
  <c r="G75" i="3" s="1"/>
  <c r="C13" i="17" s="1"/>
  <c r="F75" i="3"/>
  <c r="F54" i="9" l="1"/>
  <c r="E63" i="9"/>
  <c r="F63" i="9"/>
  <c r="F50" i="9"/>
  <c r="E55" i="9"/>
  <c r="E32" i="9"/>
  <c r="G32" i="9" s="1"/>
  <c r="F32" i="9"/>
  <c r="E5" i="9"/>
  <c r="E31" i="9"/>
  <c r="F31" i="9"/>
  <c r="E59" i="9"/>
  <c r="E28" i="9"/>
  <c r="E30" i="9"/>
  <c r="E29" i="9"/>
  <c r="F29" i="9"/>
  <c r="E27" i="9"/>
  <c r="F26" i="9"/>
  <c r="E25" i="9"/>
  <c r="E62" i="9"/>
  <c r="F24" i="9"/>
  <c r="E52" i="9"/>
  <c r="E54" i="9"/>
  <c r="G54" i="9" s="1"/>
  <c r="E53" i="9"/>
  <c r="F53" i="9"/>
  <c r="F51" i="9"/>
  <c r="E49" i="9"/>
  <c r="E47" i="9"/>
  <c r="E46" i="9"/>
  <c r="F46" i="9"/>
  <c r="E57" i="9"/>
  <c r="F57" i="9"/>
  <c r="E44" i="9"/>
  <c r="E43" i="9"/>
  <c r="F43" i="9"/>
  <c r="E42" i="9"/>
  <c r="E38" i="9"/>
  <c r="F38" i="9"/>
  <c r="E40" i="9"/>
  <c r="F40" i="9"/>
  <c r="E37" i="9"/>
  <c r="F37" i="9"/>
  <c r="E36" i="9"/>
  <c r="E35" i="9"/>
  <c r="F35" i="9"/>
  <c r="E34" i="9"/>
  <c r="E33" i="9"/>
  <c r="E23" i="9"/>
  <c r="E22" i="9"/>
  <c r="F22" i="9"/>
  <c r="E21" i="9"/>
  <c r="E20" i="9"/>
  <c r="F20" i="9"/>
  <c r="E19" i="9"/>
  <c r="E8" i="9"/>
  <c r="F8" i="9"/>
  <c r="E12" i="9"/>
  <c r="F12" i="9"/>
  <c r="E11" i="9"/>
  <c r="F11" i="9"/>
  <c r="E14" i="9"/>
  <c r="F14" i="9"/>
  <c r="E7" i="9"/>
  <c r="F7" i="9"/>
  <c r="E10" i="9"/>
  <c r="F10" i="9"/>
  <c r="E9" i="9"/>
  <c r="F9" i="9"/>
  <c r="E18" i="9"/>
  <c r="F18" i="9"/>
  <c r="E64" i="9"/>
  <c r="E17" i="9"/>
  <c r="E16" i="9"/>
  <c r="F16" i="9"/>
  <c r="E15" i="9"/>
  <c r="F15" i="9"/>
  <c r="E60" i="9"/>
  <c r="E13" i="9"/>
  <c r="F13" i="9"/>
  <c r="E6" i="9"/>
  <c r="F6" i="9"/>
  <c r="E61" i="9"/>
  <c r="E58" i="9"/>
  <c r="F56" i="9"/>
  <c r="E56" i="9"/>
  <c r="E51" i="9"/>
  <c r="E50" i="9"/>
  <c r="G50" i="9" s="1"/>
  <c r="E48" i="9"/>
  <c r="E45" i="9"/>
  <c r="E39" i="9"/>
  <c r="E26" i="9"/>
  <c r="G26" i="9" s="1"/>
  <c r="E24" i="9"/>
  <c r="G24" i="9" s="1"/>
  <c r="G16" i="9" l="1"/>
  <c r="G31" i="9"/>
  <c r="G12" i="9"/>
  <c r="G51" i="9"/>
  <c r="G53" i="9"/>
  <c r="G43" i="9"/>
  <c r="G35" i="9"/>
  <c r="G57" i="9"/>
  <c r="G13" i="9"/>
  <c r="G8" i="9"/>
  <c r="G7" i="9"/>
  <c r="G20" i="9"/>
  <c r="G15" i="9"/>
  <c r="G10" i="9"/>
  <c r="G40" i="9"/>
  <c r="G29" i="9"/>
  <c r="G56" i="9"/>
  <c r="G6" i="9"/>
  <c r="G14" i="9"/>
  <c r="G63" i="9"/>
  <c r="G22" i="9"/>
  <c r="G18" i="9"/>
  <c r="G11" i="9"/>
  <c r="G37" i="9"/>
  <c r="G38" i="9"/>
  <c r="G9" i="9"/>
  <c r="G46" i="9"/>
  <c r="F64" i="9"/>
  <c r="G64" i="9" s="1"/>
  <c r="F48" i="9"/>
  <c r="G48" i="9" s="1"/>
  <c r="F33" i="9"/>
  <c r="G33" i="9" s="1"/>
  <c r="F39" i="9"/>
  <c r="G39" i="9" s="1"/>
  <c r="F62" i="9"/>
  <c r="G62" i="9" s="1"/>
  <c r="F45" i="9"/>
  <c r="G45" i="9" s="1"/>
  <c r="F30" i="9" l="1"/>
  <c r="G30" i="9" s="1"/>
  <c r="F36" i="9"/>
  <c r="G36" i="9" s="1"/>
  <c r="F21" i="9"/>
  <c r="G21" i="9" s="1"/>
  <c r="F28" i="9"/>
  <c r="G28" i="9" s="1"/>
  <c r="F59" i="9"/>
  <c r="G59" i="9" s="1"/>
  <c r="F17" i="9" l="1"/>
  <c r="G17" i="9" s="1"/>
  <c r="F47" i="9"/>
  <c r="G47" i="9" s="1"/>
  <c r="F5" i="9"/>
  <c r="F19" i="9"/>
  <c r="G19" i="9" s="1"/>
  <c r="F61" i="9"/>
  <c r="G61" i="9" s="1"/>
  <c r="G5" i="9" l="1"/>
  <c r="F23" i="9"/>
  <c r="G23" i="9" s="1"/>
  <c r="F34" i="9"/>
  <c r="G34" i="9" s="1"/>
  <c r="F44" i="9" l="1"/>
  <c r="G44" i="9" s="1"/>
  <c r="F49" i="9"/>
  <c r="G49" i="9" s="1"/>
  <c r="F58" i="9"/>
  <c r="G58" i="9" s="1"/>
  <c r="F60" i="9" l="1"/>
  <c r="G60" i="9" s="1"/>
  <c r="F52" i="9" l="1"/>
  <c r="G52" i="9" s="1"/>
  <c r="F55" i="9" l="1"/>
  <c r="G55" i="9" s="1"/>
  <c r="F27" i="9" l="1"/>
  <c r="G27" i="9" s="1"/>
  <c r="F25" i="9" l="1"/>
  <c r="G25" i="9" l="1"/>
  <c r="F42" i="9"/>
  <c r="G42" i="9" s="1"/>
  <c r="F66" i="9" l="1"/>
  <c r="G66" i="9"/>
  <c r="C7" i="17" s="1"/>
  <c r="F13" i="5" l="1"/>
  <c r="E9" i="5"/>
  <c r="E11" i="5"/>
  <c r="F11" i="5"/>
  <c r="F10" i="5"/>
  <c r="E8" i="5"/>
  <c r="E7" i="5"/>
  <c r="F7" i="5"/>
  <c r="F6" i="5"/>
  <c r="E5" i="5"/>
  <c r="F5" i="5"/>
  <c r="E14" i="5"/>
  <c r="F14" i="5"/>
  <c r="E13" i="5"/>
  <c r="G13" i="5" s="1"/>
  <c r="F12" i="5"/>
  <c r="E12" i="5"/>
  <c r="G12" i="5" s="1"/>
  <c r="E10" i="5"/>
  <c r="E6" i="5"/>
  <c r="G10" i="5" l="1"/>
  <c r="G7" i="5"/>
  <c r="G6" i="5"/>
  <c r="G5" i="5"/>
  <c r="G11" i="5"/>
  <c r="G14" i="5"/>
  <c r="F9" i="5"/>
  <c r="G9" i="5" s="1"/>
  <c r="F8" i="5" l="1"/>
  <c r="G8" i="5" l="1"/>
  <c r="G16" i="5" s="1"/>
  <c r="C14" i="17" s="1"/>
  <c r="F16" i="5"/>
  <c r="E305" i="1" l="1"/>
  <c r="E405" i="1"/>
  <c r="F405" i="1"/>
  <c r="E404" i="1"/>
  <c r="F404" i="1"/>
  <c r="F403" i="1"/>
  <c r="F402" i="1"/>
  <c r="E401" i="1"/>
  <c r="E400" i="1"/>
  <c r="F400" i="1"/>
  <c r="G400" i="1" s="1"/>
  <c r="E388" i="1"/>
  <c r="F388" i="1"/>
  <c r="E387" i="1"/>
  <c r="F386" i="1"/>
  <c r="E385" i="1"/>
  <c r="E384" i="1"/>
  <c r="E382" i="1"/>
  <c r="E381" i="1"/>
  <c r="E380" i="1"/>
  <c r="E379" i="1"/>
  <c r="F379" i="1"/>
  <c r="G379" i="1" s="1"/>
  <c r="F378" i="1"/>
  <c r="E377" i="1"/>
  <c r="F377" i="1"/>
  <c r="G377" i="1" s="1"/>
  <c r="E376" i="1"/>
  <c r="F376" i="1"/>
  <c r="E375" i="1"/>
  <c r="E374" i="1"/>
  <c r="E373" i="1"/>
  <c r="F373" i="1"/>
  <c r="E371" i="1"/>
  <c r="F371" i="1"/>
  <c r="E360" i="1"/>
  <c r="F360" i="1"/>
  <c r="G360" i="1" s="1"/>
  <c r="E369" i="1"/>
  <c r="F369" i="1"/>
  <c r="E362" i="1"/>
  <c r="E361" i="1"/>
  <c r="E368" i="1"/>
  <c r="E367" i="1"/>
  <c r="E366" i="1"/>
  <c r="E370" i="1"/>
  <c r="F370" i="1"/>
  <c r="G370" i="1" s="1"/>
  <c r="E365" i="1"/>
  <c r="F365" i="1"/>
  <c r="E363" i="1"/>
  <c r="E359" i="1"/>
  <c r="F359" i="1"/>
  <c r="E358" i="1"/>
  <c r="F358" i="1"/>
  <c r="G358" i="1" s="1"/>
  <c r="E364" i="1"/>
  <c r="E357" i="1"/>
  <c r="F357" i="1"/>
  <c r="E356" i="1"/>
  <c r="F356" i="1"/>
  <c r="E355" i="1"/>
  <c r="F355" i="1"/>
  <c r="E350" i="1"/>
  <c r="F350" i="1"/>
  <c r="G350" i="1" s="1"/>
  <c r="E354" i="1"/>
  <c r="F354" i="1"/>
  <c r="E353" i="1"/>
  <c r="F353" i="1"/>
  <c r="E352" i="1"/>
  <c r="F352" i="1"/>
  <c r="E351" i="1"/>
  <c r="F351" i="1"/>
  <c r="G351" i="1" s="1"/>
  <c r="E349" i="1"/>
  <c r="F349" i="1"/>
  <c r="E348" i="1"/>
  <c r="F348" i="1"/>
  <c r="G348" i="1" s="1"/>
  <c r="E347" i="1"/>
  <c r="E346" i="1"/>
  <c r="F346" i="1"/>
  <c r="E345" i="1"/>
  <c r="E343" i="1"/>
  <c r="E341" i="1"/>
  <c r="E342" i="1"/>
  <c r="F342" i="1"/>
  <c r="F340" i="1"/>
  <c r="E338" i="1"/>
  <c r="F338" i="1"/>
  <c r="G338" i="1" s="1"/>
  <c r="E339" i="1"/>
  <c r="F339" i="1"/>
  <c r="E337" i="1"/>
  <c r="F337" i="1"/>
  <c r="G337" i="1" s="1"/>
  <c r="F336" i="1"/>
  <c r="E335" i="1"/>
  <c r="F335" i="1"/>
  <c r="E334" i="1"/>
  <c r="E333" i="1"/>
  <c r="F333" i="1"/>
  <c r="G333" i="1" s="1"/>
  <c r="E332" i="1"/>
  <c r="F332" i="1"/>
  <c r="E331" i="1"/>
  <c r="F331" i="1"/>
  <c r="G331" i="1" s="1"/>
  <c r="E330" i="1"/>
  <c r="F330" i="1"/>
  <c r="G330" i="1" s="1"/>
  <c r="E329" i="1"/>
  <c r="F329" i="1"/>
  <c r="G329" i="1" s="1"/>
  <c r="E328" i="1"/>
  <c r="F328" i="1"/>
  <c r="G328" i="1" s="1"/>
  <c r="E327" i="1"/>
  <c r="F325" i="1"/>
  <c r="E324" i="1"/>
  <c r="F246" i="1"/>
  <c r="E322" i="1"/>
  <c r="F322" i="1"/>
  <c r="E321" i="1"/>
  <c r="E320" i="1"/>
  <c r="F320" i="1"/>
  <c r="E319" i="1"/>
  <c r="F319" i="1"/>
  <c r="E318" i="1"/>
  <c r="F318" i="1"/>
  <c r="E317" i="1"/>
  <c r="E316" i="1"/>
  <c r="E315" i="1"/>
  <c r="F315" i="1"/>
  <c r="E314" i="1"/>
  <c r="F314" i="1"/>
  <c r="E313" i="1"/>
  <c r="E312" i="1"/>
  <c r="F312" i="1"/>
  <c r="E311" i="1"/>
  <c r="E310" i="1"/>
  <c r="F310" i="1"/>
  <c r="E308" i="1"/>
  <c r="E131" i="1"/>
  <c r="F131" i="1"/>
  <c r="G131" i="1" s="1"/>
  <c r="E132" i="1"/>
  <c r="E306" i="1"/>
  <c r="E304" i="1"/>
  <c r="F304" i="1"/>
  <c r="G304" i="1" s="1"/>
  <c r="E303" i="1"/>
  <c r="F303" i="1"/>
  <c r="G303" i="1" s="1"/>
  <c r="E302" i="1"/>
  <c r="F302" i="1"/>
  <c r="E301" i="1"/>
  <c r="E300" i="1"/>
  <c r="F300" i="1"/>
  <c r="G300" i="1" s="1"/>
  <c r="F299" i="1"/>
  <c r="E298" i="1"/>
  <c r="F298" i="1"/>
  <c r="G298" i="1" s="1"/>
  <c r="F297" i="1"/>
  <c r="E296" i="1"/>
  <c r="F296" i="1"/>
  <c r="G296" i="1" s="1"/>
  <c r="E295" i="1"/>
  <c r="E294" i="1"/>
  <c r="F294" i="1"/>
  <c r="G294" i="1" s="1"/>
  <c r="E293" i="1"/>
  <c r="F293" i="1"/>
  <c r="G293" i="1" s="1"/>
  <c r="E274" i="1"/>
  <c r="F274" i="1"/>
  <c r="G274" i="1" s="1"/>
  <c r="F291" i="1"/>
  <c r="F284" i="1"/>
  <c r="E290" i="1"/>
  <c r="E289" i="1"/>
  <c r="F289" i="1"/>
  <c r="E283" i="1"/>
  <c r="F283" i="1"/>
  <c r="E288" i="1"/>
  <c r="F288" i="1"/>
  <c r="E286" i="1"/>
  <c r="F286" i="1"/>
  <c r="E285" i="1"/>
  <c r="F285" i="1"/>
  <c r="E282" i="1"/>
  <c r="E292" i="1"/>
  <c r="E279" i="1"/>
  <c r="F279" i="1"/>
  <c r="E278" i="1"/>
  <c r="F278" i="1"/>
  <c r="G278" i="1" s="1"/>
  <c r="E276" i="1"/>
  <c r="E287" i="1"/>
  <c r="F287" i="1"/>
  <c r="G287" i="1" s="1"/>
  <c r="E275" i="1"/>
  <c r="F275" i="1"/>
  <c r="F280" i="1"/>
  <c r="E273" i="1"/>
  <c r="F273" i="1"/>
  <c r="G273" i="1" s="1"/>
  <c r="E272" i="1"/>
  <c r="F272" i="1"/>
  <c r="E271" i="1"/>
  <c r="E270" i="1"/>
  <c r="F270" i="1"/>
  <c r="G270" i="1" s="1"/>
  <c r="E269" i="1"/>
  <c r="F269" i="1"/>
  <c r="G269" i="1" s="1"/>
  <c r="E268" i="1"/>
  <c r="F268" i="1"/>
  <c r="E267" i="1"/>
  <c r="E266" i="1"/>
  <c r="F265" i="1"/>
  <c r="E264" i="1"/>
  <c r="E263" i="1"/>
  <c r="F263" i="1"/>
  <c r="E262" i="1"/>
  <c r="F262" i="1"/>
  <c r="E260" i="1"/>
  <c r="E259" i="1"/>
  <c r="E258" i="1"/>
  <c r="E257" i="1"/>
  <c r="F257" i="1"/>
  <c r="E256" i="1"/>
  <c r="F256" i="1"/>
  <c r="G256" i="1" s="1"/>
  <c r="E255" i="1"/>
  <c r="E254" i="1"/>
  <c r="F254" i="1"/>
  <c r="E253" i="1"/>
  <c r="F252" i="1"/>
  <c r="F251" i="1"/>
  <c r="E250" i="1"/>
  <c r="F250" i="1"/>
  <c r="E249" i="1"/>
  <c r="E248" i="1"/>
  <c r="F248" i="1"/>
  <c r="E247" i="1"/>
  <c r="E245" i="1"/>
  <c r="F245" i="1"/>
  <c r="E244" i="1"/>
  <c r="E243" i="1"/>
  <c r="E242" i="1"/>
  <c r="E241" i="1"/>
  <c r="F241" i="1"/>
  <c r="E240" i="1"/>
  <c r="F240" i="1"/>
  <c r="E239" i="1"/>
  <c r="E238" i="1"/>
  <c r="E237" i="1"/>
  <c r="E235" i="1"/>
  <c r="E234" i="1"/>
  <c r="F234" i="1"/>
  <c r="G234" i="1" s="1"/>
  <c r="E233" i="1"/>
  <c r="E232" i="1"/>
  <c r="E231" i="1"/>
  <c r="E230" i="1"/>
  <c r="E229" i="1"/>
  <c r="F229" i="1"/>
  <c r="E228" i="1"/>
  <c r="E227" i="1"/>
  <c r="E226" i="1"/>
  <c r="E236" i="1"/>
  <c r="F236" i="1"/>
  <c r="E225" i="1"/>
  <c r="F225" i="1"/>
  <c r="E224" i="1"/>
  <c r="E223" i="1"/>
  <c r="F223" i="1"/>
  <c r="G223" i="1" s="1"/>
  <c r="E222" i="1"/>
  <c r="F222" i="1"/>
  <c r="G222" i="1" s="1"/>
  <c r="E221" i="1"/>
  <c r="F221" i="1"/>
  <c r="G221" i="1" s="1"/>
  <c r="E220" i="1"/>
  <c r="F220" i="1"/>
  <c r="E219" i="1"/>
  <c r="E217" i="1"/>
  <c r="F217" i="1"/>
  <c r="E216" i="1"/>
  <c r="F216" i="1"/>
  <c r="G216" i="1" s="1"/>
  <c r="E215" i="1"/>
  <c r="F215" i="1"/>
  <c r="E214" i="1"/>
  <c r="F214" i="1"/>
  <c r="E213" i="1"/>
  <c r="E199" i="1"/>
  <c r="F199" i="1"/>
  <c r="G199" i="1" s="1"/>
  <c r="E198" i="1"/>
  <c r="F198" i="1"/>
  <c r="E197" i="1"/>
  <c r="F197" i="1"/>
  <c r="F196" i="1"/>
  <c r="E211" i="1"/>
  <c r="F211" i="1"/>
  <c r="E210" i="1"/>
  <c r="F210" i="1"/>
  <c r="E195" i="1"/>
  <c r="F195" i="1"/>
  <c r="E209" i="1"/>
  <c r="F209" i="1"/>
  <c r="E208" i="1"/>
  <c r="F208" i="1"/>
  <c r="E207" i="1"/>
  <c r="F207" i="1"/>
  <c r="F206" i="1"/>
  <c r="E188" i="1"/>
  <c r="F188" i="1"/>
  <c r="E187" i="1"/>
  <c r="F187" i="1"/>
  <c r="G187" i="1" s="1"/>
  <c r="E204" i="1"/>
  <c r="F204" i="1"/>
  <c r="E182" i="1"/>
  <c r="F182" i="1"/>
  <c r="E203" i="1"/>
  <c r="E180" i="1"/>
  <c r="F177" i="1"/>
  <c r="E202" i="1"/>
  <c r="E205" i="1"/>
  <c r="F205" i="1"/>
  <c r="G205" i="1" s="1"/>
  <c r="E201" i="1"/>
  <c r="F201" i="1"/>
  <c r="G201" i="1" s="1"/>
  <c r="E200" i="1"/>
  <c r="F173" i="1"/>
  <c r="E172" i="1"/>
  <c r="F212" i="1"/>
  <c r="E194" i="1"/>
  <c r="F194" i="1"/>
  <c r="G194" i="1" s="1"/>
  <c r="E193" i="1"/>
  <c r="F193" i="1"/>
  <c r="G193" i="1" s="1"/>
  <c r="E192" i="1"/>
  <c r="F192" i="1"/>
  <c r="E190" i="1"/>
  <c r="F190" i="1"/>
  <c r="G190" i="1" s="1"/>
  <c r="E191" i="1"/>
  <c r="F191" i="1"/>
  <c r="E189" i="1"/>
  <c r="F189" i="1"/>
  <c r="G189" i="1" s="1"/>
  <c r="E186" i="1"/>
  <c r="F186" i="1"/>
  <c r="E185" i="1"/>
  <c r="F185" i="1"/>
  <c r="G185" i="1" s="1"/>
  <c r="E184" i="1"/>
  <c r="F184" i="1"/>
  <c r="G184" i="1" s="1"/>
  <c r="E183" i="1"/>
  <c r="F183" i="1"/>
  <c r="G183" i="1" s="1"/>
  <c r="E181" i="1"/>
  <c r="F181" i="1"/>
  <c r="G181" i="1" s="1"/>
  <c r="E179" i="1"/>
  <c r="E176" i="1"/>
  <c r="F176" i="1"/>
  <c r="E175" i="1"/>
  <c r="F175" i="1"/>
  <c r="E171" i="1"/>
  <c r="F171" i="1"/>
  <c r="G171" i="1" s="1"/>
  <c r="E170" i="1"/>
  <c r="F170" i="1"/>
  <c r="E169" i="1"/>
  <c r="F169" i="1"/>
  <c r="E168" i="1"/>
  <c r="E218" i="1"/>
  <c r="E166" i="1"/>
  <c r="F166" i="1"/>
  <c r="E165" i="1"/>
  <c r="F165" i="1"/>
  <c r="E164" i="1"/>
  <c r="F164" i="1"/>
  <c r="E163" i="1"/>
  <c r="F163" i="1"/>
  <c r="E162" i="1"/>
  <c r="E161" i="1"/>
  <c r="E160" i="1"/>
  <c r="E159" i="1"/>
  <c r="F159" i="1"/>
  <c r="E158" i="1"/>
  <c r="F158" i="1"/>
  <c r="G158" i="1" s="1"/>
  <c r="E157" i="1"/>
  <c r="E156" i="1"/>
  <c r="F156" i="1"/>
  <c r="E155" i="1"/>
  <c r="E154" i="1"/>
  <c r="F154" i="1"/>
  <c r="G154" i="1" s="1"/>
  <c r="E152" i="1"/>
  <c r="E153" i="1"/>
  <c r="F153" i="1"/>
  <c r="E151" i="1"/>
  <c r="E150" i="1"/>
  <c r="E149" i="1"/>
  <c r="F149" i="1"/>
  <c r="E148" i="1"/>
  <c r="F148" i="1"/>
  <c r="E147" i="1"/>
  <c r="F147" i="1"/>
  <c r="E146" i="1"/>
  <c r="F146" i="1"/>
  <c r="G146" i="1" s="1"/>
  <c r="E145" i="1"/>
  <c r="F145" i="1"/>
  <c r="E144" i="1"/>
  <c r="F144" i="1"/>
  <c r="E143" i="1"/>
  <c r="F143" i="1"/>
  <c r="G143" i="1" s="1"/>
  <c r="E142" i="1"/>
  <c r="E141" i="1"/>
  <c r="F141" i="1"/>
  <c r="E140" i="1"/>
  <c r="E139" i="1"/>
  <c r="F139" i="1"/>
  <c r="E138" i="1"/>
  <c r="E137" i="1"/>
  <c r="F137" i="1"/>
  <c r="E136" i="1"/>
  <c r="F135" i="1"/>
  <c r="E130" i="1"/>
  <c r="E129" i="1"/>
  <c r="F129" i="1"/>
  <c r="E125" i="1"/>
  <c r="E124" i="1"/>
  <c r="F124" i="1"/>
  <c r="G124" i="1" s="1"/>
  <c r="E123" i="1"/>
  <c r="F123" i="1"/>
  <c r="E122" i="1"/>
  <c r="F122" i="1"/>
  <c r="G122" i="1" s="1"/>
  <c r="E121" i="1"/>
  <c r="F121" i="1"/>
  <c r="G121" i="1" s="1"/>
  <c r="E117" i="1"/>
  <c r="E120" i="1"/>
  <c r="F120" i="1"/>
  <c r="G120" i="1" s="1"/>
  <c r="E115" i="1"/>
  <c r="F115" i="1"/>
  <c r="E119" i="1"/>
  <c r="F119" i="1"/>
  <c r="E118" i="1"/>
  <c r="F118" i="1"/>
  <c r="E114" i="1"/>
  <c r="F114" i="1"/>
  <c r="G114" i="1" s="1"/>
  <c r="E113" i="1"/>
  <c r="E112" i="1"/>
  <c r="F112" i="1"/>
  <c r="G112" i="1" s="1"/>
  <c r="E111" i="1"/>
  <c r="F111" i="1"/>
  <c r="G111" i="1" s="1"/>
  <c r="E110" i="1"/>
  <c r="E109" i="1"/>
  <c r="E116" i="1"/>
  <c r="F116" i="1"/>
  <c r="E108" i="1"/>
  <c r="F108" i="1"/>
  <c r="G108" i="1" s="1"/>
  <c r="E399" i="1"/>
  <c r="F399" i="1"/>
  <c r="G399" i="1" s="1"/>
  <c r="E107" i="1"/>
  <c r="F107" i="1"/>
  <c r="G107" i="1" s="1"/>
  <c r="E106" i="1"/>
  <c r="F106" i="1"/>
  <c r="E105" i="1"/>
  <c r="F105" i="1"/>
  <c r="E104" i="1"/>
  <c r="F104" i="1"/>
  <c r="E103" i="1"/>
  <c r="F103" i="1"/>
  <c r="G103" i="1" s="1"/>
  <c r="E102" i="1"/>
  <c r="F102" i="1"/>
  <c r="E101" i="1"/>
  <c r="E100" i="1"/>
  <c r="F100" i="1"/>
  <c r="E99" i="1"/>
  <c r="E98" i="1"/>
  <c r="F98" i="1"/>
  <c r="G98" i="1" s="1"/>
  <c r="E97" i="1"/>
  <c r="F97" i="1"/>
  <c r="E96" i="1"/>
  <c r="F96" i="1"/>
  <c r="G96" i="1" s="1"/>
  <c r="E95" i="1"/>
  <c r="F95" i="1"/>
  <c r="G95" i="1" s="1"/>
  <c r="E94" i="1"/>
  <c r="F94" i="1"/>
  <c r="G94" i="1" s="1"/>
  <c r="E93" i="1"/>
  <c r="F93" i="1"/>
  <c r="F92" i="1"/>
  <c r="E91" i="1"/>
  <c r="E90" i="1"/>
  <c r="F90" i="1"/>
  <c r="G90" i="1" s="1"/>
  <c r="E89" i="1"/>
  <c r="F89" i="1"/>
  <c r="E88" i="1"/>
  <c r="F88" i="1"/>
  <c r="G88" i="1" s="1"/>
  <c r="E87" i="1"/>
  <c r="F87" i="1"/>
  <c r="G87" i="1" s="1"/>
  <c r="E86" i="1"/>
  <c r="E84" i="1"/>
  <c r="F84" i="1"/>
  <c r="G84" i="1" s="1"/>
  <c r="E83" i="1"/>
  <c r="E82" i="1"/>
  <c r="F82" i="1"/>
  <c r="G82" i="1" s="1"/>
  <c r="E81" i="1"/>
  <c r="F81" i="1"/>
  <c r="G81" i="1" s="1"/>
  <c r="E80" i="1"/>
  <c r="F80" i="1"/>
  <c r="G80" i="1" s="1"/>
  <c r="E79" i="1"/>
  <c r="F79" i="1"/>
  <c r="E78" i="1"/>
  <c r="E77" i="1"/>
  <c r="F77" i="1"/>
  <c r="E76" i="1"/>
  <c r="F76" i="1"/>
  <c r="E75" i="1"/>
  <c r="E74" i="1"/>
  <c r="E73" i="1"/>
  <c r="E72" i="1"/>
  <c r="E71" i="1"/>
  <c r="E70" i="1"/>
  <c r="E69" i="1"/>
  <c r="F69" i="1"/>
  <c r="E68" i="1"/>
  <c r="F68" i="1"/>
  <c r="E67" i="1"/>
  <c r="F67" i="1"/>
  <c r="G67" i="1" s="1"/>
  <c r="E66" i="1"/>
  <c r="E65" i="1"/>
  <c r="F65" i="1"/>
  <c r="E64" i="1"/>
  <c r="F64" i="1"/>
  <c r="G64" i="1" s="1"/>
  <c r="E63" i="1"/>
  <c r="F63" i="1"/>
  <c r="G63" i="1" s="1"/>
  <c r="E62" i="1"/>
  <c r="F62" i="1"/>
  <c r="G62" i="1" s="1"/>
  <c r="E61" i="1"/>
  <c r="E60" i="1"/>
  <c r="F60" i="1"/>
  <c r="E59" i="1"/>
  <c r="E56" i="1"/>
  <c r="E58" i="1"/>
  <c r="F58" i="1"/>
  <c r="G58" i="1" s="1"/>
  <c r="E57" i="1"/>
  <c r="F57" i="1"/>
  <c r="E55" i="1"/>
  <c r="E54" i="1"/>
  <c r="E53" i="1"/>
  <c r="E52" i="1"/>
  <c r="F52" i="1"/>
  <c r="E50" i="1"/>
  <c r="F50" i="1"/>
  <c r="G50" i="1" s="1"/>
  <c r="F49" i="1"/>
  <c r="E48" i="1"/>
  <c r="F48" i="1"/>
  <c r="E47" i="1"/>
  <c r="F47" i="1"/>
  <c r="E46" i="1"/>
  <c r="F46" i="1"/>
  <c r="G46" i="1" s="1"/>
  <c r="E45" i="1"/>
  <c r="E44" i="1"/>
  <c r="F44" i="1"/>
  <c r="G44" i="1" s="1"/>
  <c r="E43" i="1"/>
  <c r="F43" i="1"/>
  <c r="G43" i="1" s="1"/>
  <c r="E42" i="1"/>
  <c r="F42" i="1"/>
  <c r="E41" i="1"/>
  <c r="F41" i="1"/>
  <c r="G41" i="1" s="1"/>
  <c r="E40" i="1"/>
  <c r="F40" i="1"/>
  <c r="E39" i="1"/>
  <c r="F38" i="1"/>
  <c r="E37" i="1"/>
  <c r="F37" i="1"/>
  <c r="G37" i="1" s="1"/>
  <c r="E36" i="1"/>
  <c r="F36" i="1"/>
  <c r="G36" i="1" s="1"/>
  <c r="E35" i="1"/>
  <c r="E34" i="1"/>
  <c r="F34" i="1"/>
  <c r="E33" i="1"/>
  <c r="E32" i="1"/>
  <c r="F32" i="1"/>
  <c r="G32" i="1" s="1"/>
  <c r="E31" i="1"/>
  <c r="F31" i="1"/>
  <c r="G31" i="1" s="1"/>
  <c r="E30" i="1"/>
  <c r="E29" i="1"/>
  <c r="F29" i="1"/>
  <c r="E28" i="1"/>
  <c r="F28" i="1"/>
  <c r="G28" i="1" s="1"/>
  <c r="E27" i="1"/>
  <c r="F27" i="1"/>
  <c r="G27" i="1" s="1"/>
  <c r="E26" i="1"/>
  <c r="F26" i="1"/>
  <c r="G26" i="1" s="1"/>
  <c r="E25" i="1"/>
  <c r="F25" i="1"/>
  <c r="E24" i="1"/>
  <c r="F24" i="1"/>
  <c r="E23" i="1"/>
  <c r="F23" i="1"/>
  <c r="E22" i="1"/>
  <c r="F22" i="1"/>
  <c r="E21" i="1"/>
  <c r="F21" i="1"/>
  <c r="E20" i="1"/>
  <c r="F20" i="1"/>
  <c r="E19" i="1"/>
  <c r="F19" i="1"/>
  <c r="G19" i="1" s="1"/>
  <c r="E18" i="1"/>
  <c r="F18" i="1"/>
  <c r="G18" i="1" s="1"/>
  <c r="E17" i="1"/>
  <c r="F17" i="1"/>
  <c r="E16" i="1"/>
  <c r="F16" i="1"/>
  <c r="G16" i="1" s="1"/>
  <c r="E15" i="1"/>
  <c r="E14" i="1"/>
  <c r="F14" i="1"/>
  <c r="E12" i="1"/>
  <c r="F12" i="1"/>
  <c r="G12" i="1" s="1"/>
  <c r="E13" i="1"/>
  <c r="F13" i="1"/>
  <c r="G13" i="1" s="1"/>
  <c r="E11" i="1"/>
  <c r="E10" i="1"/>
  <c r="F10" i="1"/>
  <c r="G10" i="1" s="1"/>
  <c r="E9" i="1"/>
  <c r="F9" i="1"/>
  <c r="G9" i="1" s="1"/>
  <c r="E8" i="1"/>
  <c r="E7" i="1"/>
  <c r="F7" i="1"/>
  <c r="G7" i="1" s="1"/>
  <c r="E6" i="1"/>
  <c r="E5" i="1"/>
  <c r="F5" i="1"/>
  <c r="E403" i="1"/>
  <c r="E402" i="1"/>
  <c r="F401" i="1"/>
  <c r="G401" i="1" s="1"/>
  <c r="F387" i="1"/>
  <c r="G387" i="1" s="1"/>
  <c r="E386" i="1"/>
  <c r="E383" i="1"/>
  <c r="E378" i="1"/>
  <c r="E372" i="1"/>
  <c r="F368" i="1"/>
  <c r="G368" i="1" s="1"/>
  <c r="F364" i="1"/>
  <c r="G364" i="1" s="1"/>
  <c r="F361" i="1"/>
  <c r="G361" i="1" s="1"/>
  <c r="E344" i="1"/>
  <c r="E340" i="1"/>
  <c r="E336" i="1"/>
  <c r="F327" i="1"/>
  <c r="G327" i="1" s="1"/>
  <c r="E326" i="1"/>
  <c r="E325" i="1"/>
  <c r="F307" i="1"/>
  <c r="E307" i="1"/>
  <c r="E299" i="1"/>
  <c r="E297" i="1"/>
  <c r="E291" i="1"/>
  <c r="E284" i="1"/>
  <c r="F282" i="1"/>
  <c r="G282" i="1" s="1"/>
  <c r="E281" i="1"/>
  <c r="E280" i="1"/>
  <c r="E277" i="1"/>
  <c r="E265" i="1"/>
  <c r="E252" i="1"/>
  <c r="E251" i="1"/>
  <c r="E246" i="1"/>
  <c r="F213" i="1"/>
  <c r="G213" i="1" s="1"/>
  <c r="E212" i="1"/>
  <c r="E206" i="1"/>
  <c r="F203" i="1"/>
  <c r="G203" i="1" s="1"/>
  <c r="F200" i="1"/>
  <c r="G200" i="1" s="1"/>
  <c r="E196" i="1"/>
  <c r="E177" i="1"/>
  <c r="E174" i="1"/>
  <c r="E173" i="1"/>
  <c r="E135" i="1"/>
  <c r="E92" i="1"/>
  <c r="E51" i="1"/>
  <c r="E49" i="1"/>
  <c r="E38" i="1"/>
  <c r="G371" i="1" l="1"/>
  <c r="G77" i="1"/>
  <c r="G97" i="1"/>
  <c r="G335" i="1"/>
  <c r="G102" i="1"/>
  <c r="G166" i="1"/>
  <c r="G263" i="1"/>
  <c r="G318" i="1"/>
  <c r="G106" i="1"/>
  <c r="G123" i="1"/>
  <c r="G141" i="1"/>
  <c r="G186" i="1"/>
  <c r="G188" i="1"/>
  <c r="G197" i="1"/>
  <c r="G268" i="1"/>
  <c r="G373" i="1"/>
  <c r="G163" i="1"/>
  <c r="G302" i="1"/>
  <c r="G29" i="1"/>
  <c r="G69" i="1"/>
  <c r="G129" i="1"/>
  <c r="G144" i="1"/>
  <c r="G164" i="1"/>
  <c r="G208" i="1"/>
  <c r="G355" i="1"/>
  <c r="G22" i="1"/>
  <c r="G145" i="1"/>
  <c r="G209" i="1"/>
  <c r="G214" i="1"/>
  <c r="G315" i="1"/>
  <c r="G23" i="1"/>
  <c r="G137" i="1"/>
  <c r="G339" i="1"/>
  <c r="G24" i="1"/>
  <c r="G147" i="1"/>
  <c r="G170" i="1"/>
  <c r="G289" i="1"/>
  <c r="G310" i="1"/>
  <c r="G320" i="1"/>
  <c r="G342" i="1"/>
  <c r="G365" i="1"/>
  <c r="G388" i="1"/>
  <c r="G336" i="1"/>
  <c r="G76" i="1"/>
  <c r="G139" i="1"/>
  <c r="G169" i="1"/>
  <c r="G217" i="1"/>
  <c r="G297" i="1"/>
  <c r="G352" i="1"/>
  <c r="G100" i="1"/>
  <c r="G65" i="1"/>
  <c r="G307" i="1"/>
  <c r="G356" i="1"/>
  <c r="G156" i="1"/>
  <c r="G175" i="1"/>
  <c r="G79" i="1"/>
  <c r="G148" i="1"/>
  <c r="G191" i="1"/>
  <c r="G149" i="1"/>
  <c r="G93" i="1"/>
  <c r="G288" i="1"/>
  <c r="G299" i="1"/>
  <c r="G332" i="1"/>
  <c r="G195" i="1"/>
  <c r="G198" i="1"/>
  <c r="G349" i="1"/>
  <c r="G404" i="1"/>
  <c r="G34" i="1"/>
  <c r="G42" i="1"/>
  <c r="G104" i="1"/>
  <c r="G118" i="1"/>
  <c r="G115" i="1"/>
  <c r="G225" i="1"/>
  <c r="G48" i="1"/>
  <c r="G135" i="1"/>
  <c r="G212" i="1"/>
  <c r="G251" i="1"/>
  <c r="G284" i="1"/>
  <c r="G20" i="1"/>
  <c r="G206" i="1"/>
  <c r="G245" i="1"/>
  <c r="G265" i="1"/>
  <c r="G386" i="1"/>
  <c r="G159" i="1"/>
  <c r="G177" i="1"/>
  <c r="G252" i="1"/>
  <c r="G257" i="1"/>
  <c r="G312" i="1"/>
  <c r="G319" i="1"/>
  <c r="G376" i="1"/>
  <c r="G405" i="1"/>
  <c r="G204" i="1"/>
  <c r="G236" i="1"/>
  <c r="G369" i="1"/>
  <c r="G52" i="1"/>
  <c r="G283" i="1"/>
  <c r="G21" i="1"/>
  <c r="G25" i="1"/>
  <c r="G68" i="1"/>
  <c r="G105" i="1"/>
  <c r="G116" i="1"/>
  <c r="G119" i="1"/>
  <c r="G153" i="1"/>
  <c r="G207" i="1"/>
  <c r="G215" i="1"/>
  <c r="G220" i="1"/>
  <c r="G346" i="1"/>
  <c r="G353" i="1"/>
  <c r="G354" i="1"/>
  <c r="G357" i="1"/>
  <c r="G14" i="1"/>
  <c r="G38" i="1"/>
  <c r="G92" i="1"/>
  <c r="G176" i="1"/>
  <c r="G248" i="1"/>
  <c r="G254" i="1"/>
  <c r="G272" i="1"/>
  <c r="G322" i="1"/>
  <c r="G402" i="1"/>
  <c r="G5" i="1"/>
  <c r="G60" i="1"/>
  <c r="G210" i="1"/>
  <c r="G196" i="1"/>
  <c r="G279" i="1"/>
  <c r="G340" i="1"/>
  <c r="G40" i="1"/>
  <c r="G165" i="1"/>
  <c r="G173" i="1"/>
  <c r="G262" i="1"/>
  <c r="G47" i="1"/>
  <c r="G49" i="1"/>
  <c r="G89" i="1"/>
  <c r="G250" i="1"/>
  <c r="G285" i="1"/>
  <c r="G286" i="1"/>
  <c r="G314" i="1"/>
  <c r="G246" i="1"/>
  <c r="G280" i="1"/>
  <c r="G325" i="1"/>
  <c r="G378" i="1"/>
  <c r="G403" i="1"/>
  <c r="G17" i="1"/>
  <c r="G57" i="1"/>
  <c r="G192" i="1"/>
  <c r="G182" i="1"/>
  <c r="G211" i="1"/>
  <c r="G229" i="1"/>
  <c r="G240" i="1"/>
  <c r="G241" i="1"/>
  <c r="G275" i="1"/>
  <c r="G291" i="1"/>
  <c r="G359" i="1"/>
  <c r="F243" i="1"/>
  <c r="G243" i="1" s="1"/>
  <c r="F259" i="1"/>
  <c r="G259" i="1" s="1"/>
  <c r="F179" i="1"/>
  <c r="G179" i="1" s="1"/>
  <c r="F383" i="1"/>
  <c r="G383" i="1" s="1"/>
  <c r="F253" i="1"/>
  <c r="G253" i="1" s="1"/>
  <c r="F8" i="1"/>
  <c r="G8" i="1" s="1"/>
  <c r="F255" i="1"/>
  <c r="G255" i="1" s="1"/>
  <c r="F264" i="1"/>
  <c r="G264" i="1" s="1"/>
  <c r="F311" i="1"/>
  <c r="G311" i="1" s="1"/>
  <c r="F305" i="1"/>
  <c r="G305" i="1" s="1"/>
  <c r="F313" i="1"/>
  <c r="G313" i="1" s="1"/>
  <c r="F244" i="1"/>
  <c r="G244" i="1" s="1"/>
  <c r="F109" i="1"/>
  <c r="G109" i="1" s="1"/>
  <c r="F83" i="1"/>
  <c r="G83" i="1" s="1"/>
  <c r="F366" i="1"/>
  <c r="G366" i="1" s="1"/>
  <c r="F249" i="1"/>
  <c r="G249" i="1" s="1"/>
  <c r="E167" i="1"/>
  <c r="F86" i="1"/>
  <c r="G86" i="1" s="1"/>
  <c r="F113" i="1"/>
  <c r="G113" i="1" s="1"/>
  <c r="F35" i="1"/>
  <c r="G35" i="1" s="1"/>
  <c r="F267" i="1"/>
  <c r="G267" i="1" s="1"/>
  <c r="F260" i="1"/>
  <c r="G260" i="1" s="1"/>
  <c r="F344" i="1"/>
  <c r="G344" i="1" s="1"/>
  <c r="F308" i="1"/>
  <c r="G308" i="1" s="1"/>
  <c r="F316" i="1"/>
  <c r="G316" i="1" s="1"/>
  <c r="F323" i="1"/>
  <c r="E389" i="1"/>
  <c r="F301" i="1"/>
  <c r="G301" i="1" s="1"/>
  <c r="F75" i="1"/>
  <c r="G75" i="1" s="1"/>
  <c r="F233" i="1"/>
  <c r="G233" i="1" s="1"/>
  <c r="F66" i="1"/>
  <c r="G66" i="1" s="1"/>
  <c r="F266" i="1"/>
  <c r="G266" i="1" s="1"/>
  <c r="F231" i="1"/>
  <c r="G231" i="1" s="1"/>
  <c r="F224" i="1"/>
  <c r="G224" i="1" s="1"/>
  <c r="F334" i="1"/>
  <c r="G334" i="1" s="1"/>
  <c r="F11" i="1"/>
  <c r="G11" i="1" s="1"/>
  <c r="F343" i="1"/>
  <c r="G343" i="1" s="1"/>
  <c r="F228" i="1"/>
  <c r="G228" i="1" s="1"/>
  <c r="F281" i="1"/>
  <c r="G281" i="1" s="1"/>
  <c r="F295" i="1"/>
  <c r="G295" i="1" s="1"/>
  <c r="E323" i="1"/>
  <c r="F172" i="1"/>
  <c r="G172" i="1" s="1"/>
  <c r="F126" i="1"/>
  <c r="E133" i="1"/>
  <c r="E309" i="1"/>
  <c r="E178" i="1"/>
  <c r="E128" i="1"/>
  <c r="F91" i="1"/>
  <c r="G91" i="1" s="1"/>
  <c r="F133" i="1"/>
  <c r="E127" i="1"/>
  <c r="F127" i="1"/>
  <c r="F128" i="1"/>
  <c r="E126" i="1"/>
  <c r="F202" i="1"/>
  <c r="G202" i="1" s="1"/>
  <c r="F178" i="1"/>
  <c r="F242" i="1"/>
  <c r="G242" i="1" s="1"/>
  <c r="F15" i="1"/>
  <c r="G15" i="1" s="1"/>
  <c r="F385" i="1"/>
  <c r="G385" i="1" s="1"/>
  <c r="F326" i="1"/>
  <c r="G326" i="1" s="1"/>
  <c r="G178" i="1" l="1"/>
  <c r="G128" i="1"/>
  <c r="G323" i="1"/>
  <c r="G127" i="1"/>
  <c r="F367" i="1"/>
  <c r="G367" i="1" s="1"/>
  <c r="F140" i="1"/>
  <c r="G140" i="1" s="1"/>
  <c r="G133" i="1"/>
  <c r="F381" i="1"/>
  <c r="G381" i="1" s="1"/>
  <c r="F290" i="1"/>
  <c r="G290" i="1" s="1"/>
  <c r="G126" i="1"/>
  <c r="F142" i="1"/>
  <c r="G142" i="1" s="1"/>
  <c r="F132" i="1"/>
  <c r="G132" i="1" s="1"/>
  <c r="F152" i="1"/>
  <c r="G152" i="1" s="1"/>
  <c r="F72" i="1"/>
  <c r="G72" i="1" s="1"/>
  <c r="F78" i="1"/>
  <c r="G78" i="1" s="1"/>
  <c r="F292" i="1"/>
  <c r="G292" i="1" s="1"/>
  <c r="F151" i="1"/>
  <c r="G151" i="1" s="1"/>
  <c r="F237" i="1"/>
  <c r="G237" i="1" s="1"/>
  <c r="F136" i="1"/>
  <c r="G136" i="1" s="1"/>
  <c r="F51" i="1"/>
  <c r="G51" i="1" s="1"/>
  <c r="F324" i="1"/>
  <c r="G324" i="1" s="1"/>
  <c r="F33" i="1"/>
  <c r="G33" i="1" s="1"/>
  <c r="F375" i="1"/>
  <c r="G375" i="1" s="1"/>
  <c r="F374" i="1"/>
  <c r="G374" i="1" s="1"/>
  <c r="F345" i="1" l="1"/>
  <c r="G345" i="1" s="1"/>
  <c r="F138" i="1"/>
  <c r="G138" i="1" s="1"/>
  <c r="F70" i="1"/>
  <c r="G70" i="1" s="1"/>
  <c r="F180" i="1"/>
  <c r="G180" i="1" s="1"/>
  <c r="F6" i="1"/>
  <c r="F110" i="1"/>
  <c r="G110" i="1" s="1"/>
  <c r="F71" i="1"/>
  <c r="G71" i="1" s="1"/>
  <c r="F167" i="1"/>
  <c r="G167" i="1" s="1"/>
  <c r="F372" i="1"/>
  <c r="G372" i="1" s="1"/>
  <c r="F59" i="1"/>
  <c r="G59" i="1" s="1"/>
  <c r="F125" i="1"/>
  <c r="G125" i="1" s="1"/>
  <c r="F321" i="1"/>
  <c r="G321" i="1" s="1"/>
  <c r="F45" i="1"/>
  <c r="G45" i="1" s="1"/>
  <c r="F347" i="1"/>
  <c r="G347" i="1" s="1"/>
  <c r="F389" i="1"/>
  <c r="G389" i="1" s="1"/>
  <c r="F130" i="1"/>
  <c r="G130" i="1" s="1"/>
  <c r="F54" i="1" l="1"/>
  <c r="G54" i="1" s="1"/>
  <c r="G6" i="1"/>
  <c r="F218" i="1"/>
  <c r="G218" i="1" s="1"/>
  <c r="F341" i="1"/>
  <c r="G341" i="1" s="1"/>
  <c r="F157" i="1"/>
  <c r="G157" i="1" s="1"/>
  <c r="F219" i="1"/>
  <c r="G219" i="1" s="1"/>
  <c r="F380" i="1" l="1"/>
  <c r="G380" i="1" s="1"/>
  <c r="F232" i="1"/>
  <c r="G232" i="1" s="1"/>
  <c r="F117" i="1"/>
  <c r="G117" i="1" s="1"/>
  <c r="F247" i="1"/>
  <c r="G247" i="1" s="1"/>
  <c r="F56" i="1"/>
  <c r="G56" i="1" s="1"/>
  <c r="F230" i="1" l="1"/>
  <c r="G230" i="1" s="1"/>
  <c r="F101" i="1"/>
  <c r="G101" i="1" s="1"/>
  <c r="F61" i="1"/>
  <c r="G61" i="1" s="1"/>
  <c r="F155" i="1"/>
  <c r="G155" i="1" s="1"/>
  <c r="F277" i="1"/>
  <c r="G277" i="1" s="1"/>
  <c r="F226" i="1"/>
  <c r="G226" i="1" s="1"/>
  <c r="F317" i="1" l="1"/>
  <c r="G317" i="1" s="1"/>
  <c r="F239" i="1"/>
  <c r="G239" i="1" s="1"/>
  <c r="F227" i="1"/>
  <c r="G227" i="1" s="1"/>
  <c r="F258" i="1"/>
  <c r="G258" i="1" s="1"/>
  <c r="F39" i="1"/>
  <c r="G39" i="1" s="1"/>
  <c r="F168" i="1" l="1"/>
  <c r="G168" i="1" s="1"/>
  <c r="F306" i="1"/>
  <c r="G306" i="1" s="1"/>
  <c r="F53" i="1"/>
  <c r="G53" i="1" s="1"/>
  <c r="F271" i="1"/>
  <c r="G271" i="1" s="1"/>
  <c r="F174" i="1"/>
  <c r="G174" i="1" s="1"/>
  <c r="F276" i="1"/>
  <c r="G276" i="1" s="1"/>
  <c r="F160" i="1"/>
  <c r="G160" i="1" s="1"/>
  <c r="F309" i="1"/>
  <c r="G309" i="1" s="1"/>
  <c r="F150" i="1"/>
  <c r="G150" i="1" s="1"/>
  <c r="F238" i="1" l="1"/>
  <c r="G238" i="1" s="1"/>
  <c r="F235" i="1"/>
  <c r="G235" i="1" s="1"/>
  <c r="F99" i="1" l="1"/>
  <c r="G99" i="1" s="1"/>
  <c r="F30" i="1"/>
  <c r="F74" i="1" l="1"/>
  <c r="G74" i="1" s="1"/>
  <c r="G30" i="1"/>
  <c r="F363" i="1" l="1"/>
  <c r="G363" i="1" s="1"/>
  <c r="F73" i="1"/>
  <c r="G73" i="1" s="1"/>
  <c r="F382" i="1" l="1"/>
  <c r="G382" i="1" s="1"/>
  <c r="F384" i="1" l="1"/>
  <c r="G384" i="1" s="1"/>
  <c r="F362" i="1" l="1"/>
  <c r="G362" i="1" s="1"/>
  <c r="F55" i="1" l="1"/>
  <c r="G55" i="1" l="1"/>
  <c r="F162" i="1"/>
  <c r="G162" i="1" s="1"/>
  <c r="F161" i="1" l="1"/>
  <c r="G161" i="1" l="1"/>
  <c r="G407" i="1" s="1"/>
  <c r="C8" i="17" s="1"/>
  <c r="F407" i="1"/>
  <c r="E48" i="19" l="1"/>
  <c r="E45" i="19"/>
  <c r="E44" i="19"/>
  <c r="E43" i="19"/>
  <c r="E39" i="19"/>
  <c r="E36" i="19"/>
  <c r="E35" i="19"/>
  <c r="E34" i="19"/>
  <c r="E33" i="19"/>
  <c r="E31" i="19"/>
  <c r="E30" i="19"/>
  <c r="E27" i="19"/>
  <c r="E26" i="19"/>
  <c r="E24" i="19"/>
  <c r="E23" i="19"/>
  <c r="E22" i="19"/>
  <c r="E21" i="19"/>
  <c r="E20" i="19"/>
  <c r="E19" i="19"/>
  <c r="E16" i="19"/>
  <c r="E14" i="19"/>
  <c r="E12" i="19"/>
  <c r="E10" i="19"/>
  <c r="E8" i="19"/>
  <c r="E7" i="19"/>
  <c r="E6" i="19"/>
  <c r="E5" i="19"/>
  <c r="E49" i="19"/>
  <c r="E46" i="19"/>
  <c r="E42" i="19"/>
  <c r="E41" i="19"/>
  <c r="E40" i="19"/>
  <c r="E37" i="19"/>
  <c r="E32" i="19"/>
  <c r="E29" i="19"/>
  <c r="E28" i="19"/>
  <c r="E25" i="19"/>
  <c r="E18" i="19"/>
  <c r="E17" i="19"/>
  <c r="E13" i="19"/>
  <c r="E11" i="19"/>
  <c r="F16" i="19" l="1"/>
  <c r="G16" i="19" s="1"/>
  <c r="F32" i="19"/>
  <c r="G32" i="19" s="1"/>
  <c r="F28" i="19"/>
  <c r="G28" i="19" s="1"/>
  <c r="F25" i="19"/>
  <c r="G25" i="19" s="1"/>
  <c r="F29" i="19"/>
  <c r="G29" i="19" s="1"/>
  <c r="F19" i="19"/>
  <c r="G19" i="19" s="1"/>
  <c r="F20" i="19"/>
  <c r="G20" i="19" s="1"/>
  <c r="F33" i="19"/>
  <c r="G33" i="19" s="1"/>
  <c r="F5" i="19"/>
  <c r="F22" i="19"/>
  <c r="G22" i="19" s="1"/>
  <c r="E9" i="19"/>
  <c r="E15" i="19"/>
  <c r="E38" i="19"/>
  <c r="E47" i="19"/>
  <c r="F31" i="19"/>
  <c r="G31" i="19" s="1"/>
  <c r="F38" i="19"/>
  <c r="G38" i="19" s="1"/>
  <c r="F13" i="19"/>
  <c r="G13" i="19" s="1"/>
  <c r="F21" i="19"/>
  <c r="G21" i="19" s="1"/>
  <c r="F49" i="19"/>
  <c r="G49" i="19" s="1"/>
  <c r="F39" i="19"/>
  <c r="G39" i="19" s="1"/>
  <c r="F46" i="19"/>
  <c r="G46" i="19" s="1"/>
  <c r="F14" i="19"/>
  <c r="G14" i="19" s="1"/>
  <c r="F12" i="19"/>
  <c r="G12" i="19" s="1"/>
  <c r="F43" i="19"/>
  <c r="G43" i="19" s="1"/>
  <c r="F8" i="19"/>
  <c r="G8" i="19" s="1"/>
  <c r="F9" i="19"/>
  <c r="F47" i="19"/>
  <c r="F44" i="19"/>
  <c r="G44" i="19" s="1"/>
  <c r="F7" i="19"/>
  <c r="G7" i="19" s="1"/>
  <c r="F24" i="19"/>
  <c r="G24" i="19" s="1"/>
  <c r="F23" i="19"/>
  <c r="G23" i="19" s="1"/>
  <c r="F26" i="19"/>
  <c r="G26" i="19" s="1"/>
  <c r="F48" i="19"/>
  <c r="G48" i="19" s="1"/>
  <c r="F37" i="19"/>
  <c r="G37" i="19" s="1"/>
  <c r="F40" i="19"/>
  <c r="G40" i="19" s="1"/>
  <c r="F41" i="19"/>
  <c r="G41" i="19" s="1"/>
  <c r="F35" i="19"/>
  <c r="G35" i="19" s="1"/>
  <c r="F45" i="19"/>
  <c r="G45" i="19" s="1"/>
  <c r="F15" i="19"/>
  <c r="F30" i="19"/>
  <c r="G30" i="19" s="1"/>
  <c r="F42" i="19"/>
  <c r="G42" i="19" s="1"/>
  <c r="F10" i="19"/>
  <c r="G10" i="19" s="1"/>
  <c r="F17" i="19"/>
  <c r="G17" i="19" s="1"/>
  <c r="F34" i="19"/>
  <c r="G34" i="19" s="1"/>
  <c r="F6" i="19"/>
  <c r="G6" i="19" s="1"/>
  <c r="F11" i="19"/>
  <c r="G11" i="19" s="1"/>
  <c r="F27" i="19"/>
  <c r="G27" i="19" s="1"/>
  <c r="G47" i="19" l="1"/>
  <c r="G15" i="19"/>
  <c r="G9" i="19"/>
  <c r="G5" i="19"/>
  <c r="F18" i="19"/>
  <c r="G18" i="19" s="1"/>
  <c r="F36" i="19"/>
  <c r="G36" i="19" s="1"/>
  <c r="G51" i="19" l="1"/>
  <c r="C15" i="17" s="1"/>
  <c r="F51" i="19"/>
  <c r="E42" i="4"/>
  <c r="F34" i="4" l="1"/>
  <c r="G34" i="4" s="1"/>
  <c r="E116" i="4" l="1"/>
  <c r="F116" i="4"/>
  <c r="E117" i="4"/>
  <c r="F117" i="4"/>
  <c r="E115" i="4"/>
  <c r="F115" i="4"/>
  <c r="E113" i="4"/>
  <c r="E112" i="4"/>
  <c r="E111" i="4"/>
  <c r="F111" i="4"/>
  <c r="E110" i="4"/>
  <c r="F110" i="4"/>
  <c r="E108" i="4"/>
  <c r="F108" i="4"/>
  <c r="E106" i="4"/>
  <c r="E104" i="4"/>
  <c r="F104" i="4"/>
  <c r="E105" i="4"/>
  <c r="F105" i="4"/>
  <c r="E102" i="4"/>
  <c r="F102" i="4"/>
  <c r="E101" i="4"/>
  <c r="F101" i="4"/>
  <c r="E100" i="4"/>
  <c r="F100" i="4"/>
  <c r="E99" i="4"/>
  <c r="F99" i="4"/>
  <c r="E98" i="4"/>
  <c r="F98" i="4"/>
  <c r="G98" i="4" s="1"/>
  <c r="E97" i="4"/>
  <c r="F97" i="4"/>
  <c r="E96" i="4"/>
  <c r="F96" i="4"/>
  <c r="E95" i="4"/>
  <c r="F95" i="4"/>
  <c r="E94" i="4"/>
  <c r="E93" i="4"/>
  <c r="F93" i="4"/>
  <c r="E92" i="4"/>
  <c r="F92" i="4"/>
  <c r="G92" i="4" s="1"/>
  <c r="E91" i="4"/>
  <c r="F91" i="4"/>
  <c r="E90" i="4"/>
  <c r="F90" i="4"/>
  <c r="E89" i="4"/>
  <c r="F89" i="4"/>
  <c r="G89" i="4" s="1"/>
  <c r="E88" i="4"/>
  <c r="E86" i="4"/>
  <c r="F86" i="4"/>
  <c r="E85" i="4"/>
  <c r="E84" i="4"/>
  <c r="F84" i="4"/>
  <c r="E83" i="4"/>
  <c r="F83" i="4"/>
  <c r="E82" i="4"/>
  <c r="F82" i="4"/>
  <c r="G82" i="4" s="1"/>
  <c r="E81" i="4"/>
  <c r="F81" i="4"/>
  <c r="E80" i="4"/>
  <c r="E79" i="4"/>
  <c r="F79" i="4"/>
  <c r="E77" i="4"/>
  <c r="F77" i="4"/>
  <c r="E76" i="4"/>
  <c r="F76" i="4"/>
  <c r="E75" i="4"/>
  <c r="F75" i="4"/>
  <c r="E74" i="4"/>
  <c r="E73" i="4"/>
  <c r="F73" i="4"/>
  <c r="G73" i="4" s="1"/>
  <c r="E72" i="4"/>
  <c r="F72" i="4"/>
  <c r="E71" i="4"/>
  <c r="E70" i="4"/>
  <c r="F70" i="4"/>
  <c r="E69" i="4"/>
  <c r="F69" i="4"/>
  <c r="E68" i="4"/>
  <c r="F68" i="4"/>
  <c r="E67" i="4"/>
  <c r="G67" i="4" s="1"/>
  <c r="F67" i="4"/>
  <c r="E66" i="4"/>
  <c r="F66" i="4"/>
  <c r="E65" i="4"/>
  <c r="F65" i="4"/>
  <c r="E64" i="4"/>
  <c r="F64" i="4"/>
  <c r="E63" i="4"/>
  <c r="F63" i="4"/>
  <c r="E62" i="4"/>
  <c r="E61" i="4"/>
  <c r="F61" i="4"/>
  <c r="E60" i="4"/>
  <c r="F60" i="4"/>
  <c r="G60" i="4" s="1"/>
  <c r="E58" i="4"/>
  <c r="F58" i="4"/>
  <c r="E57" i="4"/>
  <c r="E56" i="4"/>
  <c r="F56" i="4"/>
  <c r="E55" i="4"/>
  <c r="F55" i="4"/>
  <c r="E53" i="4"/>
  <c r="F53" i="4"/>
  <c r="E52" i="4"/>
  <c r="F52" i="4"/>
  <c r="E51" i="4"/>
  <c r="F51" i="4"/>
  <c r="E50" i="4"/>
  <c r="F50" i="4"/>
  <c r="E49" i="4"/>
  <c r="F49" i="4"/>
  <c r="E48" i="4"/>
  <c r="G48" i="4" s="1"/>
  <c r="F48" i="4"/>
  <c r="E47" i="4"/>
  <c r="E46" i="4"/>
  <c r="E45" i="4"/>
  <c r="E44" i="4"/>
  <c r="F44" i="4"/>
  <c r="E43" i="4"/>
  <c r="F43" i="4"/>
  <c r="E41" i="4"/>
  <c r="F41" i="4"/>
  <c r="G41" i="4" s="1"/>
  <c r="E40" i="4"/>
  <c r="F40" i="4"/>
  <c r="E39" i="4"/>
  <c r="F39" i="4"/>
  <c r="E38" i="4"/>
  <c r="F38" i="4"/>
  <c r="E37" i="4"/>
  <c r="E33" i="4"/>
  <c r="F33" i="4"/>
  <c r="E32" i="4"/>
  <c r="F32" i="4"/>
  <c r="E31" i="4"/>
  <c r="F31" i="4"/>
  <c r="E30" i="4"/>
  <c r="E28" i="4"/>
  <c r="F28" i="4"/>
  <c r="E27" i="4"/>
  <c r="F27" i="4"/>
  <c r="E26" i="4"/>
  <c r="F26" i="4"/>
  <c r="E25" i="4"/>
  <c r="F25" i="4"/>
  <c r="E24" i="4"/>
  <c r="F24" i="4"/>
  <c r="E23" i="4"/>
  <c r="F23" i="4"/>
  <c r="G23" i="4" s="1"/>
  <c r="E22" i="4"/>
  <c r="E21" i="4"/>
  <c r="F21" i="4"/>
  <c r="E20" i="4"/>
  <c r="F20" i="4"/>
  <c r="E19" i="4"/>
  <c r="F19" i="4"/>
  <c r="E18" i="4"/>
  <c r="E17" i="4"/>
  <c r="F17" i="4"/>
  <c r="E16" i="4"/>
  <c r="E15" i="4"/>
  <c r="F15" i="4"/>
  <c r="E14" i="4"/>
  <c r="F14" i="4"/>
  <c r="E13" i="4"/>
  <c r="F13" i="4"/>
  <c r="E12" i="4"/>
  <c r="F12" i="4"/>
  <c r="E11" i="4"/>
  <c r="F11" i="4"/>
  <c r="E10" i="4"/>
  <c r="F10" i="4"/>
  <c r="E9" i="4"/>
  <c r="F9" i="4"/>
  <c r="E8" i="4"/>
  <c r="F8" i="4"/>
  <c r="E7" i="4"/>
  <c r="F7" i="4"/>
  <c r="E6" i="4"/>
  <c r="F6" i="4"/>
  <c r="E5" i="4"/>
  <c r="F5" i="4"/>
  <c r="G108" i="4" l="1"/>
  <c r="G77" i="4"/>
  <c r="G26" i="4"/>
  <c r="G111" i="4"/>
  <c r="G52" i="4"/>
  <c r="G31" i="4"/>
  <c r="G115" i="4"/>
  <c r="G5" i="4"/>
  <c r="G117" i="4"/>
  <c r="G38" i="4"/>
  <c r="G69" i="4"/>
  <c r="G40" i="4"/>
  <c r="G51" i="4"/>
  <c r="G70" i="4"/>
  <c r="G99" i="4"/>
  <c r="G101" i="4"/>
  <c r="G93" i="4"/>
  <c r="G102" i="4"/>
  <c r="G15" i="4"/>
  <c r="G24" i="4"/>
  <c r="G58" i="4"/>
  <c r="G53" i="4"/>
  <c r="G91" i="4"/>
  <c r="G44" i="4"/>
  <c r="G97" i="4"/>
  <c r="G6" i="4"/>
  <c r="G110" i="4"/>
  <c r="G21" i="4"/>
  <c r="G90" i="4"/>
  <c r="E29" i="4"/>
  <c r="E36" i="4"/>
  <c r="F62" i="4"/>
  <c r="G62" i="4" s="1"/>
  <c r="G66" i="4"/>
  <c r="G68" i="4"/>
  <c r="G7" i="4"/>
  <c r="G27" i="4"/>
  <c r="G32" i="4"/>
  <c r="G55" i="4"/>
  <c r="G95" i="4"/>
  <c r="G19" i="4"/>
  <c r="G65" i="4"/>
  <c r="G17" i="4"/>
  <c r="G8" i="4"/>
  <c r="G28" i="4"/>
  <c r="G33" i="4"/>
  <c r="G56" i="4"/>
  <c r="G79" i="4"/>
  <c r="G25" i="4"/>
  <c r="G64" i="4"/>
  <c r="G84" i="4"/>
  <c r="G100" i="4"/>
  <c r="G12" i="4"/>
  <c r="G20" i="4"/>
  <c r="G61" i="4"/>
  <c r="G63" i="4"/>
  <c r="G75" i="4"/>
  <c r="G86" i="4"/>
  <c r="G49" i="4"/>
  <c r="G9" i="4"/>
  <c r="G43" i="4"/>
  <c r="G83" i="4"/>
  <c r="G105" i="4"/>
  <c r="G11" i="4"/>
  <c r="G72" i="4"/>
  <c r="G76" i="4"/>
  <c r="G81" i="4"/>
  <c r="G13" i="4"/>
  <c r="G14" i="4"/>
  <c r="E107" i="4"/>
  <c r="G10" i="4"/>
  <c r="F29" i="4"/>
  <c r="F36" i="4"/>
  <c r="G39" i="4"/>
  <c r="G50" i="4"/>
  <c r="G104" i="4"/>
  <c r="G96" i="4"/>
  <c r="G116" i="4"/>
  <c r="F42" i="4"/>
  <c r="G42" i="4" s="1"/>
  <c r="F46" i="4"/>
  <c r="G46" i="4" s="1"/>
  <c r="F18" i="4"/>
  <c r="G18" i="4" s="1"/>
  <c r="F30" i="4"/>
  <c r="G30" i="4" s="1"/>
  <c r="F37" i="4"/>
  <c r="G37" i="4" s="1"/>
  <c r="F59" i="4"/>
  <c r="G59" i="4" s="1"/>
  <c r="F113" i="4"/>
  <c r="G113" i="4" s="1"/>
  <c r="F74" i="4"/>
  <c r="G74" i="4" s="1"/>
  <c r="F22" i="4"/>
  <c r="G22" i="4" s="1"/>
  <c r="F106" i="4"/>
  <c r="G106" i="4" s="1"/>
  <c r="F80" i="4"/>
  <c r="G80" i="4" s="1"/>
  <c r="G36" i="4" l="1"/>
  <c r="G29" i="4"/>
  <c r="F103" i="4"/>
  <c r="G103" i="4" s="1"/>
  <c r="F35" i="4"/>
  <c r="G35" i="4" s="1"/>
  <c r="F71" i="4"/>
  <c r="G71" i="4" s="1"/>
  <c r="F16" i="4"/>
  <c r="G16" i="4" l="1"/>
  <c r="F112" i="4"/>
  <c r="G112" i="4" s="1"/>
  <c r="F45" i="4"/>
  <c r="G45" i="4" s="1"/>
  <c r="F47" i="4"/>
  <c r="G47" i="4" s="1"/>
  <c r="F57" i="4"/>
  <c r="G57" i="4" s="1"/>
  <c r="F87" i="4" l="1"/>
  <c r="G87" i="4" s="1"/>
  <c r="F88" i="4" l="1"/>
  <c r="G88" i="4" s="1"/>
  <c r="F107" i="4" l="1"/>
  <c r="G107" i="4" s="1"/>
  <c r="F94" i="4"/>
  <c r="G94" i="4" s="1"/>
  <c r="F85" i="4"/>
  <c r="G85" i="4" s="1"/>
  <c r="F78" i="4" l="1"/>
  <c r="G78" i="4" s="1"/>
  <c r="F109" i="4"/>
  <c r="G109" i="4" s="1"/>
  <c r="F54" i="4" l="1"/>
  <c r="G54" i="4" l="1"/>
  <c r="G119" i="4" s="1"/>
  <c r="C17" i="17" s="1"/>
  <c r="F119" i="4"/>
  <c r="E110" i="13" l="1"/>
  <c r="E109" i="13"/>
  <c r="E108" i="13"/>
  <c r="F108" i="13"/>
  <c r="E106" i="13"/>
  <c r="E105" i="13"/>
  <c r="F104" i="13"/>
  <c r="F103" i="13"/>
  <c r="E101" i="13"/>
  <c r="F101" i="13"/>
  <c r="E100" i="13"/>
  <c r="E99" i="13"/>
  <c r="F99" i="13"/>
  <c r="E98" i="13"/>
  <c r="E96" i="13"/>
  <c r="E97" i="13"/>
  <c r="E94" i="13"/>
  <c r="E92" i="13"/>
  <c r="F92" i="13"/>
  <c r="E91" i="13"/>
  <c r="F90" i="13"/>
  <c r="F88" i="13"/>
  <c r="E48" i="13"/>
  <c r="F87" i="13"/>
  <c r="E86" i="13"/>
  <c r="E79" i="13"/>
  <c r="E69" i="13"/>
  <c r="E64" i="13"/>
  <c r="F64" i="13"/>
  <c r="E68" i="13"/>
  <c r="F67" i="13"/>
  <c r="E66" i="13"/>
  <c r="E65" i="13"/>
  <c r="E63" i="13"/>
  <c r="E61" i="13"/>
  <c r="F61" i="13"/>
  <c r="E60" i="13"/>
  <c r="E59" i="13"/>
  <c r="F59" i="13"/>
  <c r="E81" i="13"/>
  <c r="F81" i="13"/>
  <c r="E83" i="13"/>
  <c r="E78" i="13"/>
  <c r="F78" i="13"/>
  <c r="F50" i="13"/>
  <c r="E49" i="13"/>
  <c r="F49" i="13"/>
  <c r="F47" i="13"/>
  <c r="E44" i="13"/>
  <c r="E42" i="13"/>
  <c r="F85" i="13"/>
  <c r="F84" i="13"/>
  <c r="E39" i="13"/>
  <c r="E89" i="13"/>
  <c r="F89" i="13"/>
  <c r="E38" i="13"/>
  <c r="F38" i="13"/>
  <c r="E37" i="13"/>
  <c r="E36" i="13"/>
  <c r="F36" i="13"/>
  <c r="E33" i="13"/>
  <c r="F33" i="13"/>
  <c r="F32" i="13"/>
  <c r="E35" i="13"/>
  <c r="F35" i="13"/>
  <c r="E34" i="13"/>
  <c r="F34" i="13"/>
  <c r="E31" i="13"/>
  <c r="F31" i="13"/>
  <c r="E30" i="13"/>
  <c r="F29" i="13"/>
  <c r="E76" i="13"/>
  <c r="E28" i="13"/>
  <c r="E27" i="13"/>
  <c r="E26" i="13"/>
  <c r="E25" i="13"/>
  <c r="F25" i="13"/>
  <c r="E24" i="13"/>
  <c r="E23" i="13"/>
  <c r="F23" i="13"/>
  <c r="E22" i="13"/>
  <c r="F22" i="13"/>
  <c r="F21" i="13"/>
  <c r="E20" i="13"/>
  <c r="F20" i="13"/>
  <c r="F18" i="13"/>
  <c r="E19" i="13"/>
  <c r="F19" i="13"/>
  <c r="E17" i="13"/>
  <c r="F17" i="13"/>
  <c r="E16" i="13"/>
  <c r="F16" i="13"/>
  <c r="E14" i="13"/>
  <c r="E13" i="13"/>
  <c r="F13" i="13"/>
  <c r="E12" i="13"/>
  <c r="G12" i="13" s="1"/>
  <c r="F12" i="13"/>
  <c r="E9" i="13"/>
  <c r="E8" i="13"/>
  <c r="E7" i="13"/>
  <c r="E6" i="13"/>
  <c r="E107" i="13"/>
  <c r="F106" i="13"/>
  <c r="G106" i="13" s="1"/>
  <c r="F105" i="13"/>
  <c r="G105" i="13" s="1"/>
  <c r="E104" i="13"/>
  <c r="E103" i="13"/>
  <c r="E102" i="13"/>
  <c r="F98" i="13"/>
  <c r="E95" i="13"/>
  <c r="F93" i="13"/>
  <c r="E93" i="13"/>
  <c r="G93" i="13" s="1"/>
  <c r="E90" i="13"/>
  <c r="G90" i="13" s="1"/>
  <c r="E87" i="13"/>
  <c r="E80" i="13"/>
  <c r="E75" i="13"/>
  <c r="E72" i="13"/>
  <c r="E67" i="13"/>
  <c r="F66" i="13"/>
  <c r="F65" i="13"/>
  <c r="F44" i="13"/>
  <c r="E10" i="13"/>
  <c r="G59" i="13" l="1"/>
  <c r="G20" i="13"/>
  <c r="G31" i="13"/>
  <c r="G101" i="13"/>
  <c r="G78" i="13"/>
  <c r="G87" i="13"/>
  <c r="G49" i="13"/>
  <c r="G67" i="13"/>
  <c r="G36" i="13"/>
  <c r="G64" i="13"/>
  <c r="G108" i="13"/>
  <c r="G99" i="13"/>
  <c r="G33" i="13"/>
  <c r="G22" i="13"/>
  <c r="G66" i="13"/>
  <c r="G34" i="13"/>
  <c r="G13" i="13"/>
  <c r="G16" i="13"/>
  <c r="G44" i="13"/>
  <c r="G81" i="13"/>
  <c r="G92" i="13"/>
  <c r="G103" i="13"/>
  <c r="G35" i="13"/>
  <c r="G61" i="13"/>
  <c r="G17" i="13"/>
  <c r="G38" i="13"/>
  <c r="G104" i="13"/>
  <c r="G25" i="13"/>
  <c r="G65" i="13"/>
  <c r="G23" i="13"/>
  <c r="G19" i="13"/>
  <c r="G89" i="13"/>
  <c r="G98" i="13"/>
  <c r="E15" i="13"/>
  <c r="E47" i="13"/>
  <c r="G47" i="13" s="1"/>
  <c r="E21" i="13"/>
  <c r="G21" i="13" s="1"/>
  <c r="E77" i="13"/>
  <c r="E29" i="13"/>
  <c r="G29" i="13" s="1"/>
  <c r="F30" i="13"/>
  <c r="G30" i="13" s="1"/>
  <c r="F80" i="13"/>
  <c r="G80" i="13" s="1"/>
  <c r="F95" i="13"/>
  <c r="G95" i="13" s="1"/>
  <c r="F26" i="13"/>
  <c r="G26" i="13" s="1"/>
  <c r="F24" i="13"/>
  <c r="G24" i="13" s="1"/>
  <c r="F28" i="13"/>
  <c r="G28" i="13" s="1"/>
  <c r="F110" i="13"/>
  <c r="G110" i="13" s="1"/>
  <c r="F42" i="13"/>
  <c r="G42" i="13" s="1"/>
  <c r="F68" i="13"/>
  <c r="G68" i="13" s="1"/>
  <c r="F86" i="13"/>
  <c r="G86" i="13" s="1"/>
  <c r="F15" i="13"/>
  <c r="F10" i="13"/>
  <c r="G10" i="13" s="1"/>
  <c r="F6" i="13"/>
  <c r="F69" i="13"/>
  <c r="G69" i="13" s="1"/>
  <c r="E85" i="13" l="1"/>
  <c r="G85" i="13" s="1"/>
  <c r="E84" i="13"/>
  <c r="G84" i="13" s="1"/>
  <c r="E18" i="13"/>
  <c r="G18" i="13" s="1"/>
  <c r="G15" i="13"/>
  <c r="E88" i="13"/>
  <c r="G88" i="13" s="1"/>
  <c r="E32" i="13"/>
  <c r="G32" i="13" s="1"/>
  <c r="E50" i="13"/>
  <c r="G50" i="13" s="1"/>
  <c r="G6" i="13"/>
  <c r="F75" i="13"/>
  <c r="G75" i="13" s="1"/>
  <c r="F96" i="13"/>
  <c r="G96" i="13" s="1"/>
  <c r="F91" i="13"/>
  <c r="G91" i="13" s="1"/>
  <c r="F97" i="13"/>
  <c r="G97" i="13" s="1"/>
  <c r="F7" i="13"/>
  <c r="G7" i="13" s="1"/>
  <c r="F94" i="13"/>
  <c r="G94" i="13" s="1"/>
  <c r="F83" i="13"/>
  <c r="G83" i="13" s="1"/>
  <c r="F37" i="13"/>
  <c r="G37" i="13" s="1"/>
  <c r="F27" i="13" l="1"/>
  <c r="G27" i="13" s="1"/>
  <c r="F102" i="13"/>
  <c r="G102" i="13" s="1"/>
  <c r="F14" i="13"/>
  <c r="G14" i="13" s="1"/>
  <c r="F100" i="13"/>
  <c r="G100" i="13" s="1"/>
  <c r="F63" i="13"/>
  <c r="G63" i="13" s="1"/>
  <c r="F107" i="13"/>
  <c r="G107" i="13" s="1"/>
  <c r="F8" i="13" l="1"/>
  <c r="F73" i="13"/>
  <c r="G73" i="13" s="1"/>
  <c r="F39" i="13"/>
  <c r="G39" i="13" s="1"/>
  <c r="F48" i="13" l="1"/>
  <c r="G48" i="13" s="1"/>
  <c r="G8" i="13"/>
  <c r="F76" i="13" l="1"/>
  <c r="G76" i="13" s="1"/>
  <c r="F79" i="13"/>
  <c r="G79" i="13" s="1"/>
  <c r="F109" i="13"/>
  <c r="G109" i="13" s="1"/>
  <c r="F72" i="13" l="1"/>
  <c r="G72" i="13" s="1"/>
  <c r="F9" i="13"/>
  <c r="F60" i="13"/>
  <c r="G60" i="13" s="1"/>
  <c r="G9" i="13" l="1"/>
  <c r="F77" i="13" l="1"/>
  <c r="G77" i="13" l="1"/>
  <c r="G113" i="13" s="1"/>
  <c r="C11" i="17" s="1"/>
  <c r="F113" i="13"/>
  <c r="E137" i="16" l="1"/>
  <c r="F137" i="16"/>
  <c r="G137" i="16" s="1"/>
  <c r="E138" i="16"/>
  <c r="F136" i="16"/>
  <c r="E135" i="16"/>
  <c r="F135" i="16"/>
  <c r="G135" i="16" s="1"/>
  <c r="E134" i="16"/>
  <c r="F134" i="16"/>
  <c r="F132" i="16"/>
  <c r="E131" i="16"/>
  <c r="F131" i="16"/>
  <c r="E130" i="16"/>
  <c r="E126" i="16"/>
  <c r="E129" i="16"/>
  <c r="F129" i="16"/>
  <c r="E128" i="16"/>
  <c r="F128" i="16"/>
  <c r="F127" i="16"/>
  <c r="F125" i="16"/>
  <c r="F124" i="16"/>
  <c r="E123" i="16"/>
  <c r="E122" i="16"/>
  <c r="F122" i="16"/>
  <c r="E121" i="16"/>
  <c r="F121" i="16"/>
  <c r="E120" i="16"/>
  <c r="F120" i="16"/>
  <c r="E119" i="16"/>
  <c r="F119" i="16"/>
  <c r="G119" i="16" s="1"/>
  <c r="E118" i="16"/>
  <c r="F118" i="16"/>
  <c r="G118" i="16" s="1"/>
  <c r="F116" i="16"/>
  <c r="E117" i="16"/>
  <c r="F117" i="16"/>
  <c r="G117" i="16" s="1"/>
  <c r="E114" i="16"/>
  <c r="E113" i="16"/>
  <c r="F112" i="16"/>
  <c r="E111" i="16"/>
  <c r="F111" i="16"/>
  <c r="E110" i="16"/>
  <c r="F110" i="16"/>
  <c r="G110" i="16" s="1"/>
  <c r="E108" i="16"/>
  <c r="F107" i="16"/>
  <c r="E106" i="16"/>
  <c r="F106" i="16"/>
  <c r="E105" i="16"/>
  <c r="F105" i="16"/>
  <c r="E104" i="16"/>
  <c r="F103" i="16"/>
  <c r="E102" i="16"/>
  <c r="F101" i="16"/>
  <c r="E100" i="16"/>
  <c r="F100" i="16"/>
  <c r="G100" i="16" s="1"/>
  <c r="E99" i="16"/>
  <c r="E98" i="16"/>
  <c r="E97" i="16"/>
  <c r="F97" i="16"/>
  <c r="G97" i="16" s="1"/>
  <c r="E96" i="16"/>
  <c r="F96" i="16"/>
  <c r="G96" i="16" s="1"/>
  <c r="F95" i="16"/>
  <c r="F94" i="16"/>
  <c r="E93" i="16"/>
  <c r="F93" i="16"/>
  <c r="G93" i="16" s="1"/>
  <c r="F92" i="16"/>
  <c r="E91" i="16"/>
  <c r="F91" i="16"/>
  <c r="G91" i="16" s="1"/>
  <c r="E90" i="16"/>
  <c r="F90" i="16"/>
  <c r="E89" i="16"/>
  <c r="F89" i="16"/>
  <c r="G89" i="16" s="1"/>
  <c r="E88" i="16"/>
  <c r="F88" i="16"/>
  <c r="G88" i="16" s="1"/>
  <c r="F87" i="16"/>
  <c r="E86" i="16"/>
  <c r="F86" i="16"/>
  <c r="G86" i="16" s="1"/>
  <c r="F85" i="16"/>
  <c r="E84" i="16"/>
  <c r="F84" i="16"/>
  <c r="E83" i="16"/>
  <c r="F83" i="16"/>
  <c r="F82" i="16"/>
  <c r="E81" i="16"/>
  <c r="F81" i="16"/>
  <c r="E80" i="16"/>
  <c r="E79" i="16"/>
  <c r="E78" i="16"/>
  <c r="F78" i="16"/>
  <c r="G78" i="16" s="1"/>
  <c r="E77" i="16"/>
  <c r="F76" i="16"/>
  <c r="E75" i="16"/>
  <c r="F75" i="16"/>
  <c r="G75" i="16" s="1"/>
  <c r="E74" i="16"/>
  <c r="F74" i="16"/>
  <c r="G74" i="16" s="1"/>
  <c r="F72" i="16"/>
  <c r="E73" i="16"/>
  <c r="F73" i="16"/>
  <c r="G73" i="16" s="1"/>
  <c r="E71" i="16"/>
  <c r="F70" i="16"/>
  <c r="E69" i="16"/>
  <c r="E68" i="16"/>
  <c r="E66" i="16"/>
  <c r="E67" i="16"/>
  <c r="F67" i="16"/>
  <c r="E65" i="16"/>
  <c r="F65" i="16"/>
  <c r="G65" i="16" s="1"/>
  <c r="E64" i="16"/>
  <c r="F64" i="16"/>
  <c r="E63" i="16"/>
  <c r="F63" i="16"/>
  <c r="E62" i="16"/>
  <c r="E61" i="16"/>
  <c r="E58" i="16"/>
  <c r="E60" i="16"/>
  <c r="F60" i="16"/>
  <c r="G60" i="16" s="1"/>
  <c r="E59" i="16"/>
  <c r="E57" i="16"/>
  <c r="E56" i="16"/>
  <c r="F55" i="16"/>
  <c r="E54" i="16"/>
  <c r="F52" i="16"/>
  <c r="E51" i="16"/>
  <c r="F51" i="16"/>
  <c r="E50" i="16"/>
  <c r="E49" i="16"/>
  <c r="F49" i="16"/>
  <c r="G49" i="16" s="1"/>
  <c r="E48" i="16"/>
  <c r="F48" i="16"/>
  <c r="E47" i="16"/>
  <c r="F47" i="16"/>
  <c r="E46" i="16"/>
  <c r="F46" i="16"/>
  <c r="E45" i="16"/>
  <c r="F45" i="16"/>
  <c r="E44" i="16"/>
  <c r="E43" i="16"/>
  <c r="E42" i="16"/>
  <c r="E41" i="16"/>
  <c r="F41" i="16"/>
  <c r="E40" i="16"/>
  <c r="F40" i="16"/>
  <c r="E38" i="16"/>
  <c r="E37" i="16"/>
  <c r="E36" i="16"/>
  <c r="F36" i="16"/>
  <c r="E35" i="16"/>
  <c r="F35" i="16"/>
  <c r="F34" i="16"/>
  <c r="E33" i="16"/>
  <c r="F33" i="16"/>
  <c r="G33" i="16" s="1"/>
  <c r="E32" i="16"/>
  <c r="F32" i="16"/>
  <c r="E31" i="16"/>
  <c r="F31" i="16"/>
  <c r="G31" i="16" s="1"/>
  <c r="E30" i="16"/>
  <c r="F30" i="16"/>
  <c r="E29" i="16"/>
  <c r="F29" i="16"/>
  <c r="G29" i="16" s="1"/>
  <c r="E28" i="16"/>
  <c r="F28" i="16"/>
  <c r="E27" i="16"/>
  <c r="F27" i="16"/>
  <c r="E26" i="16"/>
  <c r="F26" i="16"/>
  <c r="E25" i="16"/>
  <c r="F25" i="16"/>
  <c r="E24" i="16"/>
  <c r="E23" i="16"/>
  <c r="E22" i="16"/>
  <c r="E21" i="16"/>
  <c r="E20" i="16"/>
  <c r="E19" i="16"/>
  <c r="E18" i="16"/>
  <c r="F18" i="16"/>
  <c r="G18" i="16" s="1"/>
  <c r="E17" i="16"/>
  <c r="E16" i="16"/>
  <c r="E15" i="16"/>
  <c r="E14" i="16"/>
  <c r="F14" i="16"/>
  <c r="G14" i="16" s="1"/>
  <c r="E13" i="16"/>
  <c r="F13" i="16"/>
  <c r="G13" i="16" s="1"/>
  <c r="E12" i="16"/>
  <c r="F12" i="16"/>
  <c r="G12" i="16" s="1"/>
  <c r="E11" i="16"/>
  <c r="E10" i="16"/>
  <c r="F10" i="16"/>
  <c r="G10" i="16" s="1"/>
  <c r="E9" i="16"/>
  <c r="F9" i="16"/>
  <c r="G9" i="16" s="1"/>
  <c r="F8" i="16"/>
  <c r="E7" i="16"/>
  <c r="F7" i="16"/>
  <c r="E6" i="16"/>
  <c r="F6" i="16"/>
  <c r="E5" i="16"/>
  <c r="E136" i="16"/>
  <c r="F133" i="16"/>
  <c r="E133" i="16"/>
  <c r="E132" i="16"/>
  <c r="E127" i="16"/>
  <c r="E125" i="16"/>
  <c r="E124" i="16"/>
  <c r="E116" i="16"/>
  <c r="E115" i="16"/>
  <c r="F113" i="16"/>
  <c r="G113" i="16" s="1"/>
  <c r="E112" i="16"/>
  <c r="F109" i="16"/>
  <c r="E109" i="16"/>
  <c r="E107" i="16"/>
  <c r="F104" i="16"/>
  <c r="G104" i="16" s="1"/>
  <c r="E103" i="16"/>
  <c r="E101" i="16"/>
  <c r="E95" i="16"/>
  <c r="E94" i="16"/>
  <c r="E92" i="16"/>
  <c r="E87" i="16"/>
  <c r="E85" i="16"/>
  <c r="E82" i="16"/>
  <c r="E76" i="16"/>
  <c r="E72" i="16"/>
  <c r="E70" i="16"/>
  <c r="F68" i="16"/>
  <c r="G68" i="16" s="1"/>
  <c r="F66" i="16"/>
  <c r="G66" i="16" s="1"/>
  <c r="E55" i="16"/>
  <c r="F53" i="16"/>
  <c r="E53" i="16"/>
  <c r="E52" i="16"/>
  <c r="E39" i="16"/>
  <c r="E34" i="16"/>
  <c r="E8" i="16"/>
  <c r="G7" i="16" l="1"/>
  <c r="G122" i="16"/>
  <c r="G133" i="16"/>
  <c r="G81" i="16"/>
  <c r="G90" i="16"/>
  <c r="G27" i="16"/>
  <c r="G45" i="16"/>
  <c r="G129" i="16"/>
  <c r="G28" i="16"/>
  <c r="G26" i="16"/>
  <c r="G8" i="16"/>
  <c r="G51" i="16"/>
  <c r="G46" i="16"/>
  <c r="G30" i="16"/>
  <c r="G36" i="16"/>
  <c r="G101" i="16"/>
  <c r="G125" i="16"/>
  <c r="G52" i="16"/>
  <c r="G63" i="16"/>
  <c r="G82" i="16"/>
  <c r="G6" i="16"/>
  <c r="G67" i="16"/>
  <c r="G85" i="16"/>
  <c r="G94" i="16"/>
  <c r="G106" i="16"/>
  <c r="G111" i="16"/>
  <c r="G41" i="16"/>
  <c r="G47" i="16"/>
  <c r="G72" i="16"/>
  <c r="G76" i="16"/>
  <c r="G120" i="16"/>
  <c r="G127" i="16"/>
  <c r="G34" i="16"/>
  <c r="G40" i="16"/>
  <c r="G64" i="16"/>
  <c r="G83" i="16"/>
  <c r="G95" i="16"/>
  <c r="G105" i="16"/>
  <c r="G107" i="16"/>
  <c r="G121" i="16"/>
  <c r="G134" i="16"/>
  <c r="G48" i="16"/>
  <c r="G55" i="16"/>
  <c r="G87" i="16"/>
  <c r="G116" i="16"/>
  <c r="G128" i="16"/>
  <c r="G25" i="16"/>
  <c r="G35" i="16"/>
  <c r="G103" i="16"/>
  <c r="G70" i="16"/>
  <c r="G92" i="16"/>
  <c r="G112" i="16"/>
  <c r="G53" i="16"/>
  <c r="G84" i="16"/>
  <c r="G132" i="16"/>
  <c r="G131" i="16"/>
  <c r="G109" i="16"/>
  <c r="G32" i="16"/>
  <c r="G124" i="16"/>
  <c r="G136" i="16"/>
  <c r="F126" i="16"/>
  <c r="G126" i="16" s="1"/>
  <c r="F102" i="16"/>
  <c r="G102" i="16" s="1"/>
  <c r="F17" i="16"/>
  <c r="G17" i="16" s="1"/>
  <c r="F77" i="16"/>
  <c r="G77" i="16" s="1"/>
  <c r="F130" i="16"/>
  <c r="G130" i="16" s="1"/>
  <c r="F20" i="16"/>
  <c r="G20" i="16" s="1"/>
  <c r="F71" i="16"/>
  <c r="G71" i="16" s="1"/>
  <c r="F114" i="16" l="1"/>
  <c r="G114" i="16" s="1"/>
  <c r="F23" i="16"/>
  <c r="G23" i="16" s="1"/>
  <c r="F80" i="16"/>
  <c r="G80" i="16" s="1"/>
  <c r="F19" i="16"/>
  <c r="G19" i="16" s="1"/>
  <c r="F39" i="16"/>
  <c r="G39" i="16" s="1"/>
  <c r="F69" i="16"/>
  <c r="G69" i="16" s="1"/>
  <c r="F108" i="16" l="1"/>
  <c r="G108" i="16" s="1"/>
  <c r="F79" i="16"/>
  <c r="G79" i="16" s="1"/>
  <c r="F98" i="16"/>
  <c r="G98" i="16" s="1"/>
  <c r="F38" i="16"/>
  <c r="G38" i="16" s="1"/>
  <c r="F138" i="16"/>
  <c r="G138" i="16" s="1"/>
  <c r="F54" i="16"/>
  <c r="G54" i="16" s="1"/>
  <c r="F22" i="16" l="1"/>
  <c r="G22" i="16" s="1"/>
  <c r="F115" i="16"/>
  <c r="G115" i="16" s="1"/>
  <c r="F99" i="16" l="1"/>
  <c r="G99" i="16" s="1"/>
  <c r="F15" i="16"/>
  <c r="G15" i="16" s="1"/>
  <c r="F37" i="16" l="1"/>
  <c r="G37" i="16" s="1"/>
  <c r="F57" i="16"/>
  <c r="G57" i="16" s="1"/>
  <c r="F11" i="16"/>
  <c r="G11" i="16" s="1"/>
  <c r="F43" i="16"/>
  <c r="G43" i="16" s="1"/>
  <c r="F62" i="16" l="1"/>
  <c r="G62" i="16" s="1"/>
  <c r="F24" i="16"/>
  <c r="G24" i="16" s="1"/>
  <c r="F44" i="16"/>
  <c r="G44" i="16" s="1"/>
  <c r="F59" i="16"/>
  <c r="G59" i="16" s="1"/>
  <c r="F42" i="16" l="1"/>
  <c r="G42" i="16" s="1"/>
  <c r="F58" i="16" l="1"/>
  <c r="G58" i="16" s="1"/>
  <c r="F5" i="16" l="1"/>
  <c r="G5" i="16" l="1"/>
  <c r="F21" i="16" l="1"/>
  <c r="G21" i="16" s="1"/>
  <c r="F16" i="16" l="1"/>
  <c r="G16" i="16" l="1"/>
  <c r="F61" i="16" l="1"/>
  <c r="G61" i="16" s="1"/>
  <c r="F50" i="16" l="1"/>
  <c r="G50" i="16" l="1"/>
  <c r="F56" i="16" l="1"/>
  <c r="F123" i="16"/>
  <c r="G123" i="16" s="1"/>
  <c r="G56" i="16" l="1"/>
  <c r="F140" i="16"/>
  <c r="G140" i="16"/>
  <c r="C12" i="17" s="1"/>
  <c r="E19" i="15" l="1"/>
  <c r="E18" i="15" l="1"/>
  <c r="F18" i="15"/>
  <c r="F6" i="15"/>
  <c r="E16" i="15"/>
  <c r="F15" i="15"/>
  <c r="E17" i="15"/>
  <c r="E12" i="15"/>
  <c r="E13" i="15"/>
  <c r="E8" i="15"/>
  <c r="E11" i="15"/>
  <c r="E14" i="15"/>
  <c r="E7" i="15"/>
  <c r="F7" i="15"/>
  <c r="E10" i="15"/>
  <c r="E9" i="15"/>
  <c r="E15" i="15"/>
  <c r="G15" i="15" s="1"/>
  <c r="E6" i="15"/>
  <c r="E5" i="15"/>
  <c r="G7" i="15" l="1"/>
  <c r="G6" i="15"/>
  <c r="G18" i="15"/>
  <c r="F10" i="15"/>
  <c r="G10" i="15" s="1"/>
  <c r="F8" i="15"/>
  <c r="G8" i="15" s="1"/>
  <c r="F19" i="15"/>
  <c r="G19" i="15" s="1"/>
  <c r="F14" i="15"/>
  <c r="G14" i="15" s="1"/>
  <c r="F16" i="15" l="1"/>
  <c r="G16" i="15" s="1"/>
  <c r="F9" i="15" l="1"/>
  <c r="G9" i="15" s="1"/>
  <c r="F13" i="15" l="1"/>
  <c r="G13" i="15" s="1"/>
  <c r="F17" i="15"/>
  <c r="G17" i="15" s="1"/>
  <c r="F11" i="15"/>
  <c r="G11" i="15" s="1"/>
  <c r="F5" i="15" l="1"/>
  <c r="G5" i="15" l="1"/>
  <c r="F12" i="15"/>
  <c r="G12" i="15" s="1"/>
  <c r="G21" i="15" l="1"/>
  <c r="C19" i="17" s="1"/>
  <c r="F21" i="15"/>
  <c r="E818" i="14" l="1"/>
  <c r="E816" i="14"/>
  <c r="F816" i="14"/>
  <c r="F815" i="14"/>
  <c r="F813" i="14"/>
  <c r="E812" i="14"/>
  <c r="E811" i="14"/>
  <c r="E35" i="14"/>
  <c r="F807" i="14"/>
  <c r="E806" i="14"/>
  <c r="E805" i="14"/>
  <c r="E802" i="14"/>
  <c r="E800" i="14"/>
  <c r="F799" i="14"/>
  <c r="E795" i="14"/>
  <c r="E793" i="14"/>
  <c r="E792" i="14"/>
  <c r="F792" i="14"/>
  <c r="E789" i="14"/>
  <c r="E788" i="14"/>
  <c r="F787" i="14"/>
  <c r="F785" i="14"/>
  <c r="E784" i="14"/>
  <c r="E783" i="14"/>
  <c r="F781" i="14"/>
  <c r="E780" i="14"/>
  <c r="E778" i="14"/>
  <c r="F778" i="14"/>
  <c r="F777" i="14"/>
  <c r="E774" i="14"/>
  <c r="F774" i="14"/>
  <c r="E773" i="14"/>
  <c r="F772" i="14"/>
  <c r="F770" i="14"/>
  <c r="E769" i="14"/>
  <c r="F769" i="14"/>
  <c r="E768" i="14"/>
  <c r="F767" i="14"/>
  <c r="E766" i="14"/>
  <c r="E764" i="14"/>
  <c r="F763" i="14"/>
  <c r="E762" i="14"/>
  <c r="F762" i="14"/>
  <c r="E761" i="14"/>
  <c r="F761" i="14"/>
  <c r="E760" i="14"/>
  <c r="E758" i="14"/>
  <c r="F758" i="14"/>
  <c r="E757" i="14"/>
  <c r="E755" i="14"/>
  <c r="E754" i="14"/>
  <c r="F754" i="14"/>
  <c r="F753" i="14"/>
  <c r="E751" i="14"/>
  <c r="E749" i="14"/>
  <c r="E747" i="14"/>
  <c r="E745" i="14"/>
  <c r="F745" i="14"/>
  <c r="F744" i="14"/>
  <c r="E742" i="14"/>
  <c r="E741" i="14"/>
  <c r="F741" i="14"/>
  <c r="E740" i="14"/>
  <c r="E739" i="14"/>
  <c r="E738" i="14"/>
  <c r="E737" i="14"/>
  <c r="F737" i="14"/>
  <c r="E736" i="14"/>
  <c r="F736" i="14"/>
  <c r="E735" i="14"/>
  <c r="E734" i="14"/>
  <c r="F734" i="14"/>
  <c r="F732" i="14"/>
  <c r="E731" i="14"/>
  <c r="F731" i="14"/>
  <c r="F730" i="14"/>
  <c r="E729" i="14"/>
  <c r="E728" i="14"/>
  <c r="E727" i="14"/>
  <c r="F726" i="14"/>
  <c r="E725" i="14"/>
  <c r="F724" i="14"/>
  <c r="E723" i="14"/>
  <c r="F723" i="14"/>
  <c r="F722" i="14"/>
  <c r="F719" i="14"/>
  <c r="F718" i="14"/>
  <c r="F717" i="14"/>
  <c r="E716" i="14"/>
  <c r="E715" i="14"/>
  <c r="F714" i="14"/>
  <c r="E711" i="14"/>
  <c r="F710" i="14"/>
  <c r="E709" i="14"/>
  <c r="F707" i="14"/>
  <c r="E703" i="14"/>
  <c r="E702" i="14"/>
  <c r="E699" i="14"/>
  <c r="E698" i="14"/>
  <c r="F697" i="14"/>
  <c r="E695" i="14"/>
  <c r="F694" i="14"/>
  <c r="E693" i="14"/>
  <c r="E692" i="14"/>
  <c r="E690" i="14"/>
  <c r="F690" i="14"/>
  <c r="E689" i="14"/>
  <c r="F689" i="14"/>
  <c r="E688" i="14"/>
  <c r="E686" i="14"/>
  <c r="F686" i="14"/>
  <c r="E685" i="14"/>
  <c r="E684" i="14"/>
  <c r="F684" i="14"/>
  <c r="E682" i="14"/>
  <c r="F681" i="14"/>
  <c r="E680" i="14"/>
  <c r="F680" i="14"/>
  <c r="E679" i="14"/>
  <c r="F678" i="14"/>
  <c r="E677" i="14"/>
  <c r="F677" i="14"/>
  <c r="E676" i="14"/>
  <c r="F676" i="14"/>
  <c r="E675" i="14"/>
  <c r="E674" i="14"/>
  <c r="F674" i="14"/>
  <c r="F673" i="14"/>
  <c r="E672" i="14"/>
  <c r="G672" i="14" s="1"/>
  <c r="F672" i="14"/>
  <c r="E671" i="14"/>
  <c r="F671" i="14"/>
  <c r="F670" i="14"/>
  <c r="E669" i="14"/>
  <c r="F669" i="14"/>
  <c r="E668" i="14"/>
  <c r="F668" i="14"/>
  <c r="F667" i="14"/>
  <c r="F666" i="14"/>
  <c r="E665" i="14"/>
  <c r="F665" i="14"/>
  <c r="E664" i="14"/>
  <c r="F663" i="14"/>
  <c r="E662" i="14"/>
  <c r="E661" i="14"/>
  <c r="F661" i="14"/>
  <c r="E660" i="14"/>
  <c r="F660" i="14"/>
  <c r="E659" i="14"/>
  <c r="F659" i="14"/>
  <c r="F658" i="14"/>
  <c r="E657" i="14"/>
  <c r="E656" i="14"/>
  <c r="F656" i="14"/>
  <c r="E654" i="14"/>
  <c r="F652" i="14"/>
  <c r="E651" i="14"/>
  <c r="F651" i="14"/>
  <c r="E650" i="14"/>
  <c r="E649" i="14"/>
  <c r="F649" i="14"/>
  <c r="F648" i="14"/>
  <c r="F647" i="14"/>
  <c r="E646" i="14"/>
  <c r="E645" i="14"/>
  <c r="F645" i="14"/>
  <c r="E644" i="14"/>
  <c r="F644" i="14"/>
  <c r="E643" i="14"/>
  <c r="F643" i="14"/>
  <c r="F642" i="14"/>
  <c r="E641" i="14"/>
  <c r="F641" i="14"/>
  <c r="F640" i="14"/>
  <c r="E639" i="14"/>
  <c r="F638" i="14"/>
  <c r="E637" i="14"/>
  <c r="F637" i="14"/>
  <c r="E636" i="14"/>
  <c r="F636" i="14"/>
  <c r="E635" i="14"/>
  <c r="F635" i="14"/>
  <c r="E634" i="14"/>
  <c r="F633" i="14"/>
  <c r="E632" i="14"/>
  <c r="E631" i="14"/>
  <c r="F631" i="14"/>
  <c r="E630" i="14"/>
  <c r="F630" i="14"/>
  <c r="E629" i="14"/>
  <c r="E628" i="14"/>
  <c r="F628" i="14"/>
  <c r="E627" i="14"/>
  <c r="E626" i="14"/>
  <c r="F626" i="14"/>
  <c r="E625" i="14"/>
  <c r="F625" i="14"/>
  <c r="E624" i="14"/>
  <c r="E623" i="14"/>
  <c r="F623" i="14"/>
  <c r="E621" i="14"/>
  <c r="E620" i="14"/>
  <c r="E619" i="14"/>
  <c r="F619" i="14"/>
  <c r="E618" i="14"/>
  <c r="E617" i="14"/>
  <c r="F617" i="14"/>
  <c r="F616" i="14"/>
  <c r="E615" i="14"/>
  <c r="E614" i="14"/>
  <c r="F614" i="14"/>
  <c r="E613" i="14"/>
  <c r="F613" i="14"/>
  <c r="F612" i="14"/>
  <c r="F611" i="14"/>
  <c r="E610" i="14"/>
  <c r="E609" i="14"/>
  <c r="E608" i="14"/>
  <c r="F608" i="14"/>
  <c r="E607" i="14"/>
  <c r="F606" i="14"/>
  <c r="E604" i="14"/>
  <c r="F604" i="14"/>
  <c r="E603" i="14"/>
  <c r="F603" i="14"/>
  <c r="E602" i="14"/>
  <c r="F602" i="14"/>
  <c r="F823" i="14"/>
  <c r="E601" i="14"/>
  <c r="E600" i="14"/>
  <c r="F600" i="14"/>
  <c r="E599" i="14"/>
  <c r="E598" i="14"/>
  <c r="F597" i="14"/>
  <c r="E596" i="14"/>
  <c r="E595" i="14"/>
  <c r="F595" i="14"/>
  <c r="F594" i="14"/>
  <c r="E593" i="14"/>
  <c r="F593" i="14"/>
  <c r="E592" i="14"/>
  <c r="G592" i="14" s="1"/>
  <c r="F592" i="14"/>
  <c r="E591" i="14"/>
  <c r="E590" i="14"/>
  <c r="F590" i="14"/>
  <c r="E589" i="14"/>
  <c r="E588" i="14"/>
  <c r="F588" i="14"/>
  <c r="E587" i="14"/>
  <c r="F587" i="14"/>
  <c r="E586" i="14"/>
  <c r="E585" i="14"/>
  <c r="F585" i="14"/>
  <c r="E584" i="14"/>
  <c r="E583" i="14"/>
  <c r="F583" i="14"/>
  <c r="E582" i="14"/>
  <c r="F582" i="14"/>
  <c r="E581" i="14"/>
  <c r="E580" i="14"/>
  <c r="F580" i="14"/>
  <c r="E579" i="14"/>
  <c r="F579" i="14"/>
  <c r="F578" i="14"/>
  <c r="E577" i="14"/>
  <c r="F577" i="14"/>
  <c r="E576" i="14"/>
  <c r="F576" i="14"/>
  <c r="E575" i="14"/>
  <c r="F575" i="14"/>
  <c r="E574" i="14"/>
  <c r="F574" i="14"/>
  <c r="E573" i="14"/>
  <c r="E572" i="14"/>
  <c r="F572" i="14"/>
  <c r="E809" i="14"/>
  <c r="F809" i="14"/>
  <c r="E571" i="14"/>
  <c r="E570" i="14"/>
  <c r="F570" i="14"/>
  <c r="E569" i="14"/>
  <c r="G569" i="14" s="1"/>
  <c r="F569" i="14"/>
  <c r="E568" i="14"/>
  <c r="E567" i="14"/>
  <c r="F567" i="14"/>
  <c r="F566" i="14"/>
  <c r="E565" i="14"/>
  <c r="E564" i="14"/>
  <c r="E563" i="14"/>
  <c r="E562" i="14"/>
  <c r="F562" i="14"/>
  <c r="E561" i="14"/>
  <c r="F561" i="14"/>
  <c r="E560" i="14"/>
  <c r="F559" i="14"/>
  <c r="F558" i="14"/>
  <c r="E557" i="14"/>
  <c r="F557" i="14"/>
  <c r="E555" i="14"/>
  <c r="F555" i="14"/>
  <c r="F554" i="14"/>
  <c r="E553" i="14"/>
  <c r="E552" i="14"/>
  <c r="F552" i="14"/>
  <c r="E551" i="14"/>
  <c r="E549" i="14"/>
  <c r="F549" i="14"/>
  <c r="F548" i="14"/>
  <c r="E547" i="14"/>
  <c r="F546" i="14"/>
  <c r="F545" i="14"/>
  <c r="E544" i="14"/>
  <c r="F544" i="14"/>
  <c r="F543" i="14"/>
  <c r="E542" i="14"/>
  <c r="F542" i="14"/>
  <c r="E541" i="14"/>
  <c r="F541" i="14"/>
  <c r="E539" i="14"/>
  <c r="E538" i="14"/>
  <c r="F538" i="14"/>
  <c r="E537" i="14"/>
  <c r="E536" i="14"/>
  <c r="E534" i="14"/>
  <c r="E532" i="14"/>
  <c r="E531" i="14"/>
  <c r="F531" i="14"/>
  <c r="E530" i="14"/>
  <c r="E529" i="14"/>
  <c r="F529" i="14"/>
  <c r="F528" i="14"/>
  <c r="E527" i="14"/>
  <c r="F527" i="14"/>
  <c r="E526" i="14"/>
  <c r="E525" i="14"/>
  <c r="E524" i="14"/>
  <c r="E523" i="14"/>
  <c r="G523" i="14" s="1"/>
  <c r="F523" i="14"/>
  <c r="E522" i="14"/>
  <c r="E521" i="14"/>
  <c r="E520" i="14"/>
  <c r="E519" i="14"/>
  <c r="F519" i="14"/>
  <c r="E518" i="14"/>
  <c r="F518" i="14"/>
  <c r="E517" i="14"/>
  <c r="E516" i="14"/>
  <c r="F516" i="14"/>
  <c r="E515" i="14"/>
  <c r="F515" i="14"/>
  <c r="E514" i="14"/>
  <c r="F514" i="14"/>
  <c r="E513" i="14"/>
  <c r="F513" i="14"/>
  <c r="E511" i="14"/>
  <c r="F511" i="14"/>
  <c r="E510" i="14"/>
  <c r="F510" i="14"/>
  <c r="E509" i="14"/>
  <c r="E508" i="14"/>
  <c r="F508" i="14"/>
  <c r="E507" i="14"/>
  <c r="E506" i="14"/>
  <c r="F505" i="14"/>
  <c r="E504" i="14"/>
  <c r="F504" i="14"/>
  <c r="E503" i="14"/>
  <c r="F503" i="14"/>
  <c r="E502" i="14"/>
  <c r="E501" i="14"/>
  <c r="F501" i="14"/>
  <c r="E500" i="14"/>
  <c r="F500" i="14"/>
  <c r="E499" i="14"/>
  <c r="F499" i="14"/>
  <c r="E498" i="14"/>
  <c r="E497" i="14"/>
  <c r="E496" i="14"/>
  <c r="F496" i="14"/>
  <c r="E495" i="14"/>
  <c r="E494" i="14"/>
  <c r="F494" i="14"/>
  <c r="E493" i="14"/>
  <c r="F493" i="14"/>
  <c r="E492" i="14"/>
  <c r="F492" i="14"/>
  <c r="E491" i="14"/>
  <c r="F491" i="14"/>
  <c r="F490" i="14"/>
  <c r="F489" i="14"/>
  <c r="E488" i="14"/>
  <c r="F487" i="14"/>
  <c r="E486" i="14"/>
  <c r="F486" i="14"/>
  <c r="E485" i="14"/>
  <c r="F485" i="14"/>
  <c r="E484" i="14"/>
  <c r="F484" i="14"/>
  <c r="E483" i="14"/>
  <c r="F483" i="14"/>
  <c r="F482" i="14"/>
  <c r="E481" i="14"/>
  <c r="F481" i="14"/>
  <c r="E480" i="14"/>
  <c r="F480" i="14"/>
  <c r="F479" i="14"/>
  <c r="E478" i="14"/>
  <c r="F478" i="14"/>
  <c r="E477" i="14"/>
  <c r="G477" i="14" s="1"/>
  <c r="F477" i="14"/>
  <c r="E476" i="14"/>
  <c r="F476" i="14"/>
  <c r="E475" i="14"/>
  <c r="E474" i="14"/>
  <c r="F474" i="14"/>
  <c r="E473" i="14"/>
  <c r="F473" i="14"/>
  <c r="E472" i="14"/>
  <c r="E471" i="14"/>
  <c r="F471" i="14"/>
  <c r="E470" i="14"/>
  <c r="E469" i="14"/>
  <c r="G469" i="14" s="1"/>
  <c r="F469" i="14"/>
  <c r="E468" i="14"/>
  <c r="F468" i="14"/>
  <c r="F467" i="14"/>
  <c r="E466" i="14"/>
  <c r="F466" i="14"/>
  <c r="E465" i="14"/>
  <c r="F465" i="14"/>
  <c r="E464" i="14"/>
  <c r="F464" i="14"/>
  <c r="E463" i="14"/>
  <c r="F463" i="14"/>
  <c r="E462" i="14"/>
  <c r="F462" i="14"/>
  <c r="E461" i="14"/>
  <c r="F461" i="14"/>
  <c r="E460" i="14"/>
  <c r="E459" i="14"/>
  <c r="E458" i="14"/>
  <c r="F458" i="14"/>
  <c r="E457" i="14"/>
  <c r="E456" i="14"/>
  <c r="E455" i="14"/>
  <c r="E454" i="14"/>
  <c r="F454" i="14"/>
  <c r="E453" i="14"/>
  <c r="E452" i="14"/>
  <c r="F452" i="14"/>
  <c r="F451" i="14"/>
  <c r="E450" i="14"/>
  <c r="F450" i="14"/>
  <c r="E447" i="14"/>
  <c r="E445" i="14"/>
  <c r="E444" i="14"/>
  <c r="F444" i="14"/>
  <c r="E443" i="14"/>
  <c r="F443" i="14"/>
  <c r="E442" i="14"/>
  <c r="E441" i="14"/>
  <c r="E440" i="14"/>
  <c r="E439" i="14"/>
  <c r="F439" i="14"/>
  <c r="E438" i="14"/>
  <c r="E437" i="14"/>
  <c r="E436" i="14"/>
  <c r="E435" i="14"/>
  <c r="F434" i="14"/>
  <c r="E433" i="14"/>
  <c r="F433" i="14"/>
  <c r="E432" i="14"/>
  <c r="F432" i="14"/>
  <c r="E431" i="14"/>
  <c r="F430" i="14"/>
  <c r="E429" i="14"/>
  <c r="F429" i="14"/>
  <c r="E428" i="14"/>
  <c r="F428" i="14"/>
  <c r="E427" i="14"/>
  <c r="E426" i="14"/>
  <c r="F426" i="14"/>
  <c r="E425" i="14"/>
  <c r="F425" i="14"/>
  <c r="E424" i="14"/>
  <c r="F424" i="14"/>
  <c r="E423" i="14"/>
  <c r="F423" i="14"/>
  <c r="E422" i="14"/>
  <c r="E421" i="14"/>
  <c r="E420" i="14"/>
  <c r="E419" i="14"/>
  <c r="E418" i="14"/>
  <c r="F418" i="14"/>
  <c r="E417" i="14"/>
  <c r="F417" i="14"/>
  <c r="E415" i="14"/>
  <c r="F415" i="14"/>
  <c r="E413" i="14"/>
  <c r="E412" i="14"/>
  <c r="F412" i="14"/>
  <c r="F411" i="14"/>
  <c r="E410" i="14"/>
  <c r="E409" i="14"/>
  <c r="F409" i="14"/>
  <c r="E408" i="14"/>
  <c r="F408" i="14"/>
  <c r="E406" i="14"/>
  <c r="F405" i="14"/>
  <c r="E404" i="14"/>
  <c r="E402" i="14"/>
  <c r="F402" i="14"/>
  <c r="E401" i="14"/>
  <c r="F401" i="14"/>
  <c r="E400" i="14"/>
  <c r="F400" i="14"/>
  <c r="E399" i="14"/>
  <c r="F399" i="14"/>
  <c r="F398" i="14"/>
  <c r="E397" i="14"/>
  <c r="E396" i="14"/>
  <c r="G396" i="14" s="1"/>
  <c r="F396" i="14"/>
  <c r="E395" i="14"/>
  <c r="F395" i="14"/>
  <c r="E819" i="14"/>
  <c r="F819" i="14"/>
  <c r="F394" i="14"/>
  <c r="F393" i="14"/>
  <c r="F392" i="14"/>
  <c r="F391" i="14"/>
  <c r="E390" i="14"/>
  <c r="F390" i="14"/>
  <c r="E389" i="14"/>
  <c r="F389" i="14"/>
  <c r="E388" i="14"/>
  <c r="F388" i="14"/>
  <c r="E387" i="14"/>
  <c r="F386" i="14"/>
  <c r="E385" i="14"/>
  <c r="F385" i="14"/>
  <c r="F384" i="14"/>
  <c r="E383" i="14"/>
  <c r="F383" i="14"/>
  <c r="E382" i="14"/>
  <c r="F382" i="14"/>
  <c r="F381" i="14"/>
  <c r="E380" i="14"/>
  <c r="F380" i="14"/>
  <c r="E379" i="14"/>
  <c r="F379" i="14"/>
  <c r="E378" i="14"/>
  <c r="E377" i="14"/>
  <c r="E376" i="14"/>
  <c r="G376" i="14" s="1"/>
  <c r="F376" i="14"/>
  <c r="E375" i="14"/>
  <c r="F375" i="14"/>
  <c r="E374" i="14"/>
  <c r="E373" i="14"/>
  <c r="F373" i="14"/>
  <c r="E372" i="14"/>
  <c r="F371" i="14"/>
  <c r="E370" i="14"/>
  <c r="F370" i="14"/>
  <c r="F369" i="14"/>
  <c r="E368" i="14"/>
  <c r="E367" i="14"/>
  <c r="F367" i="14"/>
  <c r="F366" i="14"/>
  <c r="E365" i="14"/>
  <c r="F365" i="14"/>
  <c r="E364" i="14"/>
  <c r="F364" i="14"/>
  <c r="E363" i="14"/>
  <c r="F362" i="14"/>
  <c r="E361" i="14"/>
  <c r="F361" i="14"/>
  <c r="E360" i="14"/>
  <c r="F360" i="14"/>
  <c r="E359" i="14"/>
  <c r="F359" i="14"/>
  <c r="F358" i="14"/>
  <c r="E357" i="14"/>
  <c r="E356" i="14"/>
  <c r="F356" i="14"/>
  <c r="E355" i="14"/>
  <c r="F355" i="14"/>
  <c r="E354" i="14"/>
  <c r="F354" i="14"/>
  <c r="E353" i="14"/>
  <c r="F353" i="14"/>
  <c r="E352" i="14"/>
  <c r="F351" i="14"/>
  <c r="E350" i="14"/>
  <c r="F350" i="14"/>
  <c r="E349" i="14"/>
  <c r="F348" i="14"/>
  <c r="E347" i="14"/>
  <c r="E346" i="14"/>
  <c r="E344" i="14"/>
  <c r="F344" i="14"/>
  <c r="E343" i="14"/>
  <c r="F343" i="14"/>
  <c r="E342" i="14"/>
  <c r="F341" i="14"/>
  <c r="E340" i="14"/>
  <c r="F340" i="14"/>
  <c r="E339" i="14"/>
  <c r="G339" i="14" s="1"/>
  <c r="F339" i="14"/>
  <c r="E338" i="14"/>
  <c r="F338" i="14"/>
  <c r="E337" i="14"/>
  <c r="F337" i="14"/>
  <c r="F336" i="14"/>
  <c r="E335" i="14"/>
  <c r="F335" i="14"/>
  <c r="E334" i="14"/>
  <c r="E333" i="14"/>
  <c r="E332" i="14"/>
  <c r="E331" i="14"/>
  <c r="E330" i="14"/>
  <c r="F329" i="14"/>
  <c r="E328" i="14"/>
  <c r="F328" i="14"/>
  <c r="E326" i="14"/>
  <c r="F326" i="14"/>
  <c r="F325" i="14"/>
  <c r="F324" i="14"/>
  <c r="E323" i="14"/>
  <c r="E322" i="14"/>
  <c r="F322" i="14"/>
  <c r="E320" i="14"/>
  <c r="F320" i="14"/>
  <c r="E318" i="14"/>
  <c r="F318" i="14"/>
  <c r="E317" i="14"/>
  <c r="F317" i="14"/>
  <c r="F316" i="14"/>
  <c r="F315" i="14"/>
  <c r="E314" i="14"/>
  <c r="F314" i="14"/>
  <c r="E313" i="14"/>
  <c r="E312" i="14"/>
  <c r="E311" i="14"/>
  <c r="F311" i="14"/>
  <c r="E310" i="14"/>
  <c r="F310" i="14"/>
  <c r="E309" i="14"/>
  <c r="F309" i="14"/>
  <c r="E308" i="14"/>
  <c r="E307" i="14"/>
  <c r="G307" i="14" s="1"/>
  <c r="F307" i="14"/>
  <c r="E306" i="14"/>
  <c r="E305" i="14"/>
  <c r="F305" i="14"/>
  <c r="E304" i="14"/>
  <c r="F304" i="14"/>
  <c r="E303" i="14"/>
  <c r="F303" i="14"/>
  <c r="E302" i="14"/>
  <c r="F302" i="14"/>
  <c r="E301" i="14"/>
  <c r="F301" i="14"/>
  <c r="E300" i="14"/>
  <c r="F299" i="14"/>
  <c r="E298" i="14"/>
  <c r="F298" i="14"/>
  <c r="E297" i="14"/>
  <c r="F297" i="14"/>
  <c r="E296" i="14"/>
  <c r="E295" i="14"/>
  <c r="E294" i="14"/>
  <c r="F294" i="14"/>
  <c r="E293" i="14"/>
  <c r="F293" i="14"/>
  <c r="F292" i="14"/>
  <c r="E291" i="14"/>
  <c r="F291" i="14"/>
  <c r="E290" i="14"/>
  <c r="E289" i="14"/>
  <c r="F289" i="14"/>
  <c r="F287" i="14"/>
  <c r="E286" i="14"/>
  <c r="E283" i="14"/>
  <c r="E282" i="14"/>
  <c r="E280" i="14"/>
  <c r="F280" i="14"/>
  <c r="E279" i="14"/>
  <c r="G279" i="14" s="1"/>
  <c r="F279" i="14"/>
  <c r="E278" i="14"/>
  <c r="F278" i="14"/>
  <c r="F277" i="14"/>
  <c r="F276" i="14"/>
  <c r="E275" i="14"/>
  <c r="E274" i="14"/>
  <c r="F274" i="14"/>
  <c r="E273" i="14"/>
  <c r="E272" i="14"/>
  <c r="F272" i="14"/>
  <c r="E271" i="14"/>
  <c r="F271" i="14"/>
  <c r="E270" i="14"/>
  <c r="F270" i="14"/>
  <c r="E269" i="14"/>
  <c r="F269" i="14"/>
  <c r="F268" i="14"/>
  <c r="E267" i="14"/>
  <c r="F267" i="14"/>
  <c r="E266" i="14"/>
  <c r="F266" i="14"/>
  <c r="E821" i="14"/>
  <c r="F821" i="14"/>
  <c r="E820" i="14"/>
  <c r="F820" i="14"/>
  <c r="E264" i="14"/>
  <c r="F264" i="14"/>
  <c r="F263" i="14"/>
  <c r="E262" i="14"/>
  <c r="F262" i="14"/>
  <c r="E261" i="14"/>
  <c r="F261" i="14"/>
  <c r="F260" i="14"/>
  <c r="E259" i="14"/>
  <c r="E258" i="14"/>
  <c r="E257" i="14"/>
  <c r="E256" i="14"/>
  <c r="F255" i="14"/>
  <c r="E254" i="14"/>
  <c r="F254" i="14"/>
  <c r="F253" i="14"/>
  <c r="E252" i="14"/>
  <c r="F252" i="14"/>
  <c r="E251" i="14"/>
  <c r="F251" i="14"/>
  <c r="E250" i="14"/>
  <c r="F249" i="14"/>
  <c r="E248" i="14"/>
  <c r="E247" i="14"/>
  <c r="F247" i="14"/>
  <c r="E246" i="14"/>
  <c r="E245" i="14"/>
  <c r="F245" i="14"/>
  <c r="E244" i="14"/>
  <c r="E243" i="14"/>
  <c r="E242" i="14"/>
  <c r="E241" i="14"/>
  <c r="E240" i="14"/>
  <c r="E239" i="14"/>
  <c r="F239" i="14"/>
  <c r="E238" i="14"/>
  <c r="F238" i="14"/>
  <c r="E237" i="14"/>
  <c r="F237" i="14"/>
  <c r="E236" i="14"/>
  <c r="F236" i="14"/>
  <c r="E235" i="14"/>
  <c r="F235" i="14"/>
  <c r="E234" i="14"/>
  <c r="E233" i="14"/>
  <c r="E232" i="14"/>
  <c r="F232" i="14"/>
  <c r="E231" i="14"/>
  <c r="E229" i="14"/>
  <c r="F229" i="14"/>
  <c r="E228" i="14"/>
  <c r="F228" i="14"/>
  <c r="E227" i="14"/>
  <c r="E225" i="14"/>
  <c r="F225" i="14"/>
  <c r="E224" i="14"/>
  <c r="F224" i="14"/>
  <c r="E223" i="14"/>
  <c r="E222" i="14"/>
  <c r="F222" i="14"/>
  <c r="E220" i="14"/>
  <c r="F220" i="14"/>
  <c r="E219" i="14"/>
  <c r="F219" i="14"/>
  <c r="E218" i="14"/>
  <c r="F218" i="14"/>
  <c r="E217" i="14"/>
  <c r="E216" i="14"/>
  <c r="F216" i="14"/>
  <c r="F215" i="14"/>
  <c r="E214" i="14"/>
  <c r="F214" i="14"/>
  <c r="E213" i="14"/>
  <c r="E212" i="14"/>
  <c r="F212" i="14"/>
  <c r="E211" i="14"/>
  <c r="E210" i="14"/>
  <c r="F210" i="14"/>
  <c r="E209" i="14"/>
  <c r="E208" i="14"/>
  <c r="E207" i="14"/>
  <c r="E206" i="14"/>
  <c r="F206" i="14"/>
  <c r="E204" i="14"/>
  <c r="E203" i="14"/>
  <c r="F203" i="14"/>
  <c r="E202" i="14"/>
  <c r="E201" i="14"/>
  <c r="E200" i="14"/>
  <c r="F200" i="14"/>
  <c r="E199" i="14"/>
  <c r="F199" i="14"/>
  <c r="F198" i="14"/>
  <c r="E197" i="14"/>
  <c r="E195" i="14"/>
  <c r="F195" i="14"/>
  <c r="E194" i="14"/>
  <c r="G194" i="14" s="1"/>
  <c r="F194" i="14"/>
  <c r="E193" i="14"/>
  <c r="F193" i="14"/>
  <c r="F192" i="14"/>
  <c r="E191" i="14"/>
  <c r="F191" i="14"/>
  <c r="E190" i="14"/>
  <c r="F190" i="14"/>
  <c r="E189" i="14"/>
  <c r="E188" i="14"/>
  <c r="F188" i="14"/>
  <c r="E187" i="14"/>
  <c r="E186" i="14"/>
  <c r="F186" i="14"/>
  <c r="E185" i="14"/>
  <c r="F185" i="14"/>
  <c r="E184" i="14"/>
  <c r="E183" i="14"/>
  <c r="E182" i="14"/>
  <c r="E181" i="14"/>
  <c r="E180" i="14"/>
  <c r="F180" i="14"/>
  <c r="F179" i="14"/>
  <c r="E178" i="14"/>
  <c r="F178" i="14"/>
  <c r="E177" i="14"/>
  <c r="F177" i="14"/>
  <c r="E176" i="14"/>
  <c r="F176" i="14"/>
  <c r="E175" i="14"/>
  <c r="F175" i="14"/>
  <c r="E174" i="14"/>
  <c r="F174" i="14"/>
  <c r="F173" i="14"/>
  <c r="E172" i="14"/>
  <c r="F172" i="14"/>
  <c r="F171" i="14"/>
  <c r="E170" i="14"/>
  <c r="F170" i="14"/>
  <c r="E169" i="14"/>
  <c r="F169" i="14"/>
  <c r="E168" i="14"/>
  <c r="F168" i="14"/>
  <c r="E167" i="14"/>
  <c r="F167" i="14"/>
  <c r="E166" i="14"/>
  <c r="F166" i="14"/>
  <c r="E165" i="14"/>
  <c r="F165" i="14"/>
  <c r="E164" i="14"/>
  <c r="F164" i="14"/>
  <c r="E163" i="14"/>
  <c r="F163" i="14"/>
  <c r="E162" i="14"/>
  <c r="F162" i="14"/>
  <c r="E161" i="14"/>
  <c r="E160" i="14"/>
  <c r="F160" i="14"/>
  <c r="E159" i="14"/>
  <c r="F159" i="14"/>
  <c r="E158" i="14"/>
  <c r="F158" i="14"/>
  <c r="E157" i="14"/>
  <c r="F157" i="14"/>
  <c r="E156" i="14"/>
  <c r="F156" i="14"/>
  <c r="E155" i="14"/>
  <c r="E154" i="14"/>
  <c r="F154" i="14"/>
  <c r="E153" i="14"/>
  <c r="F153" i="14"/>
  <c r="E152" i="14"/>
  <c r="F152" i="14"/>
  <c r="E150" i="14"/>
  <c r="E149" i="14"/>
  <c r="F149" i="14"/>
  <c r="E148" i="14"/>
  <c r="F148" i="14"/>
  <c r="F147" i="14"/>
  <c r="E146" i="14"/>
  <c r="F146" i="14"/>
  <c r="E145" i="14"/>
  <c r="F145" i="14"/>
  <c r="E144" i="14"/>
  <c r="F144" i="14"/>
  <c r="E143" i="14"/>
  <c r="F143" i="14"/>
  <c r="E127" i="14"/>
  <c r="E142" i="14"/>
  <c r="E141" i="14"/>
  <c r="F141" i="14"/>
  <c r="E140" i="14"/>
  <c r="F140" i="14"/>
  <c r="E139" i="14"/>
  <c r="E138" i="14"/>
  <c r="F138" i="14"/>
  <c r="E137" i="14"/>
  <c r="F137" i="14"/>
  <c r="E136" i="14"/>
  <c r="G136" i="14" s="1"/>
  <c r="F136" i="14"/>
  <c r="F134" i="14"/>
  <c r="E135" i="14"/>
  <c r="F133" i="14"/>
  <c r="E132" i="14"/>
  <c r="E131" i="14"/>
  <c r="F131" i="14"/>
  <c r="E130" i="14"/>
  <c r="F130" i="14"/>
  <c r="E129" i="14"/>
  <c r="F129" i="14"/>
  <c r="E128" i="14"/>
  <c r="F128" i="14"/>
  <c r="E126" i="14"/>
  <c r="F126" i="14"/>
  <c r="E125" i="14"/>
  <c r="E124" i="14"/>
  <c r="F124" i="14"/>
  <c r="F123" i="14"/>
  <c r="E122" i="14"/>
  <c r="F122" i="14"/>
  <c r="E121" i="14"/>
  <c r="F121" i="14"/>
  <c r="E120" i="14"/>
  <c r="F120" i="14"/>
  <c r="F119" i="14"/>
  <c r="E118" i="14"/>
  <c r="F118" i="14"/>
  <c r="E117" i="14"/>
  <c r="G117" i="14" s="1"/>
  <c r="F117" i="14"/>
  <c r="E116" i="14"/>
  <c r="F116" i="14"/>
  <c r="E115" i="14"/>
  <c r="E114" i="14"/>
  <c r="F114" i="14"/>
  <c r="E113" i="14"/>
  <c r="E112" i="14"/>
  <c r="F112" i="14"/>
  <c r="E111" i="14"/>
  <c r="F111" i="14"/>
  <c r="E110" i="14"/>
  <c r="E109" i="14"/>
  <c r="F109" i="14"/>
  <c r="E108" i="14"/>
  <c r="E107" i="14"/>
  <c r="F107" i="14"/>
  <c r="E106" i="14"/>
  <c r="F106" i="14"/>
  <c r="E105" i="14"/>
  <c r="F105" i="14"/>
  <c r="E104" i="14"/>
  <c r="E103" i="14"/>
  <c r="E102" i="14"/>
  <c r="F102" i="14"/>
  <c r="E101" i="14"/>
  <c r="G101" i="14" s="1"/>
  <c r="F101" i="14"/>
  <c r="E100" i="14"/>
  <c r="F100" i="14"/>
  <c r="E99" i="14"/>
  <c r="E98" i="14"/>
  <c r="F98" i="14"/>
  <c r="E97" i="14"/>
  <c r="F97" i="14"/>
  <c r="E96" i="14"/>
  <c r="F96" i="14"/>
  <c r="E95" i="14"/>
  <c r="F95" i="14"/>
  <c r="E94" i="14"/>
  <c r="F94" i="14"/>
  <c r="E93" i="14"/>
  <c r="F93" i="14"/>
  <c r="E92" i="14"/>
  <c r="E91" i="14"/>
  <c r="F91" i="14"/>
  <c r="E90" i="14"/>
  <c r="F90" i="14"/>
  <c r="E89" i="14"/>
  <c r="E88" i="14"/>
  <c r="E87" i="14"/>
  <c r="F87" i="14"/>
  <c r="E86" i="14"/>
  <c r="F86" i="14"/>
  <c r="E85" i="14"/>
  <c r="F85" i="14"/>
  <c r="E84" i="14"/>
  <c r="F84" i="14"/>
  <c r="E83" i="14"/>
  <c r="F83" i="14"/>
  <c r="E82" i="14"/>
  <c r="F82" i="14"/>
  <c r="E81" i="14"/>
  <c r="E80" i="14"/>
  <c r="E79" i="14"/>
  <c r="F79" i="14"/>
  <c r="E78" i="14"/>
  <c r="F78" i="14"/>
  <c r="E77" i="14"/>
  <c r="F77" i="14"/>
  <c r="E76" i="14"/>
  <c r="E75" i="14"/>
  <c r="F75" i="14"/>
  <c r="E74" i="14"/>
  <c r="F74" i="14"/>
  <c r="E73" i="14"/>
  <c r="F73" i="14"/>
  <c r="E72" i="14"/>
  <c r="F72" i="14"/>
  <c r="E71" i="14"/>
  <c r="F71" i="14"/>
  <c r="E70" i="14"/>
  <c r="F70" i="14"/>
  <c r="E69" i="14"/>
  <c r="E68" i="14"/>
  <c r="F68" i="14"/>
  <c r="E67" i="14"/>
  <c r="F67" i="14"/>
  <c r="E66" i="14"/>
  <c r="F66" i="14"/>
  <c r="E65" i="14"/>
  <c r="F65" i="14"/>
  <c r="E64" i="14"/>
  <c r="F64" i="14"/>
  <c r="E63" i="14"/>
  <c r="F63" i="14"/>
  <c r="E62" i="14"/>
  <c r="F62" i="14"/>
  <c r="E61" i="14"/>
  <c r="F61" i="14"/>
  <c r="E60" i="14"/>
  <c r="F60" i="14"/>
  <c r="E59" i="14"/>
  <c r="F59" i="14"/>
  <c r="E58" i="14"/>
  <c r="E57" i="14"/>
  <c r="E56" i="14"/>
  <c r="F56" i="14"/>
  <c r="E55" i="14"/>
  <c r="E54" i="14"/>
  <c r="F54" i="14"/>
  <c r="E53" i="14"/>
  <c r="F53" i="14"/>
  <c r="E52" i="14"/>
  <c r="F52" i="14"/>
  <c r="E51" i="14"/>
  <c r="G51" i="14" s="1"/>
  <c r="F51" i="14"/>
  <c r="E50" i="14"/>
  <c r="F50" i="14"/>
  <c r="E49" i="14"/>
  <c r="E48" i="14"/>
  <c r="F48" i="14"/>
  <c r="E47" i="14"/>
  <c r="G47" i="14" s="1"/>
  <c r="F47" i="14"/>
  <c r="F46" i="14"/>
  <c r="E822" i="14"/>
  <c r="E45" i="14"/>
  <c r="E44" i="14"/>
  <c r="F44" i="14"/>
  <c r="E43" i="14"/>
  <c r="F43" i="14"/>
  <c r="F42" i="14"/>
  <c r="E41" i="14"/>
  <c r="E40" i="14"/>
  <c r="F40" i="14"/>
  <c r="E39" i="14"/>
  <c r="F39" i="14"/>
  <c r="E38" i="14"/>
  <c r="F38" i="14"/>
  <c r="E37" i="14"/>
  <c r="F37" i="14"/>
  <c r="E36" i="14"/>
  <c r="F36" i="14"/>
  <c r="E34" i="14"/>
  <c r="E33" i="14"/>
  <c r="F33" i="14"/>
  <c r="E32" i="14"/>
  <c r="F32" i="14"/>
  <c r="E31" i="14"/>
  <c r="F31" i="14"/>
  <c r="E30" i="14"/>
  <c r="E29" i="14"/>
  <c r="F29" i="14"/>
  <c r="E28" i="14"/>
  <c r="F28" i="14"/>
  <c r="E27" i="14"/>
  <c r="F27" i="14"/>
  <c r="E26" i="14"/>
  <c r="F26" i="14"/>
  <c r="F25" i="14"/>
  <c r="E24" i="14"/>
  <c r="F24" i="14"/>
  <c r="E23" i="14"/>
  <c r="F23" i="14"/>
  <c r="E22" i="14"/>
  <c r="F22" i="14"/>
  <c r="E21" i="14"/>
  <c r="E20" i="14"/>
  <c r="F20" i="14"/>
  <c r="E19" i="14"/>
  <c r="F19" i="14"/>
  <c r="E18" i="14"/>
  <c r="F18" i="14"/>
  <c r="E17" i="14"/>
  <c r="F17" i="14"/>
  <c r="E16" i="14"/>
  <c r="F16" i="14"/>
  <c r="E15" i="14"/>
  <c r="F15" i="14"/>
  <c r="E14" i="14"/>
  <c r="F14" i="14"/>
  <c r="E13" i="14"/>
  <c r="E12" i="14"/>
  <c r="F12" i="14"/>
  <c r="E11" i="14"/>
  <c r="F11" i="14"/>
  <c r="E10" i="14"/>
  <c r="F10" i="14"/>
  <c r="E9" i="14"/>
  <c r="F9" i="14"/>
  <c r="E8" i="14"/>
  <c r="F8" i="14"/>
  <c r="E7" i="14"/>
  <c r="F7" i="14"/>
  <c r="E6" i="14"/>
  <c r="F6" i="14"/>
  <c r="E5" i="14"/>
  <c r="E823" i="14"/>
  <c r="G823" i="14" s="1"/>
  <c r="F818" i="14"/>
  <c r="F817" i="14"/>
  <c r="E817" i="14"/>
  <c r="E815" i="14"/>
  <c r="G815" i="14" s="1"/>
  <c r="F814" i="14"/>
  <c r="E814" i="14"/>
  <c r="G814" i="14" s="1"/>
  <c r="E813" i="14"/>
  <c r="G813" i="14" s="1"/>
  <c r="F812" i="14"/>
  <c r="F811" i="14"/>
  <c r="F810" i="14"/>
  <c r="E810" i="14"/>
  <c r="E808" i="14"/>
  <c r="E807" i="14"/>
  <c r="G807" i="14" s="1"/>
  <c r="F805" i="14"/>
  <c r="E804" i="14"/>
  <c r="E803" i="14"/>
  <c r="F802" i="14"/>
  <c r="F801" i="14"/>
  <c r="E801" i="14"/>
  <c r="F800" i="14"/>
  <c r="E799" i="14"/>
  <c r="F798" i="14"/>
  <c r="E798" i="14"/>
  <c r="F797" i="14"/>
  <c r="E797" i="14"/>
  <c r="F796" i="14"/>
  <c r="E796" i="14"/>
  <c r="G796" i="14" s="1"/>
  <c r="F795" i="14"/>
  <c r="E794" i="14"/>
  <c r="E791" i="14"/>
  <c r="F790" i="14"/>
  <c r="E790" i="14"/>
  <c r="G790" i="14" s="1"/>
  <c r="E787" i="14"/>
  <c r="G787" i="14" s="1"/>
  <c r="E786" i="14"/>
  <c r="E785" i="14"/>
  <c r="G785" i="14" s="1"/>
  <c r="F783" i="14"/>
  <c r="F782" i="14"/>
  <c r="E782" i="14"/>
  <c r="E781" i="14"/>
  <c r="G781" i="14" s="1"/>
  <c r="F779" i="14"/>
  <c r="E779" i="14"/>
  <c r="E777" i="14"/>
  <c r="F776" i="14"/>
  <c r="E776" i="14"/>
  <c r="E775" i="14"/>
  <c r="F773" i="14"/>
  <c r="E772" i="14"/>
  <c r="G772" i="14" s="1"/>
  <c r="F771" i="14"/>
  <c r="E771" i="14"/>
  <c r="E770" i="14"/>
  <c r="G770" i="14" s="1"/>
  <c r="F768" i="14"/>
  <c r="E767" i="14"/>
  <c r="G767" i="14" s="1"/>
  <c r="F766" i="14"/>
  <c r="F765" i="14"/>
  <c r="E765" i="14"/>
  <c r="E763" i="14"/>
  <c r="G763" i="14" s="1"/>
  <c r="F760" i="14"/>
  <c r="F759" i="14"/>
  <c r="E759" i="14"/>
  <c r="G759" i="14" s="1"/>
  <c r="F756" i="14"/>
  <c r="E756" i="14"/>
  <c r="G756" i="14" s="1"/>
  <c r="F755" i="14"/>
  <c r="E753" i="14"/>
  <c r="G753" i="14" s="1"/>
  <c r="F752" i="14"/>
  <c r="E752" i="14"/>
  <c r="F750" i="14"/>
  <c r="E750" i="14"/>
  <c r="F749" i="14"/>
  <c r="F748" i="14"/>
  <c r="E748" i="14"/>
  <c r="E746" i="14"/>
  <c r="E744" i="14"/>
  <c r="G744" i="14" s="1"/>
  <c r="E743" i="14"/>
  <c r="F739" i="14"/>
  <c r="F738" i="14"/>
  <c r="F735" i="14"/>
  <c r="F733" i="14"/>
  <c r="E733" i="14"/>
  <c r="E732" i="14"/>
  <c r="G732" i="14" s="1"/>
  <c r="E730" i="14"/>
  <c r="G730" i="14" s="1"/>
  <c r="F729" i="14"/>
  <c r="F728" i="14"/>
  <c r="E726" i="14"/>
  <c r="F725" i="14"/>
  <c r="E724" i="14"/>
  <c r="G724" i="14" s="1"/>
  <c r="E722" i="14"/>
  <c r="G722" i="14" s="1"/>
  <c r="E721" i="14"/>
  <c r="F720" i="14"/>
  <c r="E720" i="14"/>
  <c r="E719" i="14"/>
  <c r="G719" i="14" s="1"/>
  <c r="E718" i="14"/>
  <c r="G718" i="14" s="1"/>
  <c r="E717" i="14"/>
  <c r="G717" i="14" s="1"/>
  <c r="E714" i="14"/>
  <c r="G714" i="14" s="1"/>
  <c r="E713" i="14"/>
  <c r="E712" i="14"/>
  <c r="E710" i="14"/>
  <c r="G710" i="14" s="1"/>
  <c r="F708" i="14"/>
  <c r="E708" i="14"/>
  <c r="E707" i="14"/>
  <c r="G707" i="14" s="1"/>
  <c r="F706" i="14"/>
  <c r="E706" i="14"/>
  <c r="E705" i="14"/>
  <c r="E704" i="14"/>
  <c r="E701" i="14"/>
  <c r="E700" i="14"/>
  <c r="F699" i="14"/>
  <c r="F698" i="14"/>
  <c r="E697" i="14"/>
  <c r="G697" i="14" s="1"/>
  <c r="E696" i="14"/>
  <c r="E694" i="14"/>
  <c r="G694" i="14" s="1"/>
  <c r="E691" i="14"/>
  <c r="F688" i="14"/>
  <c r="F687" i="14"/>
  <c r="E687" i="14"/>
  <c r="G687" i="14" s="1"/>
  <c r="E683" i="14"/>
  <c r="E681" i="14"/>
  <c r="G681" i="14" s="1"/>
  <c r="F679" i="14"/>
  <c r="E678" i="14"/>
  <c r="G678" i="14" s="1"/>
  <c r="F675" i="14"/>
  <c r="E673" i="14"/>
  <c r="E670" i="14"/>
  <c r="G670" i="14" s="1"/>
  <c r="E667" i="14"/>
  <c r="G667" i="14" s="1"/>
  <c r="F664" i="14"/>
  <c r="E663" i="14"/>
  <c r="E658" i="14"/>
  <c r="G658" i="14" s="1"/>
  <c r="E655" i="14"/>
  <c r="F653" i="14"/>
  <c r="E653" i="14"/>
  <c r="G653" i="14" s="1"/>
  <c r="E652" i="14"/>
  <c r="E648" i="14"/>
  <c r="G648" i="14" s="1"/>
  <c r="E647" i="14"/>
  <c r="G647" i="14" s="1"/>
  <c r="F646" i="14"/>
  <c r="E642" i="14"/>
  <c r="G642" i="14" s="1"/>
  <c r="E640" i="14"/>
  <c r="G640" i="14" s="1"/>
  <c r="E638" i="14"/>
  <c r="G638" i="14" s="1"/>
  <c r="E633" i="14"/>
  <c r="G633" i="14" s="1"/>
  <c r="F624" i="14"/>
  <c r="E622" i="14"/>
  <c r="F618" i="14"/>
  <c r="E616" i="14"/>
  <c r="G616" i="14" s="1"/>
  <c r="F615" i="14"/>
  <c r="E612" i="14"/>
  <c r="G612" i="14" s="1"/>
  <c r="E611" i="14"/>
  <c r="G611" i="14" s="1"/>
  <c r="F610" i="14"/>
  <c r="F607" i="14"/>
  <c r="E606" i="14"/>
  <c r="G606" i="14" s="1"/>
  <c r="E605" i="14"/>
  <c r="F599" i="14"/>
  <c r="E597" i="14"/>
  <c r="G597" i="14" s="1"/>
  <c r="E594" i="14"/>
  <c r="G594" i="14" s="1"/>
  <c r="F591" i="14"/>
  <c r="F586" i="14"/>
  <c r="E578" i="14"/>
  <c r="G578" i="14" s="1"/>
  <c r="F573" i="14"/>
  <c r="F571" i="14"/>
  <c r="E566" i="14"/>
  <c r="G566" i="14" s="1"/>
  <c r="F560" i="14"/>
  <c r="E559" i="14"/>
  <c r="G559" i="14" s="1"/>
  <c r="E558" i="14"/>
  <c r="G558" i="14" s="1"/>
  <c r="F556" i="14"/>
  <c r="E556" i="14"/>
  <c r="E554" i="14"/>
  <c r="G554" i="14" s="1"/>
  <c r="F553" i="14"/>
  <c r="E550" i="14"/>
  <c r="E548" i="14"/>
  <c r="G548" i="14" s="1"/>
  <c r="E546" i="14"/>
  <c r="G546" i="14" s="1"/>
  <c r="E545" i="14"/>
  <c r="G545" i="14" s="1"/>
  <c r="E543" i="14"/>
  <c r="G543" i="14" s="1"/>
  <c r="E540" i="14"/>
  <c r="F536" i="14"/>
  <c r="E535" i="14"/>
  <c r="F533" i="14"/>
  <c r="E533" i="14"/>
  <c r="F532" i="14"/>
  <c r="E528" i="14"/>
  <c r="G528" i="14" s="1"/>
  <c r="F520" i="14"/>
  <c r="E512" i="14"/>
  <c r="F506" i="14"/>
  <c r="E505" i="14"/>
  <c r="F502" i="14"/>
  <c r="E490" i="14"/>
  <c r="G490" i="14" s="1"/>
  <c r="E489" i="14"/>
  <c r="G489" i="14" s="1"/>
  <c r="F488" i="14"/>
  <c r="E487" i="14"/>
  <c r="G487" i="14" s="1"/>
  <c r="E482" i="14"/>
  <c r="E479" i="14"/>
  <c r="G479" i="14" s="1"/>
  <c r="E467" i="14"/>
  <c r="G467" i="14" s="1"/>
  <c r="F457" i="14"/>
  <c r="F455" i="14"/>
  <c r="F453" i="14"/>
  <c r="E451" i="14"/>
  <c r="G451" i="14" s="1"/>
  <c r="E449" i="14"/>
  <c r="E448" i="14"/>
  <c r="F446" i="14"/>
  <c r="E446" i="14"/>
  <c r="F437" i="14"/>
  <c r="F436" i="14"/>
  <c r="F435" i="14"/>
  <c r="E434" i="14"/>
  <c r="G434" i="14" s="1"/>
  <c r="E430" i="14"/>
  <c r="G430" i="14" s="1"/>
  <c r="F427" i="14"/>
  <c r="F422" i="14"/>
  <c r="F421" i="14"/>
  <c r="F419" i="14"/>
  <c r="F416" i="14"/>
  <c r="E416" i="14"/>
  <c r="E414" i="14"/>
  <c r="F413" i="14"/>
  <c r="E411" i="14"/>
  <c r="G411" i="14" s="1"/>
  <c r="E407" i="14"/>
  <c r="E405" i="14"/>
  <c r="E403" i="14"/>
  <c r="E398" i="14"/>
  <c r="G398" i="14" s="1"/>
  <c r="E394" i="14"/>
  <c r="E393" i="14"/>
  <c r="G393" i="14" s="1"/>
  <c r="E392" i="14"/>
  <c r="E391" i="14"/>
  <c r="G391" i="14" s="1"/>
  <c r="E386" i="14"/>
  <c r="G386" i="14" s="1"/>
  <c r="E384" i="14"/>
  <c r="E381" i="14"/>
  <c r="G381" i="14" s="1"/>
  <c r="F378" i="14"/>
  <c r="E371" i="14"/>
  <c r="G371" i="14" s="1"/>
  <c r="E369" i="14"/>
  <c r="G369" i="14" s="1"/>
  <c r="F368" i="14"/>
  <c r="E366" i="14"/>
  <c r="G366" i="14" s="1"/>
  <c r="F363" i="14"/>
  <c r="E362" i="14"/>
  <c r="G362" i="14" s="1"/>
  <c r="E358" i="14"/>
  <c r="G358" i="14" s="1"/>
  <c r="F357" i="14"/>
  <c r="E351" i="14"/>
  <c r="G351" i="14" s="1"/>
  <c r="E348" i="14"/>
  <c r="G348" i="14" s="1"/>
  <c r="F346" i="14"/>
  <c r="E345" i="14"/>
  <c r="F342" i="14"/>
  <c r="E341" i="14"/>
  <c r="E336" i="14"/>
  <c r="G336" i="14" s="1"/>
  <c r="F333" i="14"/>
  <c r="E329" i="14"/>
  <c r="G329" i="14" s="1"/>
  <c r="E327" i="14"/>
  <c r="E325" i="14"/>
  <c r="G325" i="14" s="1"/>
  <c r="E324" i="14"/>
  <c r="G324" i="14" s="1"/>
  <c r="E321" i="14"/>
  <c r="E319" i="14"/>
  <c r="E316" i="14"/>
  <c r="E315" i="14"/>
  <c r="G315" i="14" s="1"/>
  <c r="F312" i="14"/>
  <c r="F300" i="14"/>
  <c r="E299" i="14"/>
  <c r="G299" i="14" s="1"/>
  <c r="F296" i="14"/>
  <c r="E292" i="14"/>
  <c r="G292" i="14" s="1"/>
  <c r="E288" i="14"/>
  <c r="E287" i="14"/>
  <c r="G287" i="14" s="1"/>
  <c r="E285" i="14"/>
  <c r="E284" i="14"/>
  <c r="F282" i="14"/>
  <c r="E281" i="14"/>
  <c r="E277" i="14"/>
  <c r="G277" i="14" s="1"/>
  <c r="E276" i="14"/>
  <c r="G276" i="14" s="1"/>
  <c r="F273" i="14"/>
  <c r="E268" i="14"/>
  <c r="E265" i="14"/>
  <c r="E263" i="14"/>
  <c r="E260" i="14"/>
  <c r="F259" i="14"/>
  <c r="F256" i="14"/>
  <c r="E255" i="14"/>
  <c r="E253" i="14"/>
  <c r="G253" i="14" s="1"/>
  <c r="F250" i="14"/>
  <c r="E249" i="14"/>
  <c r="F241" i="14"/>
  <c r="E230" i="14"/>
  <c r="E226" i="14"/>
  <c r="E221" i="14"/>
  <c r="E215" i="14"/>
  <c r="G215" i="14" s="1"/>
  <c r="E205" i="14"/>
  <c r="E198" i="14"/>
  <c r="E196" i="14"/>
  <c r="E192" i="14"/>
  <c r="G192" i="14" s="1"/>
  <c r="E179" i="14"/>
  <c r="E173" i="14"/>
  <c r="E171" i="14"/>
  <c r="E151" i="14"/>
  <c r="E147" i="14"/>
  <c r="G147" i="14" s="1"/>
  <c r="E134" i="14"/>
  <c r="E133" i="14"/>
  <c r="E123" i="14"/>
  <c r="G123" i="14" s="1"/>
  <c r="E119" i="14"/>
  <c r="E46" i="14"/>
  <c r="G46" i="14" s="1"/>
  <c r="E42" i="14"/>
  <c r="F35" i="14"/>
  <c r="E25" i="14"/>
  <c r="G25" i="14" s="1"/>
  <c r="G533" i="14" l="1"/>
  <c r="G706" i="14"/>
  <c r="G708" i="14"/>
  <c r="G416" i="14"/>
  <c r="G631" i="14"/>
  <c r="G518" i="14"/>
  <c r="G588" i="14"/>
  <c r="G659" i="14"/>
  <c r="G119" i="14"/>
  <c r="G77" i="14"/>
  <c r="G203" i="14"/>
  <c r="G454" i="14"/>
  <c r="G134" i="14"/>
  <c r="G663" i="14"/>
  <c r="G70" i="14"/>
  <c r="G137" i="14"/>
  <c r="G297" i="14"/>
  <c r="G375" i="14"/>
  <c r="G133" i="14"/>
  <c r="G251" i="14"/>
  <c r="G341" i="14"/>
  <c r="G255" i="14"/>
  <c r="G777" i="14"/>
  <c r="G384" i="14"/>
  <c r="G171" i="14"/>
  <c r="G482" i="14"/>
  <c r="G720" i="14"/>
  <c r="G779" i="14"/>
  <c r="G392" i="14"/>
  <c r="G260" i="14"/>
  <c r="G263" i="14"/>
  <c r="G394" i="14"/>
  <c r="G748" i="14"/>
  <c r="G782" i="14"/>
  <c r="G27" i="14"/>
  <c r="G179" i="14"/>
  <c r="G799" i="14"/>
  <c r="G249" i="14"/>
  <c r="G673" i="14"/>
  <c r="G198" i="14"/>
  <c r="G268" i="14"/>
  <c r="G316" i="14"/>
  <c r="G93" i="14"/>
  <c r="G145" i="14"/>
  <c r="G173" i="14"/>
  <c r="G405" i="14"/>
  <c r="G505" i="14"/>
  <c r="G726" i="14"/>
  <c r="G42" i="14"/>
  <c r="G556" i="14"/>
  <c r="G652" i="14"/>
  <c r="G752" i="14"/>
  <c r="G771" i="14"/>
  <c r="G153" i="14"/>
  <c r="G733" i="14"/>
  <c r="G60" i="14"/>
  <c r="G188" i="14"/>
  <c r="G43" i="14"/>
  <c r="G471" i="14"/>
  <c r="G587" i="14"/>
  <c r="G741" i="14"/>
  <c r="G365" i="14"/>
  <c r="G107" i="14"/>
  <c r="G810" i="14"/>
  <c r="G645" i="14"/>
  <c r="G37" i="14"/>
  <c r="G59" i="14"/>
  <c r="G63" i="14"/>
  <c r="G820" i="14"/>
  <c r="G623" i="14"/>
  <c r="G399" i="14"/>
  <c r="G96" i="14"/>
  <c r="G409" i="14"/>
  <c r="G737" i="14"/>
  <c r="G797" i="14"/>
  <c r="G264" i="14"/>
  <c r="G305" i="14"/>
  <c r="G344" i="14"/>
  <c r="G468" i="14"/>
  <c r="G549" i="14"/>
  <c r="G67" i="14"/>
  <c r="G71" i="14"/>
  <c r="G114" i="14"/>
  <c r="G158" i="14"/>
  <c r="G178" i="14"/>
  <c r="G193" i="14"/>
  <c r="G214" i="14"/>
  <c r="G219" i="14"/>
  <c r="G298" i="14"/>
  <c r="G309" i="14"/>
  <c r="G320" i="14"/>
  <c r="G335" i="14"/>
  <c r="G690" i="14"/>
  <c r="G10" i="14"/>
  <c r="G32" i="14"/>
  <c r="G254" i="14"/>
  <c r="G6" i="14"/>
  <c r="G15" i="14"/>
  <c r="G20" i="14"/>
  <c r="G68" i="14"/>
  <c r="G72" i="14"/>
  <c r="G159" i="14"/>
  <c r="G164" i="14"/>
  <c r="G174" i="14"/>
  <c r="G220" i="14"/>
  <c r="G256" i="14"/>
  <c r="G280" i="14"/>
  <c r="G294" i="14"/>
  <c r="G303" i="14"/>
  <c r="G310" i="14"/>
  <c r="G326" i="14"/>
  <c r="G425" i="14"/>
  <c r="G465" i="14"/>
  <c r="G473" i="14"/>
  <c r="G486" i="14"/>
  <c r="G513" i="14"/>
  <c r="G552" i="14"/>
  <c r="G579" i="14"/>
  <c r="G643" i="14"/>
  <c r="G684" i="14"/>
  <c r="G745" i="14"/>
  <c r="G773" i="14"/>
  <c r="G778" i="14"/>
  <c r="G816" i="14"/>
  <c r="G446" i="14"/>
  <c r="G750" i="14"/>
  <c r="G801" i="14"/>
  <c r="G817" i="14"/>
  <c r="G84" i="14"/>
  <c r="G94" i="14"/>
  <c r="G143" i="14"/>
  <c r="G169" i="14"/>
  <c r="G250" i="14"/>
  <c r="G273" i="14"/>
  <c r="G278" i="14"/>
  <c r="G289" i="14"/>
  <c r="G317" i="14"/>
  <c r="G346" i="14"/>
  <c r="G354" i="14"/>
  <c r="G367" i="14"/>
  <c r="G383" i="14"/>
  <c r="G389" i="14"/>
  <c r="G435" i="14"/>
  <c r="G439" i="14"/>
  <c r="G452" i="14"/>
  <c r="G480" i="14"/>
  <c r="G541" i="14"/>
  <c r="G557" i="14"/>
  <c r="G617" i="14"/>
  <c r="G671" i="14"/>
  <c r="G674" i="14"/>
  <c r="G679" i="14"/>
  <c r="G688" i="14"/>
  <c r="G723" i="14"/>
  <c r="G735" i="14"/>
  <c r="G739" i="14"/>
  <c r="G749" i="14"/>
  <c r="G755" i="14"/>
  <c r="G760" i="14"/>
  <c r="G762" i="14"/>
  <c r="G768" i="14"/>
  <c r="G783" i="14"/>
  <c r="G792" i="14"/>
  <c r="G805" i="14"/>
  <c r="G811" i="14"/>
  <c r="G109" i="14"/>
  <c r="G180" i="14"/>
  <c r="G190" i="14"/>
  <c r="G199" i="14"/>
  <c r="G222" i="14"/>
  <c r="G238" i="14"/>
  <c r="G261" i="14"/>
  <c r="G269" i="14"/>
  <c r="G322" i="14"/>
  <c r="G337" i="14"/>
  <c r="G359" i="14"/>
  <c r="G363" i="14"/>
  <c r="G412" i="14"/>
  <c r="G417" i="14"/>
  <c r="G426" i="14"/>
  <c r="G457" i="14"/>
  <c r="G476" i="14"/>
  <c r="G491" i="14"/>
  <c r="G501" i="14"/>
  <c r="G506" i="14"/>
  <c r="G508" i="14"/>
  <c r="G519" i="14"/>
  <c r="G585" i="14"/>
  <c r="G595" i="14"/>
  <c r="G602" i="14"/>
  <c r="G618" i="14"/>
  <c r="G630" i="14"/>
  <c r="G649" i="14"/>
  <c r="G668" i="14"/>
  <c r="G7" i="14"/>
  <c r="G16" i="14"/>
  <c r="G26" i="14"/>
  <c r="G116" i="14"/>
  <c r="G124" i="14"/>
  <c r="G148" i="14"/>
  <c r="G152" i="14"/>
  <c r="G160" i="14"/>
  <c r="G175" i="14"/>
  <c r="G195" i="14"/>
  <c r="G239" i="14"/>
  <c r="G271" i="14"/>
  <c r="G282" i="14"/>
  <c r="G300" i="14"/>
  <c r="G311" i="14"/>
  <c r="G408" i="14"/>
  <c r="G421" i="14"/>
  <c r="G461" i="14"/>
  <c r="G514" i="14"/>
  <c r="G570" i="14"/>
  <c r="G574" i="14"/>
  <c r="G580" i="14"/>
  <c r="G590" i="14"/>
  <c r="G635" i="14"/>
  <c r="G31" i="14"/>
  <c r="G64" i="14"/>
  <c r="G90" i="14"/>
  <c r="G95" i="14"/>
  <c r="G111" i="14"/>
  <c r="G144" i="14"/>
  <c r="G170" i="14"/>
  <c r="G216" i="14"/>
  <c r="G224" i="14"/>
  <c r="G228" i="14"/>
  <c r="G232" i="14"/>
  <c r="G235" i="14"/>
  <c r="G274" i="14"/>
  <c r="G355" i="14"/>
  <c r="G380" i="14"/>
  <c r="G388" i="14"/>
  <c r="G390" i="14"/>
  <c r="G395" i="14"/>
  <c r="G436" i="14"/>
  <c r="G453" i="14"/>
  <c r="G466" i="14"/>
  <c r="G474" i="14"/>
  <c r="G502" i="14"/>
  <c r="G542" i="14"/>
  <c r="G553" i="14"/>
  <c r="G644" i="14"/>
  <c r="G646" i="14"/>
  <c r="G675" i="14"/>
  <c r="G680" i="14"/>
  <c r="G769" i="14"/>
  <c r="G774" i="14"/>
  <c r="G812" i="14"/>
  <c r="G11" i="14"/>
  <c r="G38" i="14"/>
  <c r="G44" i="14"/>
  <c r="G85" i="14"/>
  <c r="G102" i="14"/>
  <c r="G112" i="14"/>
  <c r="G120" i="14"/>
  <c r="G140" i="14"/>
  <c r="G156" i="14"/>
  <c r="G165" i="14"/>
  <c r="G185" i="14"/>
  <c r="G191" i="14"/>
  <c r="G200" i="14"/>
  <c r="G241" i="14"/>
  <c r="G262" i="14"/>
  <c r="G821" i="14"/>
  <c r="G270" i="14"/>
  <c r="G318" i="14"/>
  <c r="G338" i="14"/>
  <c r="G342" i="14"/>
  <c r="G368" i="14"/>
  <c r="G378" i="14"/>
  <c r="G413" i="14"/>
  <c r="G427" i="14"/>
  <c r="G432" i="14"/>
  <c r="G481" i="14"/>
  <c r="G496" i="14"/>
  <c r="G520" i="14"/>
  <c r="G529" i="14"/>
  <c r="G560" i="14"/>
  <c r="G586" i="14"/>
  <c r="G599" i="14"/>
  <c r="G607" i="14"/>
  <c r="G613" i="14"/>
  <c r="G624" i="14"/>
  <c r="G660" i="14"/>
  <c r="G802" i="14"/>
  <c r="F5" i="14"/>
  <c r="G17" i="14"/>
  <c r="G22" i="14"/>
  <c r="G52" i="14"/>
  <c r="G56" i="14"/>
  <c r="G65" i="14"/>
  <c r="G105" i="14"/>
  <c r="G149" i="14"/>
  <c r="G176" i="14"/>
  <c r="G245" i="14"/>
  <c r="G296" i="14"/>
  <c r="G301" i="14"/>
  <c r="G312" i="14"/>
  <c r="G333" i="14"/>
  <c r="G360" i="14"/>
  <c r="G364" i="14"/>
  <c r="G373" i="14"/>
  <c r="G400" i="14"/>
  <c r="G422" i="14"/>
  <c r="G458" i="14"/>
  <c r="G462" i="14"/>
  <c r="G492" i="14"/>
  <c r="G531" i="14"/>
  <c r="G571" i="14"/>
  <c r="G575" i="14"/>
  <c r="G591" i="14"/>
  <c r="G603" i="14"/>
  <c r="G619" i="14"/>
  <c r="G664" i="14"/>
  <c r="G698" i="14"/>
  <c r="G736" i="14"/>
  <c r="G35" i="14"/>
  <c r="G818" i="14"/>
  <c r="G73" i="14"/>
  <c r="G225" i="14"/>
  <c r="G247" i="14"/>
  <c r="G291" i="14"/>
  <c r="G304" i="14"/>
  <c r="G328" i="14"/>
  <c r="G356" i="14"/>
  <c r="G418" i="14"/>
  <c r="G636" i="14"/>
  <c r="G676" i="14"/>
  <c r="G776" i="14"/>
  <c r="G39" i="14"/>
  <c r="G66" i="14"/>
  <c r="G86" i="14"/>
  <c r="G91" i="14"/>
  <c r="G121" i="14"/>
  <c r="G126" i="14"/>
  <c r="G130" i="14"/>
  <c r="G131" i="14"/>
  <c r="G138" i="14"/>
  <c r="G141" i="14"/>
  <c r="G157" i="14"/>
  <c r="G166" i="14"/>
  <c r="G229" i="14"/>
  <c r="G252" i="14"/>
  <c r="G266" i="14"/>
  <c r="G343" i="14"/>
  <c r="G428" i="14"/>
  <c r="G503" i="14"/>
  <c r="G515" i="14"/>
  <c r="G538" i="14"/>
  <c r="G561" i="14"/>
  <c r="G600" i="14"/>
  <c r="G608" i="14"/>
  <c r="G614" i="14"/>
  <c r="G625" i="14"/>
  <c r="G628" i="14"/>
  <c r="G656" i="14"/>
  <c r="G661" i="14"/>
  <c r="G665" i="14"/>
  <c r="G689" i="14"/>
  <c r="G12" i="14"/>
  <c r="G18" i="14"/>
  <c r="G23" i="14"/>
  <c r="G48" i="14"/>
  <c r="G53" i="14"/>
  <c r="G106" i="14"/>
  <c r="G177" i="14"/>
  <c r="G186" i="14"/>
  <c r="G210" i="14"/>
  <c r="G218" i="14"/>
  <c r="G236" i="14"/>
  <c r="G353" i="14"/>
  <c r="G401" i="14"/>
  <c r="G423" i="14"/>
  <c r="G433" i="14"/>
  <c r="G437" i="14"/>
  <c r="G443" i="14"/>
  <c r="G463" i="14"/>
  <c r="G484" i="14"/>
  <c r="G536" i="14"/>
  <c r="G809" i="14"/>
  <c r="G576" i="14"/>
  <c r="G651" i="14"/>
  <c r="G728" i="14"/>
  <c r="G731" i="14"/>
  <c r="G761" i="14"/>
  <c r="G8" i="14"/>
  <c r="G74" i="14"/>
  <c r="G78" i="14"/>
  <c r="G82" i="14"/>
  <c r="G87" i="14"/>
  <c r="G97" i="14"/>
  <c r="G118" i="14"/>
  <c r="G128" i="14"/>
  <c r="G154" i="14"/>
  <c r="G162" i="14"/>
  <c r="G172" i="14"/>
  <c r="G314" i="14"/>
  <c r="G357" i="14"/>
  <c r="G361" i="14"/>
  <c r="G370" i="14"/>
  <c r="G385" i="14"/>
  <c r="G450" i="14"/>
  <c r="G493" i="14"/>
  <c r="G499" i="14"/>
  <c r="G510" i="14"/>
  <c r="G544" i="14"/>
  <c r="G562" i="14"/>
  <c r="G582" i="14"/>
  <c r="G615" i="14"/>
  <c r="G637" i="14"/>
  <c r="G641" i="14"/>
  <c r="G666" i="14"/>
  <c r="G669" i="14"/>
  <c r="G677" i="14"/>
  <c r="G28" i="14"/>
  <c r="G40" i="14"/>
  <c r="G122" i="14"/>
  <c r="G146" i="14"/>
  <c r="G167" i="14"/>
  <c r="G206" i="14"/>
  <c r="G212" i="14"/>
  <c r="G267" i="14"/>
  <c r="G350" i="14"/>
  <c r="G379" i="14"/>
  <c r="G819" i="14"/>
  <c r="G415" i="14"/>
  <c r="G429" i="14"/>
  <c r="G504" i="14"/>
  <c r="G516" i="14"/>
  <c r="G532" i="14"/>
  <c r="G555" i="14"/>
  <c r="G567" i="14"/>
  <c r="G604" i="14"/>
  <c r="G610" i="14"/>
  <c r="G626" i="14"/>
  <c r="G686" i="14"/>
  <c r="G699" i="14"/>
  <c r="G725" i="14"/>
  <c r="G734" i="14"/>
  <c r="G758" i="14"/>
  <c r="G766" i="14"/>
  <c r="G24" i="14"/>
  <c r="G33" i="14"/>
  <c r="G822" i="14"/>
  <c r="G54" i="14"/>
  <c r="G61" i="14"/>
  <c r="G259" i="14"/>
  <c r="G340" i="14"/>
  <c r="G382" i="14"/>
  <c r="G402" i="14"/>
  <c r="G419" i="14"/>
  <c r="G424" i="14"/>
  <c r="G444" i="14"/>
  <c r="G455" i="14"/>
  <c r="G464" i="14"/>
  <c r="G478" i="14"/>
  <c r="G483" i="14"/>
  <c r="G494" i="14"/>
  <c r="G527" i="14"/>
  <c r="G572" i="14"/>
  <c r="G577" i="14"/>
  <c r="G583" i="14"/>
  <c r="G593" i="14"/>
  <c r="G729" i="14"/>
  <c r="G738" i="14"/>
  <c r="G795" i="14"/>
  <c r="G800" i="14"/>
  <c r="G765" i="14"/>
  <c r="G798" i="14"/>
  <c r="G9" i="14"/>
  <c r="G14" i="14"/>
  <c r="G19" i="14"/>
  <c r="G79" i="14"/>
  <c r="G83" i="14"/>
  <c r="G98" i="14"/>
  <c r="G100" i="14"/>
  <c r="G163" i="14"/>
  <c r="G237" i="14"/>
  <c r="G293" i="14"/>
  <c r="G302" i="14"/>
  <c r="G485" i="14"/>
  <c r="G488" i="14"/>
  <c r="G500" i="14"/>
  <c r="G511" i="14"/>
  <c r="G29" i="14"/>
  <c r="G50" i="14"/>
  <c r="G75" i="14"/>
  <c r="G129" i="14"/>
  <c r="G168" i="14"/>
  <c r="G272" i="14"/>
  <c r="G754" i="14"/>
  <c r="G36" i="14"/>
  <c r="G62" i="14"/>
  <c r="G573" i="14"/>
  <c r="F721" i="14"/>
  <c r="G721" i="14" s="1"/>
  <c r="F540" i="14"/>
  <c r="G540" i="14" s="1"/>
  <c r="F775" i="14"/>
  <c r="G775" i="14" s="1"/>
  <c r="F57" i="14"/>
  <c r="G57" i="14" s="1"/>
  <c r="F414" i="14"/>
  <c r="G414" i="14" s="1"/>
  <c r="F716" i="14"/>
  <c r="G716" i="14" s="1"/>
  <c r="F568" i="14"/>
  <c r="G568" i="14" s="1"/>
  <c r="F313" i="14"/>
  <c r="G313" i="14" s="1"/>
  <c r="F786" i="14"/>
  <c r="G786" i="14" s="1"/>
  <c r="F404" i="14"/>
  <c r="G404" i="14" s="1"/>
  <c r="F406" i="14"/>
  <c r="G406" i="14" s="1"/>
  <c r="F258" i="14"/>
  <c r="G258" i="14" s="1"/>
  <c r="F751" i="14"/>
  <c r="G751" i="14" s="1"/>
  <c r="F327" i="14"/>
  <c r="G327" i="14" s="1"/>
  <c r="F565" i="14"/>
  <c r="G565" i="14" s="1"/>
  <c r="F526" i="14"/>
  <c r="G526" i="14" s="1"/>
  <c r="F564" i="14"/>
  <c r="G564" i="14" s="1"/>
  <c r="F535" i="14"/>
  <c r="G535" i="14" s="1"/>
  <c r="F275" i="14"/>
  <c r="G275" i="14" s="1"/>
  <c r="F397" i="14"/>
  <c r="G397" i="14" s="1"/>
  <c r="F550" i="14"/>
  <c r="G550" i="14" s="1"/>
  <c r="F715" i="14"/>
  <c r="G715" i="14" s="1"/>
  <c r="F784" i="14"/>
  <c r="G784" i="14" s="1"/>
  <c r="F403" i="14"/>
  <c r="G403" i="14" s="1"/>
  <c r="F581" i="14"/>
  <c r="G581" i="14" s="1"/>
  <c r="F705" i="14"/>
  <c r="G705" i="14" s="1"/>
  <c r="F127" i="14"/>
  <c r="G127" i="14" s="1"/>
  <c r="F92" i="14"/>
  <c r="G92" i="14" s="1"/>
  <c r="F605" i="14"/>
  <c r="G605" i="14" s="1"/>
  <c r="F507" i="14"/>
  <c r="G507" i="14" s="1"/>
  <c r="F331" i="14"/>
  <c r="G331" i="14" s="1"/>
  <c r="F80" i="14"/>
  <c r="G80" i="14" s="1"/>
  <c r="F135" i="14"/>
  <c r="G135" i="14" s="1"/>
  <c r="F627" i="14"/>
  <c r="G627" i="14" s="1"/>
  <c r="F650" i="14"/>
  <c r="G650" i="14" s="1"/>
  <c r="F696" i="14"/>
  <c r="G696" i="14" s="1"/>
  <c r="F695" i="14"/>
  <c r="G695" i="14" s="1"/>
  <c r="F431" i="14"/>
  <c r="G431" i="14" s="1"/>
  <c r="F512" i="14"/>
  <c r="G512" i="14" s="1"/>
  <c r="F475" i="14"/>
  <c r="G475" i="14" s="1"/>
  <c r="F634" i="14"/>
  <c r="G634" i="14" s="1"/>
  <c r="F183" i="14"/>
  <c r="G183" i="14" s="1"/>
  <c r="F551" i="14"/>
  <c r="G551" i="14" s="1"/>
  <c r="F509" i="14"/>
  <c r="G509" i="14" s="1"/>
  <c r="F589" i="14"/>
  <c r="G589" i="14" s="1"/>
  <c r="F377" i="14"/>
  <c r="G377" i="14" s="1"/>
  <c r="F205" i="14"/>
  <c r="G205" i="14" s="1"/>
  <c r="F693" i="14"/>
  <c r="G693" i="14" s="1"/>
  <c r="F495" i="14"/>
  <c r="G495" i="14" s="1"/>
  <c r="F125" i="14"/>
  <c r="G125" i="14" s="1"/>
  <c r="F231" i="14"/>
  <c r="G231" i="14" s="1"/>
  <c r="F308" i="14"/>
  <c r="G308" i="14" s="1"/>
  <c r="F584" i="14"/>
  <c r="G584" i="14" s="1"/>
  <c r="F248" i="14"/>
  <c r="G248" i="14" s="1"/>
  <c r="F472" i="14"/>
  <c r="G472" i="14" s="1"/>
  <c r="F655" i="14"/>
  <c r="G655" i="14" s="1"/>
  <c r="F764" i="14"/>
  <c r="G764" i="14" s="1"/>
  <c r="F113" i="14"/>
  <c r="G113" i="14" s="1"/>
  <c r="F440" i="14"/>
  <c r="G440" i="14" s="1"/>
  <c r="F522" i="14"/>
  <c r="G522" i="14" s="1"/>
  <c r="F685" i="14"/>
  <c r="G685" i="14" s="1"/>
  <c r="F692" i="14"/>
  <c r="G692" i="14" s="1"/>
  <c r="F780" i="14"/>
  <c r="G780" i="14" s="1"/>
  <c r="F332" i="14"/>
  <c r="G332" i="14" s="1"/>
  <c r="F21" i="14"/>
  <c r="G21" i="14" s="1"/>
  <c r="F242" i="14"/>
  <c r="G242" i="14" s="1"/>
  <c r="F221" i="14"/>
  <c r="G221" i="14" s="1"/>
  <c r="F13" i="14"/>
  <c r="G13" i="14" s="1"/>
  <c r="F132" i="14"/>
  <c r="G132" i="14" s="1"/>
  <c r="F201" i="14"/>
  <c r="G201" i="14" s="1"/>
  <c r="F233" i="14"/>
  <c r="G233" i="14" s="1"/>
  <c r="F197" i="14"/>
  <c r="G197" i="14" s="1"/>
  <c r="F213" i="14"/>
  <c r="G213" i="14" s="1"/>
  <c r="F234" i="14"/>
  <c r="G234" i="14" s="1"/>
  <c r="F99" i="14"/>
  <c r="G99" i="14" s="1"/>
  <c r="F202" i="14"/>
  <c r="G202" i="14" s="1"/>
  <c r="F246" i="14"/>
  <c r="G246" i="14" s="1"/>
  <c r="F223" i="14"/>
  <c r="G223" i="14" s="1"/>
  <c r="F284" i="14"/>
  <c r="G284" i="14" s="1"/>
  <c r="F240" i="14"/>
  <c r="G240" i="14" s="1"/>
  <c r="F283" i="14"/>
  <c r="G283" i="14" s="1"/>
  <c r="F181" i="14"/>
  <c r="G181" i="14" s="1"/>
  <c r="F207" i="14"/>
  <c r="G207" i="14" s="1"/>
  <c r="F204" i="14"/>
  <c r="G204" i="14" s="1"/>
  <c r="F521" i="14"/>
  <c r="G521" i="14" s="1"/>
  <c r="F498" i="14"/>
  <c r="G498" i="14" s="1"/>
  <c r="F657" i="14"/>
  <c r="G657" i="14" s="1"/>
  <c r="F654" i="14"/>
  <c r="G654" i="14" s="1"/>
  <c r="F701" i="14"/>
  <c r="G701" i="14" s="1"/>
  <c r="F683" i="14"/>
  <c r="G683" i="14" s="1"/>
  <c r="G5" i="14" l="1"/>
  <c r="F524" i="14"/>
  <c r="G524" i="14" s="1"/>
  <c r="F334" i="14"/>
  <c r="G334" i="14" s="1"/>
  <c r="F319" i="14"/>
  <c r="G319" i="14" s="1"/>
  <c r="F69" i="14"/>
  <c r="G69" i="14" s="1"/>
  <c r="F208" i="14"/>
  <c r="G208" i="14" s="1"/>
  <c r="F76" i="14"/>
  <c r="G76" i="14" s="1"/>
  <c r="F257" i="14"/>
  <c r="G257" i="14" s="1"/>
  <c r="F609" i="14"/>
  <c r="G609" i="14" s="1"/>
  <c r="F420" i="14"/>
  <c r="G420" i="14" s="1"/>
  <c r="F196" i="14"/>
  <c r="G196" i="14" s="1"/>
  <c r="F295" i="14"/>
  <c r="G295" i="14" s="1"/>
  <c r="F227" i="14"/>
  <c r="G227" i="14" s="1"/>
  <c r="F691" i="14"/>
  <c r="G691" i="14" s="1"/>
  <c r="F115" i="14"/>
  <c r="G115" i="14" s="1"/>
  <c r="F803" i="14"/>
  <c r="G803" i="14" s="1"/>
  <c r="F808" i="14"/>
  <c r="G808" i="14" s="1"/>
  <c r="F539" i="14"/>
  <c r="G539" i="14" s="1"/>
  <c r="F142" i="14"/>
  <c r="G142" i="14" s="1"/>
  <c r="F306" i="14"/>
  <c r="G306" i="14" s="1"/>
  <c r="F441" i="14"/>
  <c r="G441" i="14" s="1"/>
  <c r="F712" i="14"/>
  <c r="G712" i="14" s="1"/>
  <c r="F713" i="14"/>
  <c r="G713" i="14" s="1"/>
  <c r="F88" i="14"/>
  <c r="G88" i="14" s="1"/>
  <c r="F700" i="14"/>
  <c r="G700" i="14" s="1"/>
  <c r="F345" i="14"/>
  <c r="G345" i="14" s="1"/>
  <c r="F620" i="14"/>
  <c r="G620" i="14" s="1"/>
  <c r="F746" i="14"/>
  <c r="G746" i="14" s="1"/>
  <c r="F789" i="14"/>
  <c r="G789" i="14" s="1"/>
  <c r="F49" i="14"/>
  <c r="G49" i="14" s="1"/>
  <c r="F621" i="14"/>
  <c r="G621" i="14" s="1"/>
  <c r="F372" i="14"/>
  <c r="G372" i="14" s="1"/>
  <c r="F244" i="14"/>
  <c r="G244" i="14" s="1"/>
  <c r="F459" i="14"/>
  <c r="G459" i="14" s="1"/>
  <c r="F217" i="14"/>
  <c r="G217" i="14" s="1"/>
  <c r="F442" i="14"/>
  <c r="G442" i="14" s="1"/>
  <c r="F89" i="14"/>
  <c r="G89" i="14" s="1"/>
  <c r="F438" i="14"/>
  <c r="G438" i="14" s="1"/>
  <c r="F547" i="14"/>
  <c r="G547" i="14" s="1"/>
  <c r="F601" i="14"/>
  <c r="G601" i="14" s="1"/>
  <c r="F187" i="14"/>
  <c r="G187" i="14" s="1"/>
  <c r="F407" i="14"/>
  <c r="G407" i="14" s="1"/>
  <c r="F189" i="14"/>
  <c r="G189" i="14" s="1"/>
  <c r="F108" i="14"/>
  <c r="G108" i="14" s="1"/>
  <c r="F598" i="14"/>
  <c r="G598" i="14" s="1"/>
  <c r="F702" i="14"/>
  <c r="G702" i="14" s="1"/>
  <c r="F525" i="14"/>
  <c r="G525" i="14" s="1"/>
  <c r="F632" i="14"/>
  <c r="G632" i="14" s="1"/>
  <c r="F155" i="14"/>
  <c r="G155" i="14" s="1"/>
  <c r="F211" i="14"/>
  <c r="G211" i="14" s="1"/>
  <c r="F704" i="14"/>
  <c r="G704" i="14" s="1"/>
  <c r="F103" i="14"/>
  <c r="G103" i="14" s="1"/>
  <c r="F34" i="14"/>
  <c r="G34" i="14" s="1"/>
  <c r="F709" i="14"/>
  <c r="G709" i="14" s="1"/>
  <c r="F139" i="14"/>
  <c r="G139" i="14" s="1"/>
  <c r="F517" i="14"/>
  <c r="G517" i="14" s="1"/>
  <c r="F104" i="14"/>
  <c r="G104" i="14" s="1"/>
  <c r="F55" i="14"/>
  <c r="G55" i="14" s="1"/>
  <c r="F804" i="14"/>
  <c r="G804" i="14" s="1"/>
  <c r="F281" i="14"/>
  <c r="G281" i="14" s="1"/>
  <c r="F387" i="14" l="1"/>
  <c r="G387" i="14" s="1"/>
  <c r="F563" i="14"/>
  <c r="G563" i="14" s="1"/>
  <c r="F447" i="14"/>
  <c r="G447" i="14" s="1"/>
  <c r="F209" i="14"/>
  <c r="G209" i="14" s="1"/>
  <c r="F230" i="14"/>
  <c r="G230" i="14" s="1"/>
  <c r="F410" i="14"/>
  <c r="G410" i="14" s="1"/>
  <c r="F711" i="14"/>
  <c r="G711" i="14" s="1"/>
  <c r="F288" i="14"/>
  <c r="G288" i="14" s="1"/>
  <c r="F151" i="14"/>
  <c r="G151" i="14" s="1"/>
  <c r="F806" i="14"/>
  <c r="G806" i="14" s="1"/>
  <c r="F265" i="14"/>
  <c r="G265" i="14" s="1"/>
  <c r="F537" i="14"/>
  <c r="G537" i="14" s="1"/>
  <c r="F45" i="14"/>
  <c r="G45" i="14" s="1"/>
  <c r="F534" i="14"/>
  <c r="G534" i="14" s="1"/>
  <c r="F788" i="14"/>
  <c r="G788" i="14" s="1"/>
  <c r="F727" i="14"/>
  <c r="G727" i="14" s="1"/>
  <c r="F596" i="14"/>
  <c r="G596" i="14" s="1"/>
  <c r="F349" i="14"/>
  <c r="G349" i="14" s="1"/>
  <c r="F182" i="14"/>
  <c r="G182" i="14" s="1"/>
  <c r="F226" i="14"/>
  <c r="G226" i="14" s="1"/>
  <c r="F497" i="14"/>
  <c r="G497" i="14" s="1"/>
  <c r="F757" i="14"/>
  <c r="G757" i="14" s="1"/>
  <c r="F243" i="14"/>
  <c r="G243" i="14" s="1"/>
  <c r="F41" i="14" l="1"/>
  <c r="G41" i="14" s="1"/>
  <c r="F448" i="14"/>
  <c r="G448" i="14" s="1"/>
  <c r="F321" i="14"/>
  <c r="G321" i="14" s="1"/>
  <c r="F449" i="14"/>
  <c r="G449" i="14" s="1"/>
  <c r="F352" i="14"/>
  <c r="G352" i="14" s="1"/>
  <c r="F290" i="14"/>
  <c r="G290" i="14" s="1"/>
  <c r="F794" i="14"/>
  <c r="G794" i="14" s="1"/>
  <c r="F530" i="14"/>
  <c r="G530" i="14" s="1"/>
  <c r="F330" i="14"/>
  <c r="G330" i="14" s="1"/>
  <c r="F742" i="14"/>
  <c r="G742" i="14" s="1"/>
  <c r="F740" i="14"/>
  <c r="G740" i="14" s="1"/>
  <c r="F323" i="14"/>
  <c r="G323" i="14" s="1"/>
  <c r="F285" i="14"/>
  <c r="G285" i="14" s="1"/>
  <c r="F682" i="14"/>
  <c r="G682" i="14" s="1"/>
  <c r="F622" i="14" l="1"/>
  <c r="G622" i="14" s="1"/>
  <c r="F30" i="14"/>
  <c r="F445" i="14"/>
  <c r="G445" i="14" s="1"/>
  <c r="F747" i="14"/>
  <c r="G747" i="14" s="1"/>
  <c r="G30" i="14" l="1"/>
  <c r="F58" i="14"/>
  <c r="G58" i="14" s="1"/>
  <c r="F161" i="14"/>
  <c r="G161" i="14" s="1"/>
  <c r="F110" i="14"/>
  <c r="G110" i="14" s="1"/>
  <c r="F286" i="14"/>
  <c r="G286" i="14" s="1"/>
  <c r="F662" i="14" l="1"/>
  <c r="G662" i="14" s="1"/>
  <c r="F81" i="14"/>
  <c r="F629" i="14"/>
  <c r="G629" i="14" s="1"/>
  <c r="F347" i="14" l="1"/>
  <c r="G347" i="14" s="1"/>
  <c r="F460" i="14"/>
  <c r="G460" i="14" s="1"/>
  <c r="G81" i="14"/>
  <c r="F703" i="14"/>
  <c r="G703" i="14" s="1"/>
  <c r="F793" i="14"/>
  <c r="G793" i="14" l="1"/>
  <c r="F456" i="14"/>
  <c r="G456" i="14" s="1"/>
  <c r="F791" i="14" l="1"/>
  <c r="G791" i="14" s="1"/>
  <c r="F470" i="14" l="1"/>
  <c r="G470" i="14" s="1"/>
  <c r="F743" i="14" l="1"/>
  <c r="G743" i="14" s="1"/>
  <c r="F639" i="14"/>
  <c r="G639" i="14" s="1"/>
  <c r="F184" i="14" l="1"/>
  <c r="G184" i="14" s="1"/>
  <c r="F374" i="14" l="1"/>
  <c r="G374" i="14" s="1"/>
  <c r="F150" i="14" l="1"/>
  <c r="F828" i="14" s="1"/>
  <c r="G150" i="14" l="1"/>
  <c r="G828" i="14" l="1"/>
  <c r="C10" i="17" s="1"/>
  <c r="G161" i="23" l="1"/>
  <c r="E160" i="23"/>
  <c r="G158" i="23"/>
  <c r="E156" i="23"/>
  <c r="G156" i="23"/>
  <c r="E154" i="23"/>
  <c r="G154" i="23"/>
  <c r="E152" i="23"/>
  <c r="E150" i="23"/>
  <c r="G150" i="23"/>
  <c r="E148" i="23"/>
  <c r="G148" i="23"/>
  <c r="E146" i="23"/>
  <c r="G146" i="23"/>
  <c r="G145" i="23"/>
  <c r="E144" i="23"/>
  <c r="G144" i="23"/>
  <c r="E142" i="23"/>
  <c r="G142" i="23"/>
  <c r="E140" i="23"/>
  <c r="G140" i="23"/>
  <c r="E138" i="23"/>
  <c r="G138" i="23"/>
  <c r="E136" i="23"/>
  <c r="G136" i="23"/>
  <c r="E134" i="23"/>
  <c r="G134" i="23"/>
  <c r="E132" i="23"/>
  <c r="G132" i="23"/>
  <c r="G130" i="23"/>
  <c r="E128" i="23"/>
  <c r="E126" i="23"/>
  <c r="E124" i="23"/>
  <c r="G124" i="23"/>
  <c r="G123" i="23"/>
  <c r="E122" i="23"/>
  <c r="G122" i="23"/>
  <c r="E120" i="23"/>
  <c r="G120" i="23"/>
  <c r="E118" i="23"/>
  <c r="G118" i="23"/>
  <c r="E116" i="23"/>
  <c r="G115" i="23"/>
  <c r="E114" i="23"/>
  <c r="G114" i="23"/>
  <c r="G113" i="23"/>
  <c r="E112" i="23"/>
  <c r="G112" i="23"/>
  <c r="E110" i="23"/>
  <c r="G110" i="23"/>
  <c r="G109" i="23"/>
  <c r="E108" i="23"/>
  <c r="G108" i="23"/>
  <c r="G107" i="23"/>
  <c r="E106" i="23"/>
  <c r="G106" i="23"/>
  <c r="G105" i="23"/>
  <c r="E104" i="23"/>
  <c r="G104" i="23"/>
  <c r="G103" i="23"/>
  <c r="E102" i="23"/>
  <c r="G102" i="23"/>
  <c r="G101" i="23"/>
  <c r="E100" i="23"/>
  <c r="G100" i="23"/>
  <c r="G99" i="23"/>
  <c r="E98" i="23"/>
  <c r="G98" i="23"/>
  <c r="G97" i="23"/>
  <c r="E96" i="23"/>
  <c r="G94" i="23"/>
  <c r="G93" i="23"/>
  <c r="E92" i="23"/>
  <c r="G92" i="23"/>
  <c r="G90" i="23"/>
  <c r="E88" i="23"/>
  <c r="G88" i="23"/>
  <c r="G86" i="23"/>
  <c r="E84" i="23"/>
  <c r="G84" i="23"/>
  <c r="G82" i="23"/>
  <c r="E80" i="23"/>
  <c r="G80" i="23"/>
  <c r="G78" i="23"/>
  <c r="E76" i="23"/>
  <c r="G74" i="23"/>
  <c r="E73" i="23"/>
  <c r="E72" i="23"/>
  <c r="G70" i="23"/>
  <c r="E68" i="23"/>
  <c r="G68" i="23"/>
  <c r="G67" i="23"/>
  <c r="E66" i="23"/>
  <c r="E64" i="23"/>
  <c r="G64" i="23"/>
  <c r="G62" i="23"/>
  <c r="E61" i="23"/>
  <c r="E60" i="23"/>
  <c r="G60" i="23"/>
  <c r="G59" i="23"/>
  <c r="G58" i="23"/>
  <c r="E57" i="23"/>
  <c r="E56" i="23"/>
  <c r="G56" i="23"/>
  <c r="G55" i="23"/>
  <c r="G54" i="23"/>
  <c r="E53" i="23"/>
  <c r="E52" i="23"/>
  <c r="G50" i="23"/>
  <c r="E49" i="23"/>
  <c r="E48" i="23"/>
  <c r="G47" i="23"/>
  <c r="G46" i="23"/>
  <c r="E45" i="23"/>
  <c r="E44" i="23"/>
  <c r="G43" i="23"/>
  <c r="G42" i="23"/>
  <c r="E41" i="23"/>
  <c r="E40" i="23"/>
  <c r="G39" i="23"/>
  <c r="E38" i="23"/>
  <c r="G38" i="23"/>
  <c r="E37" i="23"/>
  <c r="E36" i="23"/>
  <c r="G36" i="23"/>
  <c r="G35" i="23"/>
  <c r="E34" i="23"/>
  <c r="E33" i="23"/>
  <c r="G33" i="23"/>
  <c r="E32" i="23"/>
  <c r="E31" i="23"/>
  <c r="G31" i="23"/>
  <c r="E30" i="23"/>
  <c r="G30" i="23"/>
  <c r="E29" i="23"/>
  <c r="E28" i="23"/>
  <c r="G28" i="23"/>
  <c r="E27" i="23"/>
  <c r="G27" i="23"/>
  <c r="E26" i="23"/>
  <c r="G26" i="23"/>
  <c r="E25" i="23"/>
  <c r="G25" i="23"/>
  <c r="E24" i="23"/>
  <c r="G24" i="23"/>
  <c r="E23" i="23"/>
  <c r="G23" i="23"/>
  <c r="E22" i="23"/>
  <c r="G22" i="23"/>
  <c r="E21" i="23"/>
  <c r="E20" i="23"/>
  <c r="G20" i="23"/>
  <c r="E19" i="23"/>
  <c r="E18" i="23"/>
  <c r="G18" i="23"/>
  <c r="E17" i="23"/>
  <c r="G17" i="23"/>
  <c r="E16" i="23"/>
  <c r="G16" i="23"/>
  <c r="E15" i="23"/>
  <c r="E14" i="23"/>
  <c r="G14" i="23"/>
  <c r="E13" i="23"/>
  <c r="G13" i="23"/>
  <c r="E12" i="23"/>
  <c r="G11" i="23"/>
  <c r="E10" i="23"/>
  <c r="G10" i="23"/>
  <c r="E9" i="23"/>
  <c r="G9" i="23"/>
  <c r="E8" i="23"/>
  <c r="G8" i="23"/>
  <c r="E7" i="23"/>
  <c r="E6" i="23"/>
  <c r="G6" i="23"/>
  <c r="E5" i="23"/>
  <c r="G5" i="23"/>
  <c r="E4" i="23"/>
  <c r="G4" i="23"/>
  <c r="E161" i="23"/>
  <c r="G160" i="23"/>
  <c r="G159" i="23"/>
  <c r="E159" i="23"/>
  <c r="E158" i="23"/>
  <c r="G157" i="23"/>
  <c r="E157" i="23"/>
  <c r="G155" i="23"/>
  <c r="E155" i="23"/>
  <c r="G153" i="23"/>
  <c r="E153" i="23"/>
  <c r="G152" i="23"/>
  <c r="G151" i="23"/>
  <c r="E151" i="23"/>
  <c r="G149" i="23"/>
  <c r="E149" i="23"/>
  <c r="G147" i="23"/>
  <c r="E147" i="23"/>
  <c r="E145" i="23"/>
  <c r="G143" i="23"/>
  <c r="E143" i="23"/>
  <c r="G141" i="23"/>
  <c r="E141" i="23"/>
  <c r="G139" i="23"/>
  <c r="E139" i="23"/>
  <c r="G137" i="23"/>
  <c r="E137" i="23"/>
  <c r="G135" i="23"/>
  <c r="E135" i="23"/>
  <c r="G133" i="23"/>
  <c r="E133" i="23"/>
  <c r="G131" i="23"/>
  <c r="E131" i="23"/>
  <c r="E130" i="23"/>
  <c r="E129" i="23"/>
  <c r="E127" i="23"/>
  <c r="G125" i="23"/>
  <c r="E125" i="23"/>
  <c r="E123" i="23"/>
  <c r="G121" i="23"/>
  <c r="E121" i="23"/>
  <c r="G119" i="23"/>
  <c r="E119" i="23"/>
  <c r="G117" i="23"/>
  <c r="E117" i="23"/>
  <c r="E115" i="23"/>
  <c r="E113" i="23"/>
  <c r="G111" i="23"/>
  <c r="E111" i="23"/>
  <c r="E109" i="23"/>
  <c r="E107" i="23"/>
  <c r="E105" i="23"/>
  <c r="E103" i="23"/>
  <c r="E101" i="23"/>
  <c r="E99" i="23"/>
  <c r="E97" i="23"/>
  <c r="G96" i="23"/>
  <c r="G95" i="23"/>
  <c r="E95" i="23"/>
  <c r="E94" i="23"/>
  <c r="E93" i="23"/>
  <c r="G91" i="23"/>
  <c r="E91" i="23"/>
  <c r="E90" i="23"/>
  <c r="G89" i="23"/>
  <c r="E89" i="23"/>
  <c r="G87" i="23"/>
  <c r="E87" i="23"/>
  <c r="E86" i="23"/>
  <c r="G85" i="23"/>
  <c r="E85" i="23"/>
  <c r="G83" i="23"/>
  <c r="E83" i="23"/>
  <c r="E82" i="23"/>
  <c r="G81" i="23"/>
  <c r="E81" i="23"/>
  <c r="G79" i="23"/>
  <c r="E79" i="23"/>
  <c r="E78" i="23"/>
  <c r="G77" i="23"/>
  <c r="E77" i="23"/>
  <c r="G76" i="23"/>
  <c r="G75" i="23"/>
  <c r="E75" i="23"/>
  <c r="E74" i="23"/>
  <c r="G72" i="23"/>
  <c r="G71" i="23"/>
  <c r="E71" i="23"/>
  <c r="E70" i="23"/>
  <c r="G69" i="23"/>
  <c r="E69" i="23"/>
  <c r="E67" i="23"/>
  <c r="G65" i="23"/>
  <c r="E65" i="23"/>
  <c r="G63" i="23"/>
  <c r="E63" i="23"/>
  <c r="E62" i="23"/>
  <c r="E59" i="23"/>
  <c r="E58" i="23"/>
  <c r="G57" i="23"/>
  <c r="E55" i="23"/>
  <c r="E54" i="23"/>
  <c r="G53" i="23"/>
  <c r="G52" i="23"/>
  <c r="E51" i="23"/>
  <c r="E50" i="23"/>
  <c r="G49" i="23"/>
  <c r="G48" i="23"/>
  <c r="E47" i="23"/>
  <c r="E46" i="23"/>
  <c r="G45" i="23"/>
  <c r="G44" i="23"/>
  <c r="E43" i="23"/>
  <c r="E42" i="23"/>
  <c r="G40" i="23"/>
  <c r="E39" i="23"/>
  <c r="G37" i="23"/>
  <c r="E35" i="23"/>
  <c r="E11" i="23"/>
  <c r="G21" i="23" l="1"/>
  <c r="G73" i="23"/>
  <c r="G7" i="23"/>
  <c r="G61" i="23"/>
  <c r="G41" i="23"/>
  <c r="G34" i="23"/>
  <c r="G12" i="23"/>
  <c r="F147" i="23"/>
  <c r="H147" i="23" s="1"/>
  <c r="F132" i="23"/>
  <c r="H132" i="23" s="1"/>
  <c r="F156" i="23"/>
  <c r="H156" i="23" s="1"/>
  <c r="F159" i="23"/>
  <c r="H159" i="23" s="1"/>
  <c r="F139" i="23"/>
  <c r="H139" i="23" s="1"/>
  <c r="F143" i="23"/>
  <c r="H143" i="23" s="1"/>
  <c r="G51" i="23"/>
  <c r="G126" i="23"/>
  <c r="G127" i="23"/>
  <c r="G19" i="23"/>
  <c r="G15" i="23"/>
  <c r="G116" i="23"/>
  <c r="G128" i="23"/>
  <c r="G32" i="23"/>
  <c r="G129" i="23"/>
  <c r="F127" i="23"/>
  <c r="G29" i="23"/>
  <c r="F96" i="23"/>
  <c r="H96" i="23" s="1"/>
  <c r="F10" i="23"/>
  <c r="H10" i="23" s="1"/>
  <c r="F26" i="23"/>
  <c r="H26" i="23" s="1"/>
  <c r="F36" i="23"/>
  <c r="H36" i="23" s="1"/>
  <c r="F44" i="23"/>
  <c r="H44" i="23" s="1"/>
  <c r="F52" i="23"/>
  <c r="H52" i="23" s="1"/>
  <c r="F61" i="23"/>
  <c r="H61" i="23" s="1"/>
  <c r="F88" i="23"/>
  <c r="H88" i="23" s="1"/>
  <c r="F98" i="23"/>
  <c r="H98" i="23" s="1"/>
  <c r="F121" i="23"/>
  <c r="H121" i="23" s="1"/>
  <c r="F71" i="23"/>
  <c r="H71" i="23" s="1"/>
  <c r="F99" i="23"/>
  <c r="H99" i="23" s="1"/>
  <c r="F129" i="23"/>
  <c r="F151" i="23"/>
  <c r="H151" i="23" s="1"/>
  <c r="F12" i="23"/>
  <c r="H12" i="23" s="1"/>
  <c r="F37" i="23"/>
  <c r="H37" i="23" s="1"/>
  <c r="F45" i="23"/>
  <c r="H45" i="23" s="1"/>
  <c r="F53" i="23"/>
  <c r="H53" i="23" s="1"/>
  <c r="F62" i="23"/>
  <c r="H62" i="23" s="1"/>
  <c r="F89" i="23"/>
  <c r="H89" i="23" s="1"/>
  <c r="F100" i="23"/>
  <c r="H100" i="23" s="1"/>
  <c r="F113" i="23"/>
  <c r="H113" i="23" s="1"/>
  <c r="F122" i="23"/>
  <c r="H122" i="23" s="1"/>
  <c r="F144" i="23"/>
  <c r="H144" i="23" s="1"/>
  <c r="F112" i="23"/>
  <c r="H112" i="23" s="1"/>
  <c r="F158" i="23"/>
  <c r="H158" i="23" s="1"/>
  <c r="F14" i="23"/>
  <c r="H14" i="23" s="1"/>
  <c r="F28" i="23"/>
  <c r="H28" i="23" s="1"/>
  <c r="F72" i="23"/>
  <c r="H72" i="23" s="1"/>
  <c r="F81" i="23"/>
  <c r="H81" i="23" s="1"/>
  <c r="F101" i="23"/>
  <c r="H101" i="23" s="1"/>
  <c r="F130" i="23"/>
  <c r="H130" i="23" s="1"/>
  <c r="F137" i="23"/>
  <c r="H137" i="23" s="1"/>
  <c r="F152" i="23"/>
  <c r="H152" i="23" s="1"/>
  <c r="F80" i="23"/>
  <c r="H80" i="23" s="1"/>
  <c r="F136" i="23"/>
  <c r="H136" i="23" s="1"/>
  <c r="F15" i="23"/>
  <c r="H15" i="23" s="1"/>
  <c r="F38" i="23"/>
  <c r="H38" i="23" s="1"/>
  <c r="F46" i="23"/>
  <c r="H46" i="23" s="1"/>
  <c r="F54" i="23"/>
  <c r="H54" i="23" s="1"/>
  <c r="F63" i="23"/>
  <c r="H63" i="23" s="1"/>
  <c r="F90" i="23"/>
  <c r="H90" i="23" s="1"/>
  <c r="F102" i="23"/>
  <c r="H102" i="23" s="1"/>
  <c r="F114" i="23"/>
  <c r="H114" i="23" s="1"/>
  <c r="F123" i="23"/>
  <c r="H123" i="23" s="1"/>
  <c r="F145" i="23"/>
  <c r="H145" i="23" s="1"/>
  <c r="F82" i="23"/>
  <c r="H82" i="23" s="1"/>
  <c r="F103" i="23"/>
  <c r="H103" i="23" s="1"/>
  <c r="F146" i="23"/>
  <c r="H146" i="23" s="1"/>
  <c r="F16" i="23"/>
  <c r="H16" i="23" s="1"/>
  <c r="F138" i="23"/>
  <c r="H138" i="23" s="1"/>
  <c r="F17" i="23"/>
  <c r="H17" i="23" s="1"/>
  <c r="F30" i="23"/>
  <c r="H30" i="23" s="1"/>
  <c r="F39" i="23"/>
  <c r="H39" i="23" s="1"/>
  <c r="F47" i="23"/>
  <c r="H47" i="23" s="1"/>
  <c r="F55" i="23"/>
  <c r="H55" i="23" s="1"/>
  <c r="F64" i="23"/>
  <c r="H64" i="23" s="1"/>
  <c r="F91" i="23"/>
  <c r="H91" i="23" s="1"/>
  <c r="F104" i="23"/>
  <c r="H104" i="23" s="1"/>
  <c r="F115" i="23"/>
  <c r="H115" i="23" s="1"/>
  <c r="F124" i="23"/>
  <c r="H124" i="23" s="1"/>
  <c r="F131" i="23"/>
  <c r="H131" i="23" s="1"/>
  <c r="F160" i="23"/>
  <c r="H160" i="23" s="1"/>
  <c r="F73" i="23"/>
  <c r="H73" i="23" s="1"/>
  <c r="F153" i="23"/>
  <c r="H153" i="23" s="1"/>
  <c r="F18" i="23"/>
  <c r="H18" i="23" s="1"/>
  <c r="F31" i="23"/>
  <c r="H31" i="23" s="1"/>
  <c r="F56" i="23"/>
  <c r="H56" i="23" s="1"/>
  <c r="F65" i="23"/>
  <c r="H65" i="23" s="1"/>
  <c r="F74" i="23"/>
  <c r="H74" i="23" s="1"/>
  <c r="F83" i="23"/>
  <c r="H83" i="23" s="1"/>
  <c r="F105" i="23"/>
  <c r="H105" i="23" s="1"/>
  <c r="F154" i="23"/>
  <c r="H154" i="23" s="1"/>
  <c r="F19" i="23"/>
  <c r="H19" i="23" s="1"/>
  <c r="F40" i="23"/>
  <c r="H40" i="23" s="1"/>
  <c r="F48" i="23"/>
  <c r="H48" i="23" s="1"/>
  <c r="F57" i="23"/>
  <c r="H57" i="23" s="1"/>
  <c r="F75" i="23"/>
  <c r="H75" i="23" s="1"/>
  <c r="F92" i="23"/>
  <c r="H92" i="23" s="1"/>
  <c r="F106" i="23"/>
  <c r="H106" i="23" s="1"/>
  <c r="F116" i="23"/>
  <c r="H116" i="23" s="1"/>
  <c r="F125" i="23"/>
  <c r="H125" i="23" s="1"/>
  <c r="F161" i="23"/>
  <c r="H161" i="23" s="1"/>
  <c r="F5" i="23"/>
  <c r="H5" i="23" s="1"/>
  <c r="F11" i="23"/>
  <c r="H11" i="23" s="1"/>
  <c r="F9" i="23"/>
  <c r="H9" i="23" s="1"/>
  <c r="F32" i="23"/>
  <c r="F84" i="23"/>
  <c r="H84" i="23" s="1"/>
  <c r="F107" i="23"/>
  <c r="H107" i="23" s="1"/>
  <c r="F21" i="23"/>
  <c r="H21" i="23" s="1"/>
  <c r="F41" i="23"/>
  <c r="H41" i="23" s="1"/>
  <c r="F49" i="23"/>
  <c r="H49" i="23" s="1"/>
  <c r="F58" i="23"/>
  <c r="H58" i="23" s="1"/>
  <c r="F76" i="23"/>
  <c r="H76" i="23" s="1"/>
  <c r="F85" i="23"/>
  <c r="H85" i="23" s="1"/>
  <c r="F94" i="23"/>
  <c r="H94" i="23" s="1"/>
  <c r="F126" i="23"/>
  <c r="F155" i="23"/>
  <c r="H155" i="23" s="1"/>
  <c r="F13" i="23"/>
  <c r="H13" i="23" s="1"/>
  <c r="F27" i="23"/>
  <c r="H27" i="23" s="1"/>
  <c r="F20" i="23"/>
  <c r="H20" i="23" s="1"/>
  <c r="F66" i="23"/>
  <c r="F93" i="23"/>
  <c r="H93" i="23" s="1"/>
  <c r="F117" i="23"/>
  <c r="H117" i="23" s="1"/>
  <c r="F140" i="23"/>
  <c r="H140" i="23" s="1"/>
  <c r="F22" i="23"/>
  <c r="H22" i="23" s="1"/>
  <c r="F33" i="23"/>
  <c r="H33" i="23" s="1"/>
  <c r="F67" i="23"/>
  <c r="H67" i="23" s="1"/>
  <c r="F95" i="23"/>
  <c r="H95" i="23" s="1"/>
  <c r="F108" i="23"/>
  <c r="H108" i="23" s="1"/>
  <c r="F118" i="23"/>
  <c r="H118" i="23" s="1"/>
  <c r="F133" i="23"/>
  <c r="H133" i="23" s="1"/>
  <c r="F141" i="23"/>
  <c r="H141" i="23" s="1"/>
  <c r="F148" i="23"/>
  <c r="H148" i="23" s="1"/>
  <c r="F23" i="23"/>
  <c r="H23" i="23" s="1"/>
  <c r="F42" i="23"/>
  <c r="H42" i="23" s="1"/>
  <c r="F50" i="23"/>
  <c r="H50" i="23" s="1"/>
  <c r="F59" i="23"/>
  <c r="H59" i="23" s="1"/>
  <c r="F68" i="23"/>
  <c r="H68" i="23" s="1"/>
  <c r="F77" i="23"/>
  <c r="H77" i="23" s="1"/>
  <c r="F86" i="23"/>
  <c r="H86" i="23" s="1"/>
  <c r="F109" i="23"/>
  <c r="H109" i="23" s="1"/>
  <c r="F119" i="23"/>
  <c r="H119" i="23" s="1"/>
  <c r="F34" i="23"/>
  <c r="H34" i="23" s="1"/>
  <c r="F69" i="23"/>
  <c r="H69" i="23" s="1"/>
  <c r="F142" i="23"/>
  <c r="H142" i="23" s="1"/>
  <c r="F29" i="23"/>
  <c r="F4" i="23"/>
  <c r="H4" i="23" s="1"/>
  <c r="F134" i="23"/>
  <c r="H134" i="23" s="1"/>
  <c r="F7" i="23"/>
  <c r="H7" i="23" s="1"/>
  <c r="F24" i="23"/>
  <c r="H24" i="23" s="1"/>
  <c r="F35" i="23"/>
  <c r="H35" i="23" s="1"/>
  <c r="F43" i="23"/>
  <c r="H43" i="23" s="1"/>
  <c r="F51" i="23"/>
  <c r="H51" i="23" s="1"/>
  <c r="F60" i="23"/>
  <c r="H60" i="23" s="1"/>
  <c r="F78" i="23"/>
  <c r="H78" i="23" s="1"/>
  <c r="F87" i="23"/>
  <c r="H87" i="23" s="1"/>
  <c r="F110" i="23"/>
  <c r="H110" i="23" s="1"/>
  <c r="F120" i="23"/>
  <c r="H120" i="23" s="1"/>
  <c r="F6" i="23"/>
  <c r="H6" i="23" s="1"/>
  <c r="F149" i="23"/>
  <c r="H149" i="23" s="1"/>
  <c r="F8" i="23"/>
  <c r="H8" i="23" s="1"/>
  <c r="F25" i="23"/>
  <c r="H25" i="23" s="1"/>
  <c r="F70" i="23"/>
  <c r="H70" i="23" s="1"/>
  <c r="F79" i="23"/>
  <c r="H79" i="23" s="1"/>
  <c r="F97" i="23"/>
  <c r="H97" i="23" s="1"/>
  <c r="F111" i="23"/>
  <c r="H111" i="23" s="1"/>
  <c r="F128" i="23"/>
  <c r="H128" i="23" s="1"/>
  <c r="F135" i="23"/>
  <c r="H135" i="23" s="1"/>
  <c r="F150" i="23"/>
  <c r="H150" i="23" s="1"/>
  <c r="F157" i="23"/>
  <c r="H157" i="23" s="1"/>
  <c r="H29" i="23" l="1"/>
  <c r="H129" i="23"/>
  <c r="H32" i="23"/>
  <c r="H127" i="23"/>
  <c r="H126" i="23"/>
  <c r="G66" i="23"/>
  <c r="G163" i="23" s="1"/>
  <c r="H66" i="23" l="1"/>
  <c r="H163" i="23" s="1"/>
  <c r="F101" i="7" l="1"/>
  <c r="E174" i="7"/>
  <c r="E179" i="7"/>
  <c r="F173" i="7"/>
  <c r="E172" i="7"/>
  <c r="F170" i="7"/>
  <c r="E168" i="7"/>
  <c r="F168" i="7"/>
  <c r="E167" i="7"/>
  <c r="E160" i="7"/>
  <c r="F160" i="7"/>
  <c r="E153" i="7"/>
  <c r="E151" i="7"/>
  <c r="E152" i="7"/>
  <c r="E150" i="7"/>
  <c r="F150" i="7"/>
  <c r="E175" i="7"/>
  <c r="E147" i="7"/>
  <c r="F77" i="7"/>
  <c r="F71" i="7"/>
  <c r="F143" i="7"/>
  <c r="E141" i="7"/>
  <c r="E140" i="7"/>
  <c r="F139" i="7"/>
  <c r="E136" i="7"/>
  <c r="F134" i="7"/>
  <c r="E133" i="7"/>
  <c r="E132" i="7"/>
  <c r="E128" i="7"/>
  <c r="F127" i="7"/>
  <c r="E126" i="7"/>
  <c r="E125" i="7"/>
  <c r="F123" i="7"/>
  <c r="E121" i="7"/>
  <c r="E118" i="7"/>
  <c r="E117" i="7"/>
  <c r="F114" i="7"/>
  <c r="E113" i="7"/>
  <c r="F113" i="7"/>
  <c r="G113" i="7" s="1"/>
  <c r="E109" i="7"/>
  <c r="E108" i="7"/>
  <c r="F107" i="7"/>
  <c r="F106" i="7"/>
  <c r="E104" i="7"/>
  <c r="E103" i="7"/>
  <c r="E102" i="7"/>
  <c r="E101" i="7"/>
  <c r="E100" i="7"/>
  <c r="F100" i="7"/>
  <c r="E99" i="7"/>
  <c r="E98" i="7"/>
  <c r="E97" i="7"/>
  <c r="F97" i="7"/>
  <c r="G97" i="7" s="1"/>
  <c r="E96" i="7"/>
  <c r="F95" i="7"/>
  <c r="E94" i="7"/>
  <c r="F92" i="7"/>
  <c r="E91" i="7"/>
  <c r="F91" i="7"/>
  <c r="G91" i="7" s="1"/>
  <c r="E90" i="7"/>
  <c r="F90" i="7"/>
  <c r="F89" i="7"/>
  <c r="F88" i="7"/>
  <c r="F87" i="7"/>
  <c r="F85" i="7"/>
  <c r="E86" i="7"/>
  <c r="F86" i="7"/>
  <c r="F84" i="7"/>
  <c r="F83" i="7"/>
  <c r="E82" i="7"/>
  <c r="F82" i="7"/>
  <c r="G82" i="7" s="1"/>
  <c r="E81" i="7"/>
  <c r="F81" i="7"/>
  <c r="E80" i="7"/>
  <c r="F80" i="7"/>
  <c r="G80" i="7" s="1"/>
  <c r="F79" i="7"/>
  <c r="E177" i="7"/>
  <c r="F177" i="7"/>
  <c r="G177" i="7" s="1"/>
  <c r="E178" i="7"/>
  <c r="F178" i="7"/>
  <c r="G178" i="7" s="1"/>
  <c r="E78" i="7"/>
  <c r="F78" i="7"/>
  <c r="F76" i="7"/>
  <c r="E74" i="7"/>
  <c r="F74" i="7"/>
  <c r="G74" i="7" s="1"/>
  <c r="F73" i="7"/>
  <c r="E72" i="7"/>
  <c r="E137" i="7"/>
  <c r="F137" i="7"/>
  <c r="E145" i="7"/>
  <c r="F69" i="7"/>
  <c r="F68" i="7"/>
  <c r="E27" i="7"/>
  <c r="E64" i="7"/>
  <c r="F64" i="7"/>
  <c r="G64" i="7" s="1"/>
  <c r="F61" i="7"/>
  <c r="F60" i="7"/>
  <c r="E59" i="7"/>
  <c r="F59" i="7"/>
  <c r="G59" i="7" s="1"/>
  <c r="F57" i="7"/>
  <c r="F58" i="7"/>
  <c r="E144" i="7"/>
  <c r="F54" i="7"/>
  <c r="F53" i="7"/>
  <c r="E52" i="7"/>
  <c r="F52" i="7"/>
  <c r="G52" i="7" s="1"/>
  <c r="E51" i="7"/>
  <c r="F51" i="7"/>
  <c r="G51" i="7" s="1"/>
  <c r="F50" i="7"/>
  <c r="F49" i="7"/>
  <c r="F48" i="7"/>
  <c r="E39" i="7"/>
  <c r="F39" i="7"/>
  <c r="E38" i="7"/>
  <c r="E41" i="7"/>
  <c r="F41" i="7"/>
  <c r="G41" i="7" s="1"/>
  <c r="E40" i="7"/>
  <c r="F40" i="7"/>
  <c r="E34" i="7"/>
  <c r="E32" i="7"/>
  <c r="F32" i="7"/>
  <c r="F33" i="7"/>
  <c r="F37" i="7"/>
  <c r="E36" i="7"/>
  <c r="F36" i="7"/>
  <c r="G36" i="7" s="1"/>
  <c r="E35" i="7"/>
  <c r="F35" i="7"/>
  <c r="G35" i="7" s="1"/>
  <c r="F31" i="7"/>
  <c r="E30" i="7"/>
  <c r="F30" i="7"/>
  <c r="E29" i="7"/>
  <c r="F29" i="7"/>
  <c r="G29" i="7" s="1"/>
  <c r="E28" i="7"/>
  <c r="F28" i="7"/>
  <c r="E176" i="7"/>
  <c r="F176" i="7"/>
  <c r="E138" i="7"/>
  <c r="E26" i="7"/>
  <c r="E25" i="7"/>
  <c r="F25" i="7"/>
  <c r="G25" i="7" s="1"/>
  <c r="E24" i="7"/>
  <c r="E23" i="7"/>
  <c r="F23" i="7"/>
  <c r="G23" i="7" s="1"/>
  <c r="F22" i="7"/>
  <c r="E21" i="7"/>
  <c r="F21" i="7"/>
  <c r="G21" i="7" s="1"/>
  <c r="E20" i="7"/>
  <c r="F20" i="7"/>
  <c r="G20" i="7" s="1"/>
  <c r="E19" i="7"/>
  <c r="F19" i="7"/>
  <c r="E18" i="7"/>
  <c r="E17" i="7"/>
  <c r="F16" i="7"/>
  <c r="F15" i="7"/>
  <c r="E14" i="7"/>
  <c r="F14" i="7"/>
  <c r="G14" i="7" s="1"/>
  <c r="E13" i="7"/>
  <c r="F13" i="7"/>
  <c r="G13" i="7" s="1"/>
  <c r="E12" i="7"/>
  <c r="F12" i="7"/>
  <c r="E11" i="7"/>
  <c r="F11" i="7"/>
  <c r="G11" i="7" s="1"/>
  <c r="E10" i="7"/>
  <c r="F10" i="7"/>
  <c r="G10" i="7" s="1"/>
  <c r="F9" i="7"/>
  <c r="E8" i="7"/>
  <c r="F8" i="7"/>
  <c r="F7" i="7"/>
  <c r="E6" i="7"/>
  <c r="E5" i="7"/>
  <c r="F174" i="7"/>
  <c r="G174" i="7" s="1"/>
  <c r="E173" i="7"/>
  <c r="F172" i="7"/>
  <c r="G172" i="7" s="1"/>
  <c r="F171" i="7"/>
  <c r="E171" i="7"/>
  <c r="E170" i="7"/>
  <c r="F169" i="7"/>
  <c r="E169" i="7"/>
  <c r="F167" i="7"/>
  <c r="F166" i="7"/>
  <c r="E166" i="7"/>
  <c r="F165" i="7"/>
  <c r="E165" i="7"/>
  <c r="F164" i="7"/>
  <c r="E164" i="7"/>
  <c r="F163" i="7"/>
  <c r="E163" i="7"/>
  <c r="F162" i="7"/>
  <c r="E162" i="7"/>
  <c r="F161" i="7"/>
  <c r="E161" i="7"/>
  <c r="F159" i="7"/>
  <c r="E159" i="7"/>
  <c r="F158" i="7"/>
  <c r="E158" i="7"/>
  <c r="F157" i="7"/>
  <c r="E157" i="7"/>
  <c r="F156" i="7"/>
  <c r="E156" i="7"/>
  <c r="E155" i="7"/>
  <c r="F154" i="7"/>
  <c r="E154" i="7"/>
  <c r="F153" i="7"/>
  <c r="G153" i="7" s="1"/>
  <c r="F152" i="7"/>
  <c r="F151" i="7"/>
  <c r="G151" i="7" s="1"/>
  <c r="F149" i="7"/>
  <c r="E149" i="7"/>
  <c r="F148" i="7"/>
  <c r="E148" i="7"/>
  <c r="F147" i="7"/>
  <c r="G147" i="7" s="1"/>
  <c r="E77" i="7"/>
  <c r="E71" i="7"/>
  <c r="F70" i="7"/>
  <c r="E70" i="7"/>
  <c r="E143" i="7"/>
  <c r="E142" i="7"/>
  <c r="F140" i="7"/>
  <c r="G140" i="7" s="1"/>
  <c r="E139" i="7"/>
  <c r="F67" i="7"/>
  <c r="E67" i="7"/>
  <c r="F146" i="7"/>
  <c r="E146" i="7"/>
  <c r="F135" i="7"/>
  <c r="E135" i="7"/>
  <c r="E134" i="7"/>
  <c r="E131" i="7"/>
  <c r="E130" i="7"/>
  <c r="E129" i="7"/>
  <c r="F128" i="7"/>
  <c r="E127" i="7"/>
  <c r="F124" i="7"/>
  <c r="E124" i="7"/>
  <c r="E123" i="7"/>
  <c r="F122" i="7"/>
  <c r="E122" i="7"/>
  <c r="F121" i="7"/>
  <c r="G121" i="7" s="1"/>
  <c r="F120" i="7"/>
  <c r="E120" i="7"/>
  <c r="F119" i="7"/>
  <c r="E119" i="7"/>
  <c r="F118" i="7"/>
  <c r="G118" i="7" s="1"/>
  <c r="F117" i="7"/>
  <c r="G117" i="7" s="1"/>
  <c r="F116" i="7"/>
  <c r="E116" i="7"/>
  <c r="F115" i="7"/>
  <c r="E115" i="7"/>
  <c r="E114" i="7"/>
  <c r="F112" i="7"/>
  <c r="E112" i="7"/>
  <c r="F111" i="7"/>
  <c r="E111" i="7"/>
  <c r="E110" i="7"/>
  <c r="F109" i="7"/>
  <c r="G109" i="7" s="1"/>
  <c r="F108" i="7"/>
  <c r="G108" i="7" s="1"/>
  <c r="E107" i="7"/>
  <c r="E106" i="7"/>
  <c r="F105" i="7"/>
  <c r="E105" i="7"/>
  <c r="F104" i="7"/>
  <c r="F103" i="7"/>
  <c r="F96" i="7"/>
  <c r="G96" i="7" s="1"/>
  <c r="E95" i="7"/>
  <c r="F94" i="7"/>
  <c r="G94" i="7" s="1"/>
  <c r="F93" i="7"/>
  <c r="E93" i="7"/>
  <c r="E92" i="7"/>
  <c r="E89" i="7"/>
  <c r="E88" i="7"/>
  <c r="E87" i="7"/>
  <c r="E85" i="7"/>
  <c r="E84" i="7"/>
  <c r="E83" i="7"/>
  <c r="E79" i="7"/>
  <c r="E55" i="7"/>
  <c r="E76" i="7"/>
  <c r="E73" i="7"/>
  <c r="E69" i="7"/>
  <c r="E68" i="7"/>
  <c r="E61" i="7"/>
  <c r="E60" i="7"/>
  <c r="E58" i="7"/>
  <c r="E57" i="7"/>
  <c r="E54" i="7"/>
  <c r="E53" i="7"/>
  <c r="E50" i="7"/>
  <c r="E49" i="7"/>
  <c r="E48" i="7"/>
  <c r="E37" i="7"/>
  <c r="E33" i="7"/>
  <c r="E31" i="7"/>
  <c r="E22" i="7"/>
  <c r="E16" i="7"/>
  <c r="E15" i="7"/>
  <c r="E9" i="7"/>
  <c r="E7" i="7"/>
  <c r="G150" i="7" l="1"/>
  <c r="G90" i="7"/>
  <c r="G160" i="7"/>
  <c r="G8" i="7"/>
  <c r="G40" i="7"/>
  <c r="G32" i="7"/>
  <c r="G115" i="7"/>
  <c r="G116" i="7"/>
  <c r="G137" i="7"/>
  <c r="G93" i="7"/>
  <c r="G103" i="7"/>
  <c r="G164" i="7"/>
  <c r="G104" i="7"/>
  <c r="G167" i="7"/>
  <c r="G152" i="7"/>
  <c r="G111" i="7"/>
  <c r="G122" i="7"/>
  <c r="G163" i="7"/>
  <c r="G67" i="7"/>
  <c r="G176" i="7"/>
  <c r="G156" i="7"/>
  <c r="G171" i="7"/>
  <c r="G128" i="7"/>
  <c r="G161" i="7"/>
  <c r="G78" i="7"/>
  <c r="G149" i="7"/>
  <c r="G39" i="7"/>
  <c r="G100" i="7"/>
  <c r="G112" i="7"/>
  <c r="G165" i="7"/>
  <c r="G158" i="7"/>
  <c r="G105" i="7"/>
  <c r="G169" i="7"/>
  <c r="G12" i="7"/>
  <c r="G85" i="7"/>
  <c r="G89" i="7"/>
  <c r="G106" i="7"/>
  <c r="G154" i="7"/>
  <c r="G37" i="7"/>
  <c r="G68" i="7"/>
  <c r="G79" i="7"/>
  <c r="G123" i="7"/>
  <c r="G134" i="7"/>
  <c r="G28" i="7"/>
  <c r="G30" i="7"/>
  <c r="G124" i="7"/>
  <c r="G48" i="7"/>
  <c r="G58" i="7"/>
  <c r="G61" i="7"/>
  <c r="G69" i="7"/>
  <c r="G83" i="7"/>
  <c r="G92" i="7"/>
  <c r="G77" i="7"/>
  <c r="G170" i="7"/>
  <c r="G173" i="7"/>
  <c r="G19" i="7"/>
  <c r="G87" i="7"/>
  <c r="G70" i="7"/>
  <c r="G16" i="7"/>
  <c r="G33" i="7"/>
  <c r="G49" i="7"/>
  <c r="G54" i="7"/>
  <c r="G76" i="7"/>
  <c r="G157" i="7"/>
  <c r="G166" i="7"/>
  <c r="G31" i="7"/>
  <c r="G84" i="7"/>
  <c r="G86" i="7"/>
  <c r="G22" i="7"/>
  <c r="G50" i="7"/>
  <c r="G57" i="7"/>
  <c r="G143" i="7"/>
  <c r="G9" i="7"/>
  <c r="G81" i="7"/>
  <c r="G148" i="7"/>
  <c r="G159" i="7"/>
  <c r="G107" i="7"/>
  <c r="G119" i="7"/>
  <c r="G135" i="7"/>
  <c r="G15" i="7"/>
  <c r="G7" i="7"/>
  <c r="G168" i="7"/>
  <c r="G120" i="7"/>
  <c r="G146" i="7"/>
  <c r="G73" i="7"/>
  <c r="G95" i="7"/>
  <c r="G162" i="7"/>
  <c r="G88" i="7"/>
  <c r="G114" i="7"/>
  <c r="G127" i="7"/>
  <c r="G139" i="7"/>
  <c r="G53" i="7"/>
  <c r="G60" i="7"/>
  <c r="G71" i="7"/>
  <c r="G101" i="7"/>
  <c r="F34" i="7"/>
  <c r="G34" i="7" s="1"/>
  <c r="F6" i="7"/>
  <c r="G6" i="7" s="1"/>
  <c r="F72" i="7"/>
  <c r="G72" i="7" s="1"/>
  <c r="F26" i="7"/>
  <c r="G26" i="7" s="1"/>
  <c r="F130" i="7"/>
  <c r="G130" i="7" s="1"/>
  <c r="F129" i="7"/>
  <c r="G129" i="7" s="1"/>
  <c r="F55" i="7"/>
  <c r="G55" i="7" s="1"/>
  <c r="F142" i="7"/>
  <c r="G142" i="7" s="1"/>
  <c r="F24" i="7" l="1"/>
  <c r="G24" i="7" s="1"/>
  <c r="F138" i="7"/>
  <c r="G138" i="7" s="1"/>
  <c r="F133" i="7"/>
  <c r="G133" i="7" s="1"/>
  <c r="F5" i="7"/>
  <c r="F27" i="7"/>
  <c r="G27" i="7" s="1"/>
  <c r="F145" i="7"/>
  <c r="G145" i="7" s="1"/>
  <c r="F132" i="7"/>
  <c r="G132" i="7" s="1"/>
  <c r="F99" i="7"/>
  <c r="G99" i="7" s="1"/>
  <c r="F155" i="7"/>
  <c r="G155" i="7" s="1"/>
  <c r="G5" i="7" l="1"/>
  <c r="F175" i="7"/>
  <c r="G175" i="7" s="1"/>
  <c r="F110" i="7"/>
  <c r="G110" i="7" s="1"/>
  <c r="F131" i="7" l="1"/>
  <c r="G131" i="7" s="1"/>
  <c r="F102" i="7"/>
  <c r="G102" i="7" s="1"/>
  <c r="F179" i="7"/>
  <c r="G179" i="7" s="1"/>
  <c r="F141" i="7"/>
  <c r="G141" i="7" s="1"/>
  <c r="F126" i="7"/>
  <c r="G126" i="7" s="1"/>
  <c r="F125" i="7"/>
  <c r="G125" i="7" s="1"/>
  <c r="F38" i="7"/>
  <c r="G38" i="7" s="1"/>
  <c r="F136" i="7" l="1"/>
  <c r="G136" i="7" s="1"/>
  <c r="F18" i="7"/>
  <c r="G18" i="7" s="1"/>
  <c r="F144" i="7" l="1"/>
  <c r="G144" i="7" s="1"/>
  <c r="F17" i="7"/>
  <c r="F98" i="7"/>
  <c r="G98" i="7" s="1"/>
  <c r="G17" i="7" l="1"/>
  <c r="G181" i="7" s="1"/>
  <c r="C16" i="17" s="1"/>
  <c r="F181" i="7"/>
  <c r="E799" i="12" l="1"/>
  <c r="F799" i="12" l="1"/>
  <c r="G799" i="12" s="1"/>
  <c r="E797" i="12" l="1"/>
  <c r="F795" i="12"/>
  <c r="F794" i="12"/>
  <c r="E792" i="12"/>
  <c r="E791" i="12"/>
  <c r="F791" i="12"/>
  <c r="E789" i="12"/>
  <c r="F786" i="12"/>
  <c r="F785" i="12"/>
  <c r="E784" i="12"/>
  <c r="E783" i="12"/>
  <c r="E781" i="12"/>
  <c r="E780" i="12"/>
  <c r="E778" i="12"/>
  <c r="F778" i="12"/>
  <c r="G778" i="12" s="1"/>
  <c r="F777" i="12"/>
  <c r="E776" i="12"/>
  <c r="F776" i="12"/>
  <c r="E774" i="12"/>
  <c r="E772" i="12"/>
  <c r="E770" i="12"/>
  <c r="F770" i="12"/>
  <c r="G770" i="12" s="1"/>
  <c r="E768" i="12"/>
  <c r="E765" i="12"/>
  <c r="F764" i="12"/>
  <c r="E763" i="12"/>
  <c r="F763" i="12"/>
  <c r="G763" i="12" s="1"/>
  <c r="E762" i="12"/>
  <c r="F762" i="12"/>
  <c r="E760" i="12"/>
  <c r="F759" i="12"/>
  <c r="E758" i="12"/>
  <c r="E757" i="12"/>
  <c r="F757" i="12"/>
  <c r="E755" i="12"/>
  <c r="F755" i="12"/>
  <c r="G755" i="12" s="1"/>
  <c r="F754" i="12"/>
  <c r="E753" i="12"/>
  <c r="F753" i="12"/>
  <c r="G753" i="12" s="1"/>
  <c r="E751" i="12"/>
  <c r="F751" i="12"/>
  <c r="G751" i="12" s="1"/>
  <c r="E748" i="12"/>
  <c r="F748" i="12"/>
  <c r="G748" i="12" s="1"/>
  <c r="F747" i="12"/>
  <c r="E746" i="12"/>
  <c r="F745" i="12"/>
  <c r="E743" i="12"/>
  <c r="E742" i="12"/>
  <c r="F742" i="12"/>
  <c r="F741" i="12"/>
  <c r="E740" i="12"/>
  <c r="E739" i="12"/>
  <c r="F738" i="12"/>
  <c r="E737" i="12"/>
  <c r="F737" i="12"/>
  <c r="G737" i="12" s="1"/>
  <c r="E735" i="12"/>
  <c r="F735" i="12"/>
  <c r="G735" i="12" s="1"/>
  <c r="E733" i="12"/>
  <c r="F733" i="12"/>
  <c r="G733" i="12" s="1"/>
  <c r="E732" i="12"/>
  <c r="E731" i="12"/>
  <c r="F731" i="12"/>
  <c r="G731" i="12" s="1"/>
  <c r="F730" i="12"/>
  <c r="F729" i="12"/>
  <c r="E723" i="12"/>
  <c r="E722" i="12"/>
  <c r="F721" i="12"/>
  <c r="F720" i="12"/>
  <c r="E718" i="12"/>
  <c r="F717" i="12"/>
  <c r="F716" i="12"/>
  <c r="E715" i="12"/>
  <c r="F713" i="12"/>
  <c r="E711" i="12"/>
  <c r="F710" i="12"/>
  <c r="E709" i="12"/>
  <c r="F709" i="12"/>
  <c r="G709" i="12" s="1"/>
  <c r="E708" i="12"/>
  <c r="F708" i="12"/>
  <c r="G708" i="12" s="1"/>
  <c r="E707" i="12"/>
  <c r="F707" i="12"/>
  <c r="E706" i="12"/>
  <c r="F706" i="12"/>
  <c r="G706" i="12" s="1"/>
  <c r="E705" i="12"/>
  <c r="F705" i="12"/>
  <c r="G705" i="12" s="1"/>
  <c r="E704" i="12"/>
  <c r="E703" i="12"/>
  <c r="F703" i="12"/>
  <c r="E702" i="12"/>
  <c r="F702" i="12"/>
  <c r="G702" i="12" s="1"/>
  <c r="F701" i="12"/>
  <c r="E700" i="12"/>
  <c r="E699" i="12"/>
  <c r="E698" i="12"/>
  <c r="F698" i="12"/>
  <c r="G698" i="12" s="1"/>
  <c r="E696" i="12"/>
  <c r="F696" i="12"/>
  <c r="E695" i="12"/>
  <c r="F695" i="12"/>
  <c r="G695" i="12" s="1"/>
  <c r="E694" i="12"/>
  <c r="F693" i="12"/>
  <c r="E688" i="12"/>
  <c r="F688" i="12"/>
  <c r="G688" i="12" s="1"/>
  <c r="E687" i="12"/>
  <c r="E686" i="12"/>
  <c r="F686" i="12"/>
  <c r="G686" i="12" s="1"/>
  <c r="E685" i="12"/>
  <c r="E684" i="12"/>
  <c r="F684" i="12"/>
  <c r="G684" i="12" s="1"/>
  <c r="E683" i="12"/>
  <c r="F683" i="12"/>
  <c r="E682" i="12"/>
  <c r="F682" i="12"/>
  <c r="E681" i="12"/>
  <c r="F681" i="12"/>
  <c r="G681" i="12" s="1"/>
  <c r="E680" i="12"/>
  <c r="F680" i="12"/>
  <c r="G680" i="12" s="1"/>
  <c r="E679" i="12"/>
  <c r="F679" i="12"/>
  <c r="G679" i="12" s="1"/>
  <c r="E678" i="12"/>
  <c r="F678" i="12"/>
  <c r="G678" i="12" s="1"/>
  <c r="E677" i="12"/>
  <c r="F677" i="12"/>
  <c r="G677" i="12" s="1"/>
  <c r="E676" i="12"/>
  <c r="F676" i="12"/>
  <c r="G676" i="12" s="1"/>
  <c r="E675" i="12"/>
  <c r="F675" i="12"/>
  <c r="G675" i="12" s="1"/>
  <c r="F674" i="12"/>
  <c r="E673" i="12"/>
  <c r="E671" i="12"/>
  <c r="F671" i="12"/>
  <c r="F726" i="12"/>
  <c r="E670" i="12"/>
  <c r="F670" i="12"/>
  <c r="G670" i="12" s="1"/>
  <c r="E669" i="12"/>
  <c r="E668" i="12"/>
  <c r="F668" i="12"/>
  <c r="E666" i="12"/>
  <c r="E664" i="12"/>
  <c r="E662" i="12"/>
  <c r="F662" i="12"/>
  <c r="G662" i="12" s="1"/>
  <c r="E660" i="12"/>
  <c r="E655" i="12"/>
  <c r="E654" i="12"/>
  <c r="F652" i="12"/>
  <c r="E651" i="12"/>
  <c r="F651" i="12"/>
  <c r="G651" i="12" s="1"/>
  <c r="E650" i="12"/>
  <c r="E649" i="12"/>
  <c r="F649" i="12"/>
  <c r="G649" i="12" s="1"/>
  <c r="E648" i="12"/>
  <c r="F648" i="12"/>
  <c r="E646" i="12"/>
  <c r="E645" i="12"/>
  <c r="F644" i="12"/>
  <c r="E643" i="12"/>
  <c r="F643" i="12"/>
  <c r="E642" i="12"/>
  <c r="E640" i="12"/>
  <c r="E639" i="12"/>
  <c r="E638" i="12"/>
  <c r="E637" i="12"/>
  <c r="F637" i="12"/>
  <c r="G637" i="12" s="1"/>
  <c r="F636" i="12"/>
  <c r="E635" i="12"/>
  <c r="F635" i="12"/>
  <c r="G635" i="12" s="1"/>
  <c r="E634" i="12"/>
  <c r="E633" i="12"/>
  <c r="F632" i="12"/>
  <c r="F631" i="12"/>
  <c r="E630" i="12"/>
  <c r="F630" i="12"/>
  <c r="E629" i="12"/>
  <c r="E627" i="12"/>
  <c r="E626" i="12"/>
  <c r="F626" i="12"/>
  <c r="F625" i="12"/>
  <c r="E624" i="12"/>
  <c r="F624" i="12"/>
  <c r="E623" i="12"/>
  <c r="F623" i="12"/>
  <c r="G623" i="12" s="1"/>
  <c r="E622" i="12"/>
  <c r="E621" i="12"/>
  <c r="E620" i="12"/>
  <c r="E619" i="12"/>
  <c r="F619" i="12"/>
  <c r="G619" i="12" s="1"/>
  <c r="E618" i="12"/>
  <c r="F618" i="12"/>
  <c r="E617" i="12"/>
  <c r="F617" i="12"/>
  <c r="E616" i="12"/>
  <c r="F616" i="12"/>
  <c r="E615" i="12"/>
  <c r="F615" i="12"/>
  <c r="E614" i="12"/>
  <c r="E613" i="12"/>
  <c r="F613" i="12"/>
  <c r="G613" i="12" s="1"/>
  <c r="E612" i="12"/>
  <c r="F611" i="12"/>
  <c r="E610" i="12"/>
  <c r="F610" i="12"/>
  <c r="G610" i="12" s="1"/>
  <c r="E609" i="12"/>
  <c r="F609" i="12"/>
  <c r="G609" i="12" s="1"/>
  <c r="E608" i="12"/>
  <c r="F608" i="12"/>
  <c r="G608" i="12" s="1"/>
  <c r="E607" i="12"/>
  <c r="F607" i="12"/>
  <c r="G607" i="12" s="1"/>
  <c r="E606" i="12"/>
  <c r="F606" i="12"/>
  <c r="E605" i="12"/>
  <c r="E604" i="12"/>
  <c r="F604" i="12"/>
  <c r="G604" i="12" s="1"/>
  <c r="E603" i="12"/>
  <c r="E602" i="12"/>
  <c r="E600" i="12"/>
  <c r="E598" i="12"/>
  <c r="F598" i="12"/>
  <c r="G598" i="12" s="1"/>
  <c r="E597" i="12"/>
  <c r="F596" i="12"/>
  <c r="E595" i="12"/>
  <c r="F595" i="12"/>
  <c r="G595" i="12" s="1"/>
  <c r="E594" i="12"/>
  <c r="E593" i="12"/>
  <c r="E591" i="12"/>
  <c r="F591" i="12"/>
  <c r="E590" i="12"/>
  <c r="F590" i="12"/>
  <c r="G590" i="12" s="1"/>
  <c r="E589" i="12"/>
  <c r="F589" i="12"/>
  <c r="E588" i="12"/>
  <c r="F588" i="12"/>
  <c r="G588" i="12" s="1"/>
  <c r="E585" i="12"/>
  <c r="F585" i="12"/>
  <c r="G585" i="12" s="1"/>
  <c r="E584" i="12"/>
  <c r="F584" i="12"/>
  <c r="G584" i="12" s="1"/>
  <c r="E583" i="12"/>
  <c r="F583" i="12"/>
  <c r="E582" i="12"/>
  <c r="E581" i="12"/>
  <c r="F581" i="12"/>
  <c r="E580" i="12"/>
  <c r="F579" i="12"/>
  <c r="E578" i="12"/>
  <c r="E577" i="12"/>
  <c r="F577" i="12"/>
  <c r="G577" i="12" s="1"/>
  <c r="E576" i="12"/>
  <c r="E575" i="12"/>
  <c r="E574" i="12"/>
  <c r="E573" i="12"/>
  <c r="E572" i="12"/>
  <c r="E571" i="12"/>
  <c r="F571" i="12"/>
  <c r="E570" i="12"/>
  <c r="F570" i="12"/>
  <c r="G570" i="12" s="1"/>
  <c r="E569" i="12"/>
  <c r="E567" i="12"/>
  <c r="F567" i="12"/>
  <c r="E566" i="12"/>
  <c r="E565" i="12"/>
  <c r="F565" i="12"/>
  <c r="G565" i="12" s="1"/>
  <c r="E564" i="12"/>
  <c r="F564" i="12"/>
  <c r="G564" i="12" s="1"/>
  <c r="E563" i="12"/>
  <c r="E562" i="12"/>
  <c r="F561" i="12"/>
  <c r="E559" i="12"/>
  <c r="F559" i="12"/>
  <c r="E558" i="12"/>
  <c r="E557" i="12"/>
  <c r="F557" i="12"/>
  <c r="G557" i="12" s="1"/>
  <c r="E556" i="12"/>
  <c r="F556" i="12"/>
  <c r="E554" i="12"/>
  <c r="F554" i="12"/>
  <c r="G554" i="12" s="1"/>
  <c r="E553" i="12"/>
  <c r="E552" i="12"/>
  <c r="F552" i="12"/>
  <c r="E551" i="12"/>
  <c r="E550" i="12"/>
  <c r="E549" i="12"/>
  <c r="F549" i="12"/>
  <c r="G549" i="12" s="1"/>
  <c r="E548" i="12"/>
  <c r="F548" i="12"/>
  <c r="G548" i="12" s="1"/>
  <c r="E547" i="12"/>
  <c r="F547" i="12"/>
  <c r="E546" i="12"/>
  <c r="F546" i="12"/>
  <c r="G546" i="12" s="1"/>
  <c r="E545" i="12"/>
  <c r="F545" i="12"/>
  <c r="E544" i="12"/>
  <c r="F544" i="12"/>
  <c r="E543" i="12"/>
  <c r="E542" i="12"/>
  <c r="E541" i="12"/>
  <c r="E540" i="12"/>
  <c r="F540" i="12"/>
  <c r="F539" i="12"/>
  <c r="E538" i="12"/>
  <c r="F538" i="12"/>
  <c r="G538" i="12" s="1"/>
  <c r="E537" i="12"/>
  <c r="F537" i="12"/>
  <c r="G537" i="12" s="1"/>
  <c r="E535" i="12"/>
  <c r="E534" i="12"/>
  <c r="E533" i="12"/>
  <c r="E532" i="12"/>
  <c r="E531" i="12"/>
  <c r="F531" i="12"/>
  <c r="G531" i="12" s="1"/>
  <c r="E530" i="12"/>
  <c r="F530" i="12"/>
  <c r="G530" i="12" s="1"/>
  <c r="E529" i="12"/>
  <c r="F529" i="12"/>
  <c r="E528" i="12"/>
  <c r="F528" i="12"/>
  <c r="G528" i="12" s="1"/>
  <c r="E527" i="12"/>
  <c r="F527" i="12"/>
  <c r="G527" i="12" s="1"/>
  <c r="E526" i="12"/>
  <c r="F526" i="12"/>
  <c r="G526" i="12" s="1"/>
  <c r="E525" i="12"/>
  <c r="F525" i="12"/>
  <c r="G525" i="12" s="1"/>
  <c r="F524" i="12"/>
  <c r="F523" i="12"/>
  <c r="E522" i="12"/>
  <c r="E521" i="12"/>
  <c r="E520" i="12"/>
  <c r="F520" i="12"/>
  <c r="E518" i="12"/>
  <c r="F518" i="12"/>
  <c r="G518" i="12" s="1"/>
  <c r="E517" i="12"/>
  <c r="E516" i="12"/>
  <c r="F516" i="12"/>
  <c r="E515" i="12"/>
  <c r="F515" i="12"/>
  <c r="E514" i="12"/>
  <c r="F514" i="12"/>
  <c r="E513" i="12"/>
  <c r="E512" i="12"/>
  <c r="E511" i="12"/>
  <c r="F511" i="12"/>
  <c r="G511" i="12" s="1"/>
  <c r="E510" i="12"/>
  <c r="F510" i="12"/>
  <c r="G510" i="12" s="1"/>
  <c r="E509" i="12"/>
  <c r="F509" i="12"/>
  <c r="G509" i="12" s="1"/>
  <c r="E508" i="12"/>
  <c r="E507" i="12"/>
  <c r="F507" i="12"/>
  <c r="G507" i="12" s="1"/>
  <c r="E506" i="12"/>
  <c r="F506" i="12"/>
  <c r="F504" i="12"/>
  <c r="E503" i="12"/>
  <c r="F503" i="12"/>
  <c r="G503" i="12" s="1"/>
  <c r="E502" i="12"/>
  <c r="F502" i="12"/>
  <c r="F501" i="12"/>
  <c r="E500" i="12"/>
  <c r="F500" i="12"/>
  <c r="G500" i="12" s="1"/>
  <c r="E499" i="12"/>
  <c r="F499" i="12"/>
  <c r="G499" i="12" s="1"/>
  <c r="E498" i="12"/>
  <c r="E497" i="12"/>
  <c r="F497" i="12"/>
  <c r="G497" i="12" s="1"/>
  <c r="E496" i="12"/>
  <c r="F496" i="12"/>
  <c r="G496" i="12" s="1"/>
  <c r="E495" i="12"/>
  <c r="F495" i="12"/>
  <c r="E494" i="12"/>
  <c r="F494" i="12"/>
  <c r="G494" i="12" s="1"/>
  <c r="E493" i="12"/>
  <c r="F493" i="12"/>
  <c r="E492" i="12"/>
  <c r="F492" i="12"/>
  <c r="G492" i="12" s="1"/>
  <c r="E491" i="12"/>
  <c r="F491" i="12"/>
  <c r="E490" i="12"/>
  <c r="F490" i="12"/>
  <c r="G490" i="12" s="1"/>
  <c r="E489" i="12"/>
  <c r="F489" i="12"/>
  <c r="G489" i="12" s="1"/>
  <c r="E488" i="12"/>
  <c r="E487" i="12"/>
  <c r="E486" i="12"/>
  <c r="E485" i="12"/>
  <c r="E484" i="12"/>
  <c r="E483" i="12"/>
  <c r="E482" i="12"/>
  <c r="E481" i="12"/>
  <c r="F481" i="12"/>
  <c r="E480" i="12"/>
  <c r="F480" i="12"/>
  <c r="G480" i="12" s="1"/>
  <c r="E479" i="12"/>
  <c r="F479" i="12"/>
  <c r="E478" i="12"/>
  <c r="F478" i="12"/>
  <c r="G478" i="12" s="1"/>
  <c r="E477" i="12"/>
  <c r="F477" i="12"/>
  <c r="G477" i="12" s="1"/>
  <c r="E476" i="12"/>
  <c r="E475" i="12"/>
  <c r="E474" i="12"/>
  <c r="E473" i="12"/>
  <c r="E472" i="12"/>
  <c r="E471" i="12"/>
  <c r="E470" i="12"/>
  <c r="E468" i="12"/>
  <c r="F468" i="12"/>
  <c r="G468" i="12" s="1"/>
  <c r="E467" i="12"/>
  <c r="F467" i="12"/>
  <c r="E466" i="12"/>
  <c r="E465" i="12"/>
  <c r="E464" i="12"/>
  <c r="F463" i="12"/>
  <c r="E462" i="12"/>
  <c r="E461" i="12"/>
  <c r="E460" i="12"/>
  <c r="E459" i="12"/>
  <c r="E458" i="12"/>
  <c r="E457" i="12"/>
  <c r="E456" i="12"/>
  <c r="F455" i="12"/>
  <c r="E454" i="12"/>
  <c r="E453" i="12"/>
  <c r="E452" i="12"/>
  <c r="F452" i="12"/>
  <c r="F451" i="12"/>
  <c r="E450" i="12"/>
  <c r="E449" i="12"/>
  <c r="E448" i="12"/>
  <c r="E447" i="12"/>
  <c r="E446" i="12"/>
  <c r="F446" i="12"/>
  <c r="E445" i="12"/>
  <c r="F445" i="12"/>
  <c r="E444" i="12"/>
  <c r="E443" i="12"/>
  <c r="E442" i="12"/>
  <c r="E441" i="12"/>
  <c r="E440" i="12"/>
  <c r="F440" i="12"/>
  <c r="G440" i="12" s="1"/>
  <c r="E439" i="12"/>
  <c r="F439" i="12"/>
  <c r="E438" i="12"/>
  <c r="F438" i="12"/>
  <c r="E437" i="12"/>
  <c r="F437" i="12"/>
  <c r="G437" i="12" s="1"/>
  <c r="E436" i="12"/>
  <c r="E435" i="12"/>
  <c r="F435" i="12"/>
  <c r="E434" i="12"/>
  <c r="F434" i="12"/>
  <c r="E433" i="12"/>
  <c r="F433" i="12"/>
  <c r="E432" i="12"/>
  <c r="E431" i="12"/>
  <c r="E430" i="12"/>
  <c r="E429" i="12"/>
  <c r="F429" i="12"/>
  <c r="E428" i="12"/>
  <c r="E427" i="12"/>
  <c r="F427" i="12"/>
  <c r="G427" i="12" s="1"/>
  <c r="F426" i="12"/>
  <c r="E425" i="12"/>
  <c r="F425" i="12"/>
  <c r="G425" i="12" s="1"/>
  <c r="E424" i="12"/>
  <c r="F424" i="12"/>
  <c r="G424" i="12" s="1"/>
  <c r="E423" i="12"/>
  <c r="F423" i="12"/>
  <c r="F422" i="12"/>
  <c r="E421" i="12"/>
  <c r="F421" i="12"/>
  <c r="G421" i="12" s="1"/>
  <c r="E420" i="12"/>
  <c r="E419" i="12"/>
  <c r="F419" i="12"/>
  <c r="G419" i="12" s="1"/>
  <c r="E418" i="12"/>
  <c r="F418" i="12"/>
  <c r="G418" i="12" s="1"/>
  <c r="E417" i="12"/>
  <c r="F417" i="12"/>
  <c r="G417" i="12" s="1"/>
  <c r="E416" i="12"/>
  <c r="F416" i="12"/>
  <c r="G416" i="12" s="1"/>
  <c r="E415" i="12"/>
  <c r="F415" i="12"/>
  <c r="G415" i="12" s="1"/>
  <c r="E414" i="12"/>
  <c r="F414" i="12"/>
  <c r="G414" i="12" s="1"/>
  <c r="E413" i="12"/>
  <c r="E411" i="12"/>
  <c r="E410" i="12"/>
  <c r="F410" i="12"/>
  <c r="G410" i="12" s="1"/>
  <c r="F409" i="12"/>
  <c r="E408" i="12"/>
  <c r="F408" i="12"/>
  <c r="G408" i="12" s="1"/>
  <c r="E407" i="12"/>
  <c r="E406" i="12"/>
  <c r="E405" i="12"/>
  <c r="F405" i="12"/>
  <c r="E404" i="12"/>
  <c r="E403" i="12"/>
  <c r="F403" i="12"/>
  <c r="G403" i="12" s="1"/>
  <c r="E402" i="12"/>
  <c r="E401" i="12"/>
  <c r="E400" i="12"/>
  <c r="F400" i="12"/>
  <c r="E399" i="12"/>
  <c r="F399" i="12"/>
  <c r="G399" i="12" s="1"/>
  <c r="E398" i="12"/>
  <c r="F398" i="12"/>
  <c r="G398" i="12" s="1"/>
  <c r="E397" i="12"/>
  <c r="F397" i="12"/>
  <c r="G397" i="12" s="1"/>
  <c r="E396" i="12"/>
  <c r="F396" i="12"/>
  <c r="E395" i="12"/>
  <c r="F395" i="12"/>
  <c r="G395" i="12" s="1"/>
  <c r="E394" i="12"/>
  <c r="E393" i="12"/>
  <c r="F393" i="12"/>
  <c r="G393" i="12" s="1"/>
  <c r="E392" i="12"/>
  <c r="E391" i="12"/>
  <c r="F391" i="12"/>
  <c r="E390" i="12"/>
  <c r="F390" i="12"/>
  <c r="G390" i="12" s="1"/>
  <c r="E389" i="12"/>
  <c r="F389" i="12"/>
  <c r="G389" i="12" s="1"/>
  <c r="E388" i="12"/>
  <c r="E387" i="12"/>
  <c r="E386" i="12"/>
  <c r="E385" i="12"/>
  <c r="F385" i="12"/>
  <c r="G385" i="12" s="1"/>
  <c r="E384" i="12"/>
  <c r="F384" i="12"/>
  <c r="E383" i="12"/>
  <c r="F383" i="12"/>
  <c r="G383" i="12" s="1"/>
  <c r="E382" i="12"/>
  <c r="E381" i="12"/>
  <c r="F381" i="12"/>
  <c r="E380" i="12"/>
  <c r="E379" i="12"/>
  <c r="F379" i="12"/>
  <c r="E378" i="12"/>
  <c r="F378" i="12"/>
  <c r="G378" i="12" s="1"/>
  <c r="E377" i="12"/>
  <c r="E376" i="12"/>
  <c r="F376" i="12"/>
  <c r="E375" i="12"/>
  <c r="F374" i="12"/>
  <c r="F373" i="12"/>
  <c r="E372" i="12"/>
  <c r="F372" i="12"/>
  <c r="G372" i="12" s="1"/>
  <c r="E371" i="12"/>
  <c r="E370" i="12"/>
  <c r="F370" i="12"/>
  <c r="E369" i="12"/>
  <c r="E368" i="12"/>
  <c r="E367" i="12"/>
  <c r="F367" i="12"/>
  <c r="G367" i="12" s="1"/>
  <c r="E366" i="12"/>
  <c r="F366" i="12"/>
  <c r="G366" i="12" s="1"/>
  <c r="E365" i="12"/>
  <c r="E364" i="12"/>
  <c r="E363" i="12"/>
  <c r="E362" i="12"/>
  <c r="E361" i="12"/>
  <c r="F361" i="12"/>
  <c r="G361" i="12" s="1"/>
  <c r="E360" i="12"/>
  <c r="F360" i="12"/>
  <c r="E359" i="12"/>
  <c r="E358" i="12"/>
  <c r="E357" i="12"/>
  <c r="E356" i="12"/>
  <c r="F356" i="12"/>
  <c r="G356" i="12" s="1"/>
  <c r="E355" i="12"/>
  <c r="E354" i="12"/>
  <c r="E353" i="12"/>
  <c r="F353" i="12"/>
  <c r="G353" i="12" s="1"/>
  <c r="E352" i="12"/>
  <c r="E351" i="12"/>
  <c r="F351" i="12"/>
  <c r="G351" i="12" s="1"/>
  <c r="E350" i="12"/>
  <c r="F350" i="12"/>
  <c r="G350" i="12" s="1"/>
  <c r="E349" i="12"/>
  <c r="F349" i="12"/>
  <c r="G349" i="12" s="1"/>
  <c r="E348" i="12"/>
  <c r="E347" i="12"/>
  <c r="F347" i="12"/>
  <c r="G347" i="12" s="1"/>
  <c r="E346" i="12"/>
  <c r="F346" i="12"/>
  <c r="E345" i="12"/>
  <c r="F345" i="12"/>
  <c r="G345" i="12" s="1"/>
  <c r="E344" i="12"/>
  <c r="F344" i="12"/>
  <c r="G344" i="12" s="1"/>
  <c r="E343" i="12"/>
  <c r="E342" i="12"/>
  <c r="F342" i="12"/>
  <c r="G342" i="12" s="1"/>
  <c r="E341" i="12"/>
  <c r="F341" i="12"/>
  <c r="G341" i="12" s="1"/>
  <c r="E340" i="12"/>
  <c r="F340" i="12"/>
  <c r="G340" i="12" s="1"/>
  <c r="E339" i="12"/>
  <c r="F339" i="12"/>
  <c r="E338" i="12"/>
  <c r="E337" i="12"/>
  <c r="E336" i="12"/>
  <c r="E335" i="12"/>
  <c r="F335" i="12"/>
  <c r="G335" i="12" s="1"/>
  <c r="E334" i="12"/>
  <c r="F334" i="12"/>
  <c r="G334" i="12" s="1"/>
  <c r="E333" i="12"/>
  <c r="F333" i="12"/>
  <c r="E332" i="12"/>
  <c r="E331" i="12"/>
  <c r="F331" i="12"/>
  <c r="G331" i="12" s="1"/>
  <c r="E330" i="12"/>
  <c r="F330" i="12"/>
  <c r="G330" i="12" s="1"/>
  <c r="E329" i="12"/>
  <c r="F329" i="12"/>
  <c r="E328" i="12"/>
  <c r="E327" i="12"/>
  <c r="F327" i="12"/>
  <c r="E326" i="12"/>
  <c r="F326" i="12"/>
  <c r="G326" i="12" s="1"/>
  <c r="E325" i="12"/>
  <c r="F325" i="12"/>
  <c r="G325" i="12" s="1"/>
  <c r="E324" i="12"/>
  <c r="F324" i="12"/>
  <c r="G324" i="12" s="1"/>
  <c r="E323" i="12"/>
  <c r="F323" i="12"/>
  <c r="E322" i="12"/>
  <c r="E320" i="12"/>
  <c r="F320" i="12"/>
  <c r="E321" i="12"/>
  <c r="E319" i="12"/>
  <c r="E318" i="12"/>
  <c r="E316" i="12"/>
  <c r="E315" i="12"/>
  <c r="F315" i="12"/>
  <c r="G315" i="12" s="1"/>
  <c r="E314" i="12"/>
  <c r="E313" i="12"/>
  <c r="F313" i="12"/>
  <c r="G313" i="12" s="1"/>
  <c r="E312" i="12"/>
  <c r="F312" i="12"/>
  <c r="G312" i="12" s="1"/>
  <c r="E311" i="12"/>
  <c r="F311" i="12"/>
  <c r="E310" i="12"/>
  <c r="F310" i="12"/>
  <c r="G310" i="12" s="1"/>
  <c r="E309" i="12"/>
  <c r="E308" i="12"/>
  <c r="E307" i="12"/>
  <c r="E306" i="12"/>
  <c r="E305" i="12"/>
  <c r="F305" i="12"/>
  <c r="G305" i="12" s="1"/>
  <c r="E304" i="12"/>
  <c r="E303" i="12"/>
  <c r="E302" i="12"/>
  <c r="F302" i="12"/>
  <c r="G302" i="12" s="1"/>
  <c r="E301" i="12"/>
  <c r="E300" i="12"/>
  <c r="F300" i="12"/>
  <c r="G300" i="12" s="1"/>
  <c r="E298" i="12"/>
  <c r="F298" i="12"/>
  <c r="G298" i="12" s="1"/>
  <c r="E297" i="12"/>
  <c r="E296" i="12"/>
  <c r="E295" i="12"/>
  <c r="F295" i="12"/>
  <c r="E294" i="12"/>
  <c r="E293" i="12"/>
  <c r="E658" i="12"/>
  <c r="F658" i="12"/>
  <c r="G658" i="12" s="1"/>
  <c r="F292" i="12"/>
  <c r="E291" i="12"/>
  <c r="E290" i="12"/>
  <c r="E289" i="12"/>
  <c r="F289" i="12"/>
  <c r="G289" i="12" s="1"/>
  <c r="E288" i="12"/>
  <c r="F288" i="12"/>
  <c r="E287" i="12"/>
  <c r="F287" i="12"/>
  <c r="G287" i="12" s="1"/>
  <c r="E286" i="12"/>
  <c r="E285" i="12"/>
  <c r="F285" i="12"/>
  <c r="E284" i="12"/>
  <c r="E283" i="12"/>
  <c r="E282" i="12"/>
  <c r="E281" i="12"/>
  <c r="F281" i="12"/>
  <c r="G281" i="12" s="1"/>
  <c r="E280" i="12"/>
  <c r="F280" i="12"/>
  <c r="G280" i="12" s="1"/>
  <c r="E279" i="12"/>
  <c r="F279" i="12"/>
  <c r="G279" i="12" s="1"/>
  <c r="E278" i="12"/>
  <c r="E277" i="12"/>
  <c r="F277" i="12"/>
  <c r="E276" i="12"/>
  <c r="F275" i="12"/>
  <c r="E274" i="12"/>
  <c r="F274" i="12"/>
  <c r="E273" i="12"/>
  <c r="F273" i="12"/>
  <c r="G273" i="12" s="1"/>
  <c r="E272" i="12"/>
  <c r="E271" i="12"/>
  <c r="F271" i="12"/>
  <c r="G271" i="12" s="1"/>
  <c r="E270" i="12"/>
  <c r="E269" i="12"/>
  <c r="F269" i="12"/>
  <c r="E268" i="12"/>
  <c r="F267" i="12"/>
  <c r="E266" i="12"/>
  <c r="F266" i="12"/>
  <c r="E265" i="12"/>
  <c r="E724" i="12"/>
  <c r="F724" i="12"/>
  <c r="F264" i="12"/>
  <c r="E263" i="12"/>
  <c r="F263" i="12"/>
  <c r="G263" i="12" s="1"/>
  <c r="E262" i="12"/>
  <c r="E261" i="12"/>
  <c r="E260" i="12"/>
  <c r="F260" i="12"/>
  <c r="E259" i="12"/>
  <c r="E258" i="12"/>
  <c r="E257" i="12"/>
  <c r="E256" i="12"/>
  <c r="E255" i="12"/>
  <c r="F255" i="12"/>
  <c r="G255" i="12" s="1"/>
  <c r="E254" i="12"/>
  <c r="F254" i="12"/>
  <c r="G254" i="12" s="1"/>
  <c r="E253" i="12"/>
  <c r="F253" i="12"/>
  <c r="E252" i="12"/>
  <c r="E251" i="12"/>
  <c r="F251" i="12"/>
  <c r="E250" i="12"/>
  <c r="F250" i="12"/>
  <c r="G250" i="12" s="1"/>
  <c r="E248" i="12"/>
  <c r="F248" i="12"/>
  <c r="E247" i="12"/>
  <c r="E725" i="12"/>
  <c r="E246" i="12"/>
  <c r="F246" i="12"/>
  <c r="E245" i="12"/>
  <c r="F244" i="12"/>
  <c r="E243" i="12"/>
  <c r="F243" i="12"/>
  <c r="E242" i="12"/>
  <c r="E241" i="12"/>
  <c r="F241" i="12"/>
  <c r="E240" i="12"/>
  <c r="F239" i="12"/>
  <c r="E238" i="12"/>
  <c r="F238" i="12"/>
  <c r="E237" i="12"/>
  <c r="E236" i="12"/>
  <c r="F236" i="12"/>
  <c r="G236" i="12" s="1"/>
  <c r="E235" i="12"/>
  <c r="E234" i="12"/>
  <c r="F234" i="12"/>
  <c r="E232" i="12"/>
  <c r="E231" i="12"/>
  <c r="F231" i="12"/>
  <c r="E230" i="12"/>
  <c r="E229" i="12"/>
  <c r="F229" i="12"/>
  <c r="G229" i="12" s="1"/>
  <c r="E227" i="12"/>
  <c r="F227" i="12"/>
  <c r="G227" i="12" s="1"/>
  <c r="E226" i="12"/>
  <c r="F226" i="12"/>
  <c r="E225" i="12"/>
  <c r="F225" i="12"/>
  <c r="E224" i="12"/>
  <c r="E223" i="12"/>
  <c r="E222" i="12"/>
  <c r="F222" i="12"/>
  <c r="G222" i="12" s="1"/>
  <c r="E221" i="12"/>
  <c r="F221" i="12"/>
  <c r="G221" i="12" s="1"/>
  <c r="E220" i="12"/>
  <c r="F220" i="12"/>
  <c r="E219" i="12"/>
  <c r="E218" i="12"/>
  <c r="F218" i="12"/>
  <c r="G218" i="12" s="1"/>
  <c r="E217" i="12"/>
  <c r="E216" i="12"/>
  <c r="F216" i="12"/>
  <c r="G216" i="12" s="1"/>
  <c r="E215" i="12"/>
  <c r="F215" i="12"/>
  <c r="E214" i="12"/>
  <c r="F214" i="12"/>
  <c r="G214" i="12" s="1"/>
  <c r="E213" i="12"/>
  <c r="E212" i="12"/>
  <c r="E211" i="12"/>
  <c r="E210" i="12"/>
  <c r="E209" i="12"/>
  <c r="F209" i="12"/>
  <c r="E208" i="12"/>
  <c r="E207" i="12"/>
  <c r="F207" i="12"/>
  <c r="G207" i="12" s="1"/>
  <c r="E206" i="12"/>
  <c r="F206" i="12"/>
  <c r="F205" i="12"/>
  <c r="E204" i="12"/>
  <c r="E202" i="12"/>
  <c r="F202" i="12"/>
  <c r="E201" i="12"/>
  <c r="F201" i="12"/>
  <c r="E200" i="12"/>
  <c r="E199" i="12"/>
  <c r="F199" i="12"/>
  <c r="F198" i="12"/>
  <c r="E197" i="12"/>
  <c r="F197" i="12"/>
  <c r="G197" i="12" s="1"/>
  <c r="E196" i="12"/>
  <c r="E195" i="12"/>
  <c r="F194" i="12"/>
  <c r="E193" i="12"/>
  <c r="F193" i="12"/>
  <c r="G193" i="12" s="1"/>
  <c r="E192" i="12"/>
  <c r="F192" i="12"/>
  <c r="E191" i="12"/>
  <c r="E189" i="12"/>
  <c r="F189" i="12"/>
  <c r="E188" i="12"/>
  <c r="F188" i="12"/>
  <c r="G188" i="12" s="1"/>
  <c r="E187" i="12"/>
  <c r="F187" i="12"/>
  <c r="E186" i="12"/>
  <c r="E185" i="12"/>
  <c r="E184" i="12"/>
  <c r="F184" i="12"/>
  <c r="G184" i="12" s="1"/>
  <c r="E183" i="12"/>
  <c r="F182" i="12"/>
  <c r="E181" i="12"/>
  <c r="F181" i="12"/>
  <c r="E180" i="12"/>
  <c r="F180" i="12"/>
  <c r="G180" i="12" s="1"/>
  <c r="E728" i="12"/>
  <c r="F728" i="12"/>
  <c r="G728" i="12" s="1"/>
  <c r="E179" i="12"/>
  <c r="F179" i="12"/>
  <c r="G179" i="12" s="1"/>
  <c r="E178" i="12"/>
  <c r="F178" i="12"/>
  <c r="E177" i="12"/>
  <c r="E176" i="12"/>
  <c r="F176" i="12"/>
  <c r="F175" i="12"/>
  <c r="E174" i="12"/>
  <c r="E172" i="12"/>
  <c r="F172" i="12"/>
  <c r="G172" i="12" s="1"/>
  <c r="E171" i="12"/>
  <c r="E170" i="12"/>
  <c r="E169" i="12"/>
  <c r="F169" i="12"/>
  <c r="G169" i="12" s="1"/>
  <c r="E168" i="12"/>
  <c r="E167" i="12"/>
  <c r="E727" i="12"/>
  <c r="F727" i="12"/>
  <c r="G727" i="12" s="1"/>
  <c r="E166" i="12"/>
  <c r="E165" i="12"/>
  <c r="F165" i="12"/>
  <c r="G165" i="12" s="1"/>
  <c r="E164" i="12"/>
  <c r="F164" i="12"/>
  <c r="G164" i="12" s="1"/>
  <c r="E163" i="12"/>
  <c r="F163" i="12"/>
  <c r="G163" i="12" s="1"/>
  <c r="E162" i="12"/>
  <c r="F162" i="12"/>
  <c r="F161" i="12"/>
  <c r="E160" i="12"/>
  <c r="F160" i="12"/>
  <c r="E159" i="12"/>
  <c r="F159" i="12"/>
  <c r="E158" i="12"/>
  <c r="F158" i="12"/>
  <c r="G158" i="12" s="1"/>
  <c r="E157" i="12"/>
  <c r="E156" i="12"/>
  <c r="F156" i="12"/>
  <c r="G156" i="12" s="1"/>
  <c r="E155" i="12"/>
  <c r="F155" i="12"/>
  <c r="G155" i="12" s="1"/>
  <c r="F154" i="12"/>
  <c r="E153" i="12"/>
  <c r="F153" i="12"/>
  <c r="G153" i="12" s="1"/>
  <c r="E152" i="12"/>
  <c r="E151" i="12"/>
  <c r="F151" i="12"/>
  <c r="E150" i="12"/>
  <c r="E149" i="12"/>
  <c r="F149" i="12"/>
  <c r="E148" i="12"/>
  <c r="E147" i="12"/>
  <c r="E146" i="12"/>
  <c r="E145" i="12"/>
  <c r="E144" i="12"/>
  <c r="F144" i="12"/>
  <c r="G144" i="12" s="1"/>
  <c r="E143" i="12"/>
  <c r="F143" i="12"/>
  <c r="E142" i="12"/>
  <c r="F142" i="12"/>
  <c r="G142" i="12" s="1"/>
  <c r="E141" i="12"/>
  <c r="E140" i="12"/>
  <c r="F140" i="12"/>
  <c r="G140" i="12" s="1"/>
  <c r="E139" i="12"/>
  <c r="F139" i="12"/>
  <c r="G139" i="12" s="1"/>
  <c r="E138" i="12"/>
  <c r="F138" i="12"/>
  <c r="G138" i="12" s="1"/>
  <c r="E137" i="12"/>
  <c r="E136" i="12"/>
  <c r="E135" i="12"/>
  <c r="F135" i="12"/>
  <c r="G135" i="12" s="1"/>
  <c r="E134" i="12"/>
  <c r="F134" i="12"/>
  <c r="G134" i="12" s="1"/>
  <c r="E133" i="12"/>
  <c r="F133" i="12"/>
  <c r="G133" i="12" s="1"/>
  <c r="E132" i="12"/>
  <c r="F131" i="12"/>
  <c r="E130" i="12"/>
  <c r="F130" i="12"/>
  <c r="G130" i="12" s="1"/>
  <c r="E129" i="12"/>
  <c r="F129" i="12"/>
  <c r="G129" i="12" s="1"/>
  <c r="E128" i="12"/>
  <c r="E127" i="12"/>
  <c r="F127" i="12"/>
  <c r="G127" i="12" s="1"/>
  <c r="E126" i="12"/>
  <c r="F126" i="12"/>
  <c r="E125" i="12"/>
  <c r="E124" i="12"/>
  <c r="F124" i="12"/>
  <c r="F123" i="12"/>
  <c r="E122" i="12"/>
  <c r="F122" i="12"/>
  <c r="G122" i="12" s="1"/>
  <c r="E121" i="12"/>
  <c r="F121" i="12"/>
  <c r="G121" i="12" s="1"/>
  <c r="F120" i="12"/>
  <c r="E119" i="12"/>
  <c r="F119" i="12"/>
  <c r="G119" i="12" s="1"/>
  <c r="E118" i="12"/>
  <c r="E117" i="12"/>
  <c r="F117" i="12"/>
  <c r="F116" i="12"/>
  <c r="E115" i="12"/>
  <c r="F115" i="12"/>
  <c r="G115" i="12" s="1"/>
  <c r="E114" i="12"/>
  <c r="F114" i="12"/>
  <c r="E113" i="12"/>
  <c r="F113" i="12"/>
  <c r="F112" i="12"/>
  <c r="E111" i="12"/>
  <c r="E110" i="12"/>
  <c r="E109" i="12"/>
  <c r="E108" i="12"/>
  <c r="F108" i="12"/>
  <c r="G108" i="12" s="1"/>
  <c r="E107" i="12"/>
  <c r="F107" i="12"/>
  <c r="G107" i="12" s="1"/>
  <c r="E106" i="12"/>
  <c r="F106" i="12"/>
  <c r="E105" i="12"/>
  <c r="F105" i="12"/>
  <c r="E104" i="12"/>
  <c r="E103" i="12"/>
  <c r="F103" i="12"/>
  <c r="E102" i="12"/>
  <c r="F102" i="12"/>
  <c r="G102" i="12" s="1"/>
  <c r="E101" i="12"/>
  <c r="F101" i="12"/>
  <c r="G101" i="12" s="1"/>
  <c r="E100" i="12"/>
  <c r="F100" i="12"/>
  <c r="E99" i="12"/>
  <c r="E98" i="12"/>
  <c r="F98" i="12"/>
  <c r="E97" i="12"/>
  <c r="F97" i="12"/>
  <c r="G97" i="12" s="1"/>
  <c r="E96" i="12"/>
  <c r="E95" i="12"/>
  <c r="F95" i="12"/>
  <c r="G95" i="12" s="1"/>
  <c r="E94" i="12"/>
  <c r="E93" i="12"/>
  <c r="F93" i="12"/>
  <c r="E92" i="12"/>
  <c r="F92" i="12"/>
  <c r="E91" i="12"/>
  <c r="E90" i="12"/>
  <c r="F90" i="12"/>
  <c r="G90" i="12" s="1"/>
  <c r="E89" i="12"/>
  <c r="F89" i="12"/>
  <c r="G89" i="12" s="1"/>
  <c r="E88" i="12"/>
  <c r="F88" i="12"/>
  <c r="G88" i="12" s="1"/>
  <c r="E87" i="12"/>
  <c r="F87" i="12"/>
  <c r="E86" i="12"/>
  <c r="E85" i="12"/>
  <c r="E84" i="12"/>
  <c r="E83" i="12"/>
  <c r="F83" i="12"/>
  <c r="G83" i="12" s="1"/>
  <c r="E82" i="12"/>
  <c r="E81" i="12"/>
  <c r="E80" i="12"/>
  <c r="F80" i="12"/>
  <c r="G80" i="12" s="1"/>
  <c r="F79" i="12"/>
  <c r="E78" i="12"/>
  <c r="F78" i="12"/>
  <c r="E77" i="12"/>
  <c r="E76" i="12"/>
  <c r="E75" i="12"/>
  <c r="F75" i="12"/>
  <c r="E74" i="12"/>
  <c r="F74" i="12"/>
  <c r="G74" i="12" s="1"/>
  <c r="E73" i="12"/>
  <c r="E72" i="12"/>
  <c r="F72" i="12"/>
  <c r="E71" i="12"/>
  <c r="F71" i="12"/>
  <c r="E70" i="12"/>
  <c r="F69" i="12"/>
  <c r="E68" i="12"/>
  <c r="F68" i="12"/>
  <c r="G68" i="12" s="1"/>
  <c r="E67" i="12"/>
  <c r="F67" i="12"/>
  <c r="G67" i="12" s="1"/>
  <c r="E66" i="12"/>
  <c r="F66" i="12"/>
  <c r="G66" i="12" s="1"/>
  <c r="E65" i="12"/>
  <c r="F65" i="12"/>
  <c r="E64" i="12"/>
  <c r="F64" i="12"/>
  <c r="E63" i="12"/>
  <c r="F63" i="12"/>
  <c r="G63" i="12" s="1"/>
  <c r="E62" i="12"/>
  <c r="F62" i="12"/>
  <c r="G62" i="12" s="1"/>
  <c r="E61" i="12"/>
  <c r="F61" i="12"/>
  <c r="G61" i="12" s="1"/>
  <c r="E60" i="12"/>
  <c r="F60" i="12"/>
  <c r="E59" i="12"/>
  <c r="F59" i="12"/>
  <c r="G59" i="12" s="1"/>
  <c r="E58" i="12"/>
  <c r="F58" i="12"/>
  <c r="G58" i="12" s="1"/>
  <c r="E57" i="12"/>
  <c r="F57" i="12"/>
  <c r="E56" i="12"/>
  <c r="F56" i="12"/>
  <c r="E55" i="12"/>
  <c r="F55" i="12"/>
  <c r="G55" i="12" s="1"/>
  <c r="E54" i="12"/>
  <c r="F54" i="12"/>
  <c r="G54" i="12" s="1"/>
  <c r="E53" i="12"/>
  <c r="F53" i="12"/>
  <c r="E52" i="12"/>
  <c r="F52" i="12"/>
  <c r="E51" i="12"/>
  <c r="E50" i="12"/>
  <c r="F50" i="12"/>
  <c r="G50" i="12" s="1"/>
  <c r="E49" i="12"/>
  <c r="F49" i="12"/>
  <c r="E48" i="12"/>
  <c r="F48" i="12"/>
  <c r="F47" i="12"/>
  <c r="E46" i="12"/>
  <c r="F46" i="12"/>
  <c r="G46" i="12" s="1"/>
  <c r="E45" i="12"/>
  <c r="F45" i="12"/>
  <c r="G45" i="12" s="1"/>
  <c r="E44" i="12"/>
  <c r="F44" i="12"/>
  <c r="G44" i="12" s="1"/>
  <c r="F43" i="12"/>
  <c r="E42" i="12"/>
  <c r="E41" i="12"/>
  <c r="E40" i="12"/>
  <c r="F39" i="12"/>
  <c r="F38" i="12"/>
  <c r="E37" i="12"/>
  <c r="F37" i="12"/>
  <c r="G37" i="12" s="1"/>
  <c r="E36" i="12"/>
  <c r="E35" i="12"/>
  <c r="F35" i="12"/>
  <c r="E34" i="12"/>
  <c r="F34" i="12"/>
  <c r="E33" i="12"/>
  <c r="F33" i="12"/>
  <c r="E32" i="12"/>
  <c r="F32" i="12"/>
  <c r="E31" i="12"/>
  <c r="F31" i="12"/>
  <c r="G31" i="12" s="1"/>
  <c r="E30" i="12"/>
  <c r="F30" i="12"/>
  <c r="G30" i="12" s="1"/>
  <c r="E29" i="12"/>
  <c r="F29" i="12"/>
  <c r="E28" i="12"/>
  <c r="F28" i="12"/>
  <c r="G28" i="12" s="1"/>
  <c r="E27" i="12"/>
  <c r="E26" i="12"/>
  <c r="F26" i="12"/>
  <c r="G26" i="12" s="1"/>
  <c r="E25" i="12"/>
  <c r="F25" i="12"/>
  <c r="G25" i="12" s="1"/>
  <c r="E24" i="12"/>
  <c r="F24" i="12"/>
  <c r="G24" i="12" s="1"/>
  <c r="E23" i="12"/>
  <c r="E22" i="12"/>
  <c r="E21" i="12"/>
  <c r="F21" i="12"/>
  <c r="E20" i="12"/>
  <c r="F20" i="12"/>
  <c r="G20" i="12" s="1"/>
  <c r="E19" i="12"/>
  <c r="F19" i="12"/>
  <c r="G19" i="12" s="1"/>
  <c r="E18" i="12"/>
  <c r="E17" i="12"/>
  <c r="E16" i="12"/>
  <c r="E15" i="12"/>
  <c r="F15" i="12"/>
  <c r="E14" i="12"/>
  <c r="F14" i="12"/>
  <c r="E13" i="12"/>
  <c r="F13" i="12"/>
  <c r="E12" i="12"/>
  <c r="F12" i="12"/>
  <c r="G12" i="12" s="1"/>
  <c r="E11" i="12"/>
  <c r="F11" i="12"/>
  <c r="G11" i="12" s="1"/>
  <c r="E10" i="12"/>
  <c r="F10" i="12"/>
  <c r="E9" i="12"/>
  <c r="E8" i="12"/>
  <c r="F8" i="12"/>
  <c r="E7" i="12"/>
  <c r="F7" i="12"/>
  <c r="E6" i="12"/>
  <c r="F6" i="12"/>
  <c r="G6" i="12" s="1"/>
  <c r="E5" i="12"/>
  <c r="F5" i="12"/>
  <c r="F798" i="12"/>
  <c r="G798" i="12" s="1"/>
  <c r="E798" i="12"/>
  <c r="E796" i="12"/>
  <c r="E795" i="12"/>
  <c r="E794" i="12"/>
  <c r="E793" i="12"/>
  <c r="F792" i="12"/>
  <c r="G792" i="12" s="1"/>
  <c r="F790" i="12"/>
  <c r="E790" i="12"/>
  <c r="F789" i="12"/>
  <c r="G789" i="12" s="1"/>
  <c r="F788" i="12"/>
  <c r="E788" i="12"/>
  <c r="F787" i="12"/>
  <c r="E787" i="12"/>
  <c r="E786" i="12"/>
  <c r="E785" i="12"/>
  <c r="F784" i="12"/>
  <c r="G784" i="12" s="1"/>
  <c r="F783" i="12"/>
  <c r="G783" i="12" s="1"/>
  <c r="F782" i="12"/>
  <c r="E782" i="12"/>
  <c r="F780" i="12"/>
  <c r="G780" i="12" s="1"/>
  <c r="F779" i="12"/>
  <c r="E779" i="12"/>
  <c r="E777" i="12"/>
  <c r="F775" i="12"/>
  <c r="E775" i="12"/>
  <c r="F773" i="12"/>
  <c r="E773" i="12"/>
  <c r="F771" i="12"/>
  <c r="E771" i="12"/>
  <c r="E769" i="12"/>
  <c r="F768" i="12"/>
  <c r="G768" i="12" s="1"/>
  <c r="F767" i="12"/>
  <c r="G767" i="12" s="1"/>
  <c r="E767" i="12"/>
  <c r="F766" i="12"/>
  <c r="E766" i="12"/>
  <c r="E764" i="12"/>
  <c r="F761" i="12"/>
  <c r="E761" i="12"/>
  <c r="E759" i="12"/>
  <c r="F756" i="12"/>
  <c r="G756" i="12" s="1"/>
  <c r="E756" i="12"/>
  <c r="E754" i="12"/>
  <c r="F752" i="12"/>
  <c r="E752" i="12"/>
  <c r="F750" i="12"/>
  <c r="E750" i="12"/>
  <c r="F749" i="12"/>
  <c r="E749" i="12"/>
  <c r="E747" i="12"/>
  <c r="F746" i="12"/>
  <c r="G746" i="12" s="1"/>
  <c r="E745" i="12"/>
  <c r="F744" i="12"/>
  <c r="E744" i="12"/>
  <c r="F743" i="12"/>
  <c r="G743" i="12" s="1"/>
  <c r="E741" i="12"/>
  <c r="F740" i="12"/>
  <c r="F739" i="12"/>
  <c r="G739" i="12" s="1"/>
  <c r="E738" i="12"/>
  <c r="F736" i="12"/>
  <c r="E736" i="12"/>
  <c r="E734" i="12"/>
  <c r="F732" i="12"/>
  <c r="G732" i="12" s="1"/>
  <c r="E730" i="12"/>
  <c r="E729" i="12"/>
  <c r="E726" i="12"/>
  <c r="F723" i="12"/>
  <c r="G723" i="12" s="1"/>
  <c r="F722" i="12"/>
  <c r="G722" i="12" s="1"/>
  <c r="E721" i="12"/>
  <c r="E720" i="12"/>
  <c r="E719" i="12"/>
  <c r="F718" i="12"/>
  <c r="G718" i="12" s="1"/>
  <c r="E717" i="12"/>
  <c r="E716" i="12"/>
  <c r="F715" i="12"/>
  <c r="G715" i="12" s="1"/>
  <c r="E714" i="12"/>
  <c r="E713" i="12"/>
  <c r="F712" i="12"/>
  <c r="E712" i="12"/>
  <c r="E701" i="12"/>
  <c r="F700" i="12"/>
  <c r="G700" i="12" s="1"/>
  <c r="E697" i="12"/>
  <c r="E693" i="12"/>
  <c r="F692" i="12"/>
  <c r="F691" i="12"/>
  <c r="E691" i="12"/>
  <c r="E690" i="12"/>
  <c r="E689" i="12"/>
  <c r="F685" i="12"/>
  <c r="G685" i="12" s="1"/>
  <c r="E674" i="12"/>
  <c r="F673" i="12"/>
  <c r="G673" i="12" s="1"/>
  <c r="F672" i="12"/>
  <c r="E672" i="12"/>
  <c r="F669" i="12"/>
  <c r="G669" i="12" s="1"/>
  <c r="E667" i="12"/>
  <c r="F666" i="12"/>
  <c r="G666" i="12" s="1"/>
  <c r="E665" i="12"/>
  <c r="E663" i="12"/>
  <c r="F661" i="12"/>
  <c r="E661" i="12"/>
  <c r="E659" i="12"/>
  <c r="E657" i="12"/>
  <c r="F656" i="12"/>
  <c r="G656" i="12" s="1"/>
  <c r="E656" i="12"/>
  <c r="F654" i="12"/>
  <c r="E653" i="12"/>
  <c r="E652" i="12"/>
  <c r="F650" i="12"/>
  <c r="G650" i="12" s="1"/>
  <c r="F647" i="12"/>
  <c r="E647" i="12"/>
  <c r="E644" i="12"/>
  <c r="E641" i="12"/>
  <c r="E636" i="12"/>
  <c r="E632" i="12"/>
  <c r="E631" i="12"/>
  <c r="E628" i="12"/>
  <c r="E625" i="12"/>
  <c r="F622" i="12"/>
  <c r="G622" i="12" s="1"/>
  <c r="F614" i="12"/>
  <c r="G614" i="12" s="1"/>
  <c r="E611" i="12"/>
  <c r="F605" i="12"/>
  <c r="G605" i="12" s="1"/>
  <c r="E601" i="12"/>
  <c r="F599" i="12"/>
  <c r="E599" i="12"/>
  <c r="E596" i="12"/>
  <c r="F594" i="12"/>
  <c r="G594" i="12" s="1"/>
  <c r="F593" i="12"/>
  <c r="G593" i="12" s="1"/>
  <c r="E592" i="12"/>
  <c r="F587" i="12"/>
  <c r="E587" i="12"/>
  <c r="E586" i="12"/>
  <c r="F582" i="12"/>
  <c r="G582" i="12" s="1"/>
  <c r="E579" i="12"/>
  <c r="F573" i="12"/>
  <c r="G573" i="12" s="1"/>
  <c r="F572" i="12"/>
  <c r="G572" i="12" s="1"/>
  <c r="E568" i="12"/>
  <c r="F566" i="12"/>
  <c r="G566" i="12" s="1"/>
  <c r="F563" i="12"/>
  <c r="G563" i="12" s="1"/>
  <c r="F562" i="12"/>
  <c r="E561" i="12"/>
  <c r="E560" i="12"/>
  <c r="E555" i="12"/>
  <c r="E539" i="12"/>
  <c r="E536" i="12"/>
  <c r="E524" i="12"/>
  <c r="E523" i="12"/>
  <c r="F521" i="12"/>
  <c r="G521" i="12" s="1"/>
  <c r="F519" i="12"/>
  <c r="E519" i="12"/>
  <c r="E504" i="12"/>
  <c r="E501" i="12"/>
  <c r="F485" i="12"/>
  <c r="G485" i="12" s="1"/>
  <c r="F469" i="12"/>
  <c r="E469" i="12"/>
  <c r="E463" i="12"/>
  <c r="E455" i="12"/>
  <c r="E451" i="12"/>
  <c r="F430" i="12"/>
  <c r="G430" i="12" s="1"/>
  <c r="E426" i="12"/>
  <c r="E422" i="12"/>
  <c r="E412" i="12"/>
  <c r="E409" i="12"/>
  <c r="E374" i="12"/>
  <c r="E373" i="12"/>
  <c r="F362" i="12"/>
  <c r="G362" i="12" s="1"/>
  <c r="E317" i="12"/>
  <c r="F314" i="12"/>
  <c r="G314" i="12" s="1"/>
  <c r="F307" i="12"/>
  <c r="G307" i="12" s="1"/>
  <c r="E299" i="12"/>
  <c r="F294" i="12"/>
  <c r="G294" i="12" s="1"/>
  <c r="E292" i="12"/>
  <c r="E275" i="12"/>
  <c r="E267" i="12"/>
  <c r="E264" i="12"/>
  <c r="F249" i="12"/>
  <c r="E249" i="12"/>
  <c r="E244" i="12"/>
  <c r="E239" i="12"/>
  <c r="F237" i="12"/>
  <c r="G237" i="12" s="1"/>
  <c r="F235" i="12"/>
  <c r="G235" i="12" s="1"/>
  <c r="E233" i="12"/>
  <c r="E228" i="12"/>
  <c r="E205" i="12"/>
  <c r="F203" i="12"/>
  <c r="E203" i="12"/>
  <c r="F200" i="12"/>
  <c r="G200" i="12" s="1"/>
  <c r="E198" i="12"/>
  <c r="F196" i="12"/>
  <c r="G196" i="12" s="1"/>
  <c r="E194" i="12"/>
  <c r="E190" i="12"/>
  <c r="E182" i="12"/>
  <c r="E175" i="12"/>
  <c r="E173" i="12"/>
  <c r="F170" i="12"/>
  <c r="G170" i="12" s="1"/>
  <c r="E161" i="12"/>
  <c r="E154" i="12"/>
  <c r="E131" i="12"/>
  <c r="F125" i="12"/>
  <c r="G125" i="12" s="1"/>
  <c r="E123" i="12"/>
  <c r="E120" i="12"/>
  <c r="F118" i="12"/>
  <c r="G118" i="12" s="1"/>
  <c r="E116" i="12"/>
  <c r="E112" i="12"/>
  <c r="F82" i="12"/>
  <c r="G82" i="12" s="1"/>
  <c r="F81" i="12"/>
  <c r="G81" i="12" s="1"/>
  <c r="E79" i="12"/>
  <c r="F77" i="12"/>
  <c r="G77" i="12" s="1"/>
  <c r="F76" i="12"/>
  <c r="G76" i="12" s="1"/>
  <c r="E69" i="12"/>
  <c r="E47" i="12"/>
  <c r="E43" i="12"/>
  <c r="E39" i="12"/>
  <c r="E38" i="12"/>
  <c r="F36" i="12"/>
  <c r="G36" i="12" s="1"/>
  <c r="G106" i="12" l="1"/>
  <c r="G178" i="12"/>
  <c r="G187" i="12"/>
  <c r="G231" i="12"/>
  <c r="G243" i="12"/>
  <c r="G433" i="12"/>
  <c r="G502" i="12"/>
  <c r="G581" i="12"/>
  <c r="G616" i="12"/>
  <c r="G626" i="12"/>
  <c r="G661" i="12"/>
  <c r="G189" i="12"/>
  <c r="G201" i="12"/>
  <c r="G246" i="12"/>
  <c r="G288" i="12"/>
  <c r="G311" i="12"/>
  <c r="G323" i="12"/>
  <c r="G384" i="12"/>
  <c r="G435" i="12"/>
  <c r="G495" i="12"/>
  <c r="G515" i="12"/>
  <c r="G13" i="12"/>
  <c r="G32" i="12"/>
  <c r="G749" i="12"/>
  <c r="G405" i="12"/>
  <c r="G249" i="12"/>
  <c r="G14" i="12"/>
  <c r="G33" i="12"/>
  <c r="G192" i="12"/>
  <c r="G269" i="12"/>
  <c r="G71" i="12"/>
  <c r="G771" i="12"/>
  <c r="G787" i="12"/>
  <c r="G15" i="12"/>
  <c r="G34" i="12"/>
  <c r="G238" i="12"/>
  <c r="G260" i="12"/>
  <c r="G529" i="12"/>
  <c r="G736" i="12"/>
  <c r="G773" i="12"/>
  <c r="G788" i="12"/>
  <c r="G35" i="12"/>
  <c r="G143" i="12"/>
  <c r="G552" i="12"/>
  <c r="G8" i="12"/>
  <c r="G56" i="12"/>
  <c r="G64" i="12"/>
  <c r="G251" i="12"/>
  <c r="G379" i="12"/>
  <c r="G491" i="12"/>
  <c r="G544" i="12"/>
  <c r="G790" i="12"/>
  <c r="G691" i="12"/>
  <c r="G744" i="12"/>
  <c r="G423" i="12"/>
  <c r="G519" i="12"/>
  <c r="G514" i="12"/>
  <c r="G617" i="12"/>
  <c r="G100" i="12"/>
  <c r="G516" i="12"/>
  <c r="G215" i="12"/>
  <c r="G162" i="12"/>
  <c r="G181" i="12"/>
  <c r="G248" i="12"/>
  <c r="G648" i="12"/>
  <c r="G703" i="12"/>
  <c r="G752" i="12"/>
  <c r="G93" i="12"/>
  <c r="G599" i="12"/>
  <c r="G654" i="12"/>
  <c r="G775" i="12"/>
  <c r="G203" i="12"/>
  <c r="G10" i="12"/>
  <c r="G29" i="12"/>
  <c r="G49" i="12"/>
  <c r="G75" i="12"/>
  <c r="G87" i="12"/>
  <c r="G126" i="12"/>
  <c r="G220" i="12"/>
  <c r="G253" i="12"/>
  <c r="G274" i="12"/>
  <c r="G285" i="12"/>
  <c r="G295" i="12"/>
  <c r="G329" i="12"/>
  <c r="G339" i="12"/>
  <c r="G370" i="12"/>
  <c r="G391" i="12"/>
  <c r="G400" i="12"/>
  <c r="G481" i="12"/>
  <c r="G545" i="12"/>
  <c r="G567" i="12"/>
  <c r="G606" i="12"/>
  <c r="G682" i="12"/>
  <c r="G696" i="12"/>
  <c r="G707" i="12"/>
  <c r="G742" i="12"/>
  <c r="G151" i="12"/>
  <c r="G149" i="12"/>
  <c r="G469" i="12"/>
  <c r="G647" i="12"/>
  <c r="G591" i="12"/>
  <c r="G562" i="12"/>
  <c r="E505" i="12"/>
  <c r="G438" i="12"/>
  <c r="G740" i="12"/>
  <c r="G60" i="12"/>
  <c r="G65" i="12"/>
  <c r="G98" i="12"/>
  <c r="G113" i="12"/>
  <c r="G117" i="12"/>
  <c r="G630" i="12"/>
  <c r="G668" i="12"/>
  <c r="G671" i="12"/>
  <c r="G791" i="12"/>
  <c r="G7" i="12"/>
  <c r="G124" i="12"/>
  <c r="G724" i="12"/>
  <c r="G327" i="12"/>
  <c r="G346" i="12"/>
  <c r="G396" i="12"/>
  <c r="G479" i="12"/>
  <c r="G757" i="12"/>
  <c r="G762" i="12"/>
  <c r="G225" i="12"/>
  <c r="G559" i="12"/>
  <c r="G643" i="12"/>
  <c r="G446" i="12"/>
  <c r="G556" i="12"/>
  <c r="G226" i="12"/>
  <c r="G43" i="12"/>
  <c r="G57" i="12"/>
  <c r="G159" i="12"/>
  <c r="G320" i="12"/>
  <c r="G333" i="12"/>
  <c r="G493" i="12"/>
  <c r="G624" i="12"/>
  <c r="G701" i="12"/>
  <c r="G747" i="12"/>
  <c r="G764" i="12"/>
  <c r="G795" i="12"/>
  <c r="G5" i="12"/>
  <c r="G78" i="12"/>
  <c r="G92" i="12"/>
  <c r="G266" i="12"/>
  <c r="G434" i="12"/>
  <c r="G583" i="12"/>
  <c r="G636" i="12"/>
  <c r="G674" i="12"/>
  <c r="G776" i="12"/>
  <c r="G672" i="12"/>
  <c r="G712" i="12"/>
  <c r="G750" i="12"/>
  <c r="G112" i="12"/>
  <c r="G202" i="12"/>
  <c r="G373" i="12"/>
  <c r="G422" i="12"/>
  <c r="G504" i="12"/>
  <c r="G523" i="12"/>
  <c r="G596" i="12"/>
  <c r="G713" i="12"/>
  <c r="G244" i="12"/>
  <c r="G625" i="12"/>
  <c r="G632" i="12"/>
  <c r="G717" i="12"/>
  <c r="G721" i="12"/>
  <c r="G729" i="12"/>
  <c r="G785" i="12"/>
  <c r="G38" i="12"/>
  <c r="G116" i="12"/>
  <c r="G120" i="12"/>
  <c r="G160" i="12"/>
  <c r="G182" i="12"/>
  <c r="G239" i="12"/>
  <c r="G277" i="12"/>
  <c r="G374" i="12"/>
  <c r="G381" i="12"/>
  <c r="G426" i="12"/>
  <c r="G439" i="12"/>
  <c r="G451" i="12"/>
  <c r="G463" i="12"/>
  <c r="G615" i="12"/>
  <c r="G726" i="12"/>
  <c r="G745" i="12"/>
  <c r="G105" i="12"/>
  <c r="G154" i="12"/>
  <c r="G161" i="12"/>
  <c r="G267" i="12"/>
  <c r="G409" i="12"/>
  <c r="G467" i="12"/>
  <c r="G501" i="12"/>
  <c r="G524" i="12"/>
  <c r="G540" i="12"/>
  <c r="G652" i="12"/>
  <c r="G683" i="12"/>
  <c r="G777" i="12"/>
  <c r="G47" i="12"/>
  <c r="G123" i="12"/>
  <c r="G131" i="12"/>
  <c r="G175" i="12"/>
  <c r="G198" i="12"/>
  <c r="G209" i="12"/>
  <c r="G241" i="12"/>
  <c r="G264" i="12"/>
  <c r="G292" i="12"/>
  <c r="G360" i="12"/>
  <c r="G611" i="12"/>
  <c r="G794" i="12"/>
  <c r="G39" i="12"/>
  <c r="G452" i="12"/>
  <c r="G786" i="12"/>
  <c r="G194" i="12"/>
  <c r="G176" i="12"/>
  <c r="G199" i="12"/>
  <c r="G206" i="12"/>
  <c r="G234" i="12"/>
  <c r="G520" i="12"/>
  <c r="G738" i="12"/>
  <c r="G761" i="12"/>
  <c r="G779" i="12"/>
  <c r="G48" i="12"/>
  <c r="G52" i="12"/>
  <c r="G114" i="12"/>
  <c r="G376" i="12"/>
  <c r="G506" i="12"/>
  <c r="G539" i="12"/>
  <c r="G571" i="12"/>
  <c r="G618" i="12"/>
  <c r="G759" i="12"/>
  <c r="G21" i="12"/>
  <c r="G72" i="12"/>
  <c r="G79" i="12"/>
  <c r="G103" i="12"/>
  <c r="G205" i="12"/>
  <c r="G589" i="12"/>
  <c r="G644" i="12"/>
  <c r="G429" i="12"/>
  <c r="G445" i="12"/>
  <c r="G741" i="12"/>
  <c r="G587" i="12"/>
  <c r="G766" i="12"/>
  <c r="G782" i="12"/>
  <c r="G69" i="12"/>
  <c r="G275" i="12"/>
  <c r="G547" i="12"/>
  <c r="G631" i="12"/>
  <c r="G53" i="12"/>
  <c r="G455" i="12"/>
  <c r="G561" i="12"/>
  <c r="G579" i="12"/>
  <c r="G693" i="12"/>
  <c r="G716" i="12"/>
  <c r="G720" i="12"/>
  <c r="G730" i="12"/>
  <c r="G754" i="12"/>
  <c r="F628" i="12"/>
  <c r="G628" i="12" s="1"/>
  <c r="F363" i="12"/>
  <c r="G363" i="12" s="1"/>
  <c r="F219" i="12"/>
  <c r="G219" i="12" s="1"/>
  <c r="F128" i="12"/>
  <c r="G128" i="12" s="1"/>
  <c r="F765" i="12"/>
  <c r="G765" i="12" s="1"/>
  <c r="F796" i="12"/>
  <c r="G796" i="12" s="1"/>
  <c r="F230" i="12"/>
  <c r="G230" i="12" s="1"/>
  <c r="F191" i="12"/>
  <c r="G191" i="12" s="1"/>
  <c r="F488" i="12"/>
  <c r="G488" i="12" s="1"/>
  <c r="F137" i="12"/>
  <c r="G137" i="12" s="1"/>
  <c r="F111" i="12"/>
  <c r="G111" i="12" s="1"/>
  <c r="F171" i="12"/>
  <c r="G171" i="12" s="1"/>
  <c r="F297" i="12"/>
  <c r="G297" i="12" s="1"/>
  <c r="F355" i="12"/>
  <c r="G355" i="12" s="1"/>
  <c r="F657" i="12"/>
  <c r="G657" i="12" s="1"/>
  <c r="F774" i="12"/>
  <c r="G774" i="12" s="1"/>
  <c r="F40" i="12"/>
  <c r="G40" i="12" s="1"/>
  <c r="F247" i="12"/>
  <c r="G247" i="12" s="1"/>
  <c r="F190" i="12"/>
  <c r="G190" i="12" s="1"/>
  <c r="F228" i="12"/>
  <c r="G228" i="12" s="1"/>
  <c r="F41" i="12"/>
  <c r="G41" i="12" s="1"/>
  <c r="F109" i="12"/>
  <c r="G109" i="12" s="1"/>
  <c r="F110" i="12"/>
  <c r="G110" i="12" s="1"/>
  <c r="F9" i="12"/>
  <c r="G9" i="12" s="1"/>
  <c r="F195" i="12"/>
  <c r="G195" i="12" s="1"/>
  <c r="F431" i="12"/>
  <c r="G431" i="12" s="1"/>
  <c r="F664" i="12"/>
  <c r="G664" i="12" s="1"/>
  <c r="F94" i="12"/>
  <c r="G94" i="12" s="1"/>
  <c r="F359" i="12"/>
  <c r="G359" i="12" s="1"/>
  <c r="F147" i="12"/>
  <c r="G147" i="12" s="1"/>
  <c r="F290" i="12"/>
  <c r="G290" i="12" s="1"/>
  <c r="F660" i="12"/>
  <c r="G660" i="12" s="1"/>
  <c r="F758" i="12"/>
  <c r="G758" i="12" s="1"/>
  <c r="F760" i="12"/>
  <c r="G760" i="12" s="1"/>
  <c r="F99" i="12"/>
  <c r="G99" i="12" s="1"/>
  <c r="F301" i="12"/>
  <c r="G301" i="12" s="1"/>
  <c r="F242" i="12"/>
  <c r="G242" i="12" s="1"/>
  <c r="F534" i="12"/>
  <c r="G534" i="12" s="1"/>
  <c r="F536" i="12"/>
  <c r="G536" i="12" s="1"/>
  <c r="F278" i="12"/>
  <c r="G278" i="12" s="1"/>
  <c r="F270" i="12"/>
  <c r="G270" i="12" s="1"/>
  <c r="F132" i="12"/>
  <c r="G132" i="12" s="1"/>
  <c r="F377" i="12"/>
  <c r="G377" i="12" s="1"/>
  <c r="F694" i="12"/>
  <c r="G694" i="12" s="1"/>
  <c r="F522" i="12"/>
  <c r="G522" i="12" s="1"/>
  <c r="F157" i="12"/>
  <c r="G157" i="12" s="1"/>
  <c r="F183" i="12"/>
  <c r="G183" i="12" s="1"/>
  <c r="F141" i="12"/>
  <c r="G141" i="12" s="1"/>
  <c r="F299" i="12"/>
  <c r="G299" i="12" s="1"/>
  <c r="F337" i="12"/>
  <c r="G337" i="12" s="1"/>
  <c r="F411" i="12"/>
  <c r="G411" i="12" s="1"/>
  <c r="F177" i="12"/>
  <c r="G177" i="12" s="1"/>
  <c r="F272" i="12"/>
  <c r="G272" i="12" s="1"/>
  <c r="F412" i="12"/>
  <c r="G412" i="12" s="1"/>
  <c r="F687" i="12"/>
  <c r="G687" i="12" s="1"/>
  <c r="F232" i="12"/>
  <c r="G232" i="12" s="1"/>
  <c r="F318" i="12"/>
  <c r="G318" i="12" s="1"/>
  <c r="F394" i="12"/>
  <c r="G394" i="12" s="1"/>
  <c r="F475" i="12"/>
  <c r="G475" i="12" s="1"/>
  <c r="F407" i="12"/>
  <c r="G407" i="12" s="1"/>
  <c r="F388" i="12"/>
  <c r="G388" i="12" s="1"/>
  <c r="F386" i="12"/>
  <c r="G386" i="12" s="1"/>
  <c r="F586" i="12"/>
  <c r="G586" i="12" s="1"/>
  <c r="F505" i="12"/>
  <c r="G505" i="12" s="1"/>
  <c r="F612" i="12"/>
  <c r="G612" i="12" s="1"/>
  <c r="F70" i="12"/>
  <c r="G70" i="12" s="1"/>
  <c r="F413" i="12"/>
  <c r="G413" i="12" s="1"/>
  <c r="F382" i="12"/>
  <c r="G382" i="12" s="1"/>
  <c r="F174" i="12"/>
  <c r="G174" i="12" s="1"/>
  <c r="F576" i="12"/>
  <c r="G576" i="12" s="1"/>
  <c r="F653" i="12"/>
  <c r="G653" i="12" s="1"/>
  <c r="F640" i="12"/>
  <c r="G640" i="12" s="1"/>
  <c r="F354" i="12"/>
  <c r="G354" i="12" s="1"/>
  <c r="F665" i="12"/>
  <c r="G665" i="12" s="1"/>
  <c r="F18" i="12"/>
  <c r="G18" i="12" s="1"/>
  <c r="F601" i="12"/>
  <c r="G601" i="12" s="1"/>
  <c r="F185" i="12"/>
  <c r="G185" i="12" s="1"/>
  <c r="F642" i="12"/>
  <c r="G642" i="12" s="1"/>
  <c r="F667" i="12"/>
  <c r="G667" i="12" s="1"/>
  <c r="F697" i="12"/>
  <c r="G697" i="12" s="1"/>
  <c r="F633" i="12"/>
  <c r="G633" i="12" s="1"/>
  <c r="F517" i="12"/>
  <c r="G517" i="12" s="1"/>
  <c r="F328" i="12"/>
  <c r="G328" i="12" s="1"/>
  <c r="F365" i="12"/>
  <c r="G365" i="12" s="1"/>
  <c r="F629" i="12"/>
  <c r="G629" i="12" s="1"/>
  <c r="F639" i="12"/>
  <c r="G639" i="12" s="1"/>
  <c r="E710" i="12"/>
  <c r="G710" i="12" s="1"/>
  <c r="E692" i="12"/>
  <c r="G692" i="12" s="1"/>
  <c r="F27" i="12"/>
  <c r="G27" i="12" s="1"/>
  <c r="F259" i="12"/>
  <c r="G259" i="12" s="1"/>
  <c r="F532" i="12"/>
  <c r="G532" i="12" s="1"/>
  <c r="F472" i="12"/>
  <c r="G472" i="12" s="1"/>
  <c r="F627" i="12"/>
  <c r="G627" i="12" s="1"/>
  <c r="F690" i="12" l="1"/>
  <c r="G690" i="12" s="1"/>
  <c r="F550" i="12"/>
  <c r="G550" i="12" s="1"/>
  <c r="F293" i="12"/>
  <c r="G293" i="12" s="1"/>
  <c r="F261" i="12"/>
  <c r="G261" i="12" s="1"/>
  <c r="F296" i="12"/>
  <c r="G296" i="12" s="1"/>
  <c r="F404" i="12"/>
  <c r="G404" i="12" s="1"/>
  <c r="F364" i="12"/>
  <c r="G364" i="12" s="1"/>
  <c r="F304" i="12"/>
  <c r="G304" i="12" s="1"/>
  <c r="F212" i="12"/>
  <c r="G212" i="12" s="1"/>
  <c r="F16" i="12"/>
  <c r="G16" i="12" s="1"/>
  <c r="F208" i="12"/>
  <c r="G208" i="12" s="1"/>
  <c r="F224" i="12"/>
  <c r="G224" i="12" s="1"/>
  <c r="F96" i="12"/>
  <c r="G96" i="12" s="1"/>
  <c r="F714" i="12"/>
  <c r="G714" i="12" s="1"/>
  <c r="F211" i="12"/>
  <c r="G211" i="12" s="1"/>
  <c r="F375" i="12"/>
  <c r="G375" i="12" s="1"/>
  <c r="F734" i="12"/>
  <c r="G734" i="12" s="1"/>
  <c r="F797" i="12"/>
  <c r="G797" i="12" s="1"/>
  <c r="F641" i="12"/>
  <c r="G641" i="12" s="1"/>
  <c r="F308" i="12"/>
  <c r="G308" i="12" s="1"/>
  <c r="F555" i="12"/>
  <c r="G555" i="12" s="1"/>
  <c r="F655" i="12"/>
  <c r="G655" i="12" s="1"/>
  <c r="F603" i="12"/>
  <c r="G603" i="12" s="1"/>
  <c r="F487" i="12"/>
  <c r="G487" i="12" s="1"/>
  <c r="F781" i="12"/>
  <c r="G781" i="12" s="1"/>
  <c r="F476" i="12"/>
  <c r="G476" i="12" s="1"/>
  <c r="F575" i="12"/>
  <c r="G575" i="12" s="1"/>
  <c r="F689" i="12"/>
  <c r="G689" i="12" s="1"/>
  <c r="F498" i="12"/>
  <c r="G498" i="12" s="1"/>
  <c r="F551" i="12"/>
  <c r="G551" i="12" s="1"/>
  <c r="F621" i="12"/>
  <c r="G621" i="12" s="1"/>
  <c r="F392" i="12"/>
  <c r="G392" i="12" s="1"/>
  <c r="F42" i="12"/>
  <c r="G42" i="12" s="1"/>
  <c r="F512" i="12"/>
  <c r="G512" i="12" s="1"/>
  <c r="F104" i="12"/>
  <c r="G104" i="12" s="1"/>
  <c r="F663" i="12"/>
  <c r="G663" i="12" s="1"/>
  <c r="F725" i="12"/>
  <c r="G725" i="12" s="1"/>
  <c r="F309" i="12"/>
  <c r="G309" i="12" s="1"/>
  <c r="F568" i="12"/>
  <c r="G568" i="12" s="1"/>
  <c r="F276" i="12"/>
  <c r="G276" i="12" s="1"/>
  <c r="F699" i="12"/>
  <c r="G699" i="12" s="1"/>
  <c r="F659" i="12"/>
  <c r="G659" i="12" s="1"/>
  <c r="F406" i="12"/>
  <c r="G406" i="12" s="1"/>
  <c r="F450" i="12"/>
  <c r="G450" i="12" s="1"/>
  <c r="F465" i="12"/>
  <c r="G465" i="12" s="1"/>
  <c r="F453" i="12"/>
  <c r="G453" i="12" s="1"/>
  <c r="F265" i="12"/>
  <c r="G265" i="12" s="1"/>
  <c r="F240" i="12"/>
  <c r="G240" i="12" s="1"/>
  <c r="F466" i="12"/>
  <c r="G466" i="12" s="1"/>
  <c r="F553" i="12"/>
  <c r="G553" i="12" s="1"/>
  <c r="F336" i="12"/>
  <c r="G336" i="12" s="1"/>
  <c r="F17" i="12"/>
  <c r="G17" i="12" s="1"/>
  <c r="F436" i="12"/>
  <c r="G436" i="12" s="1"/>
  <c r="F91" i="12"/>
  <c r="G91" i="12" s="1"/>
  <c r="F597" i="12"/>
  <c r="G597" i="12" s="1"/>
  <c r="F719" i="12"/>
  <c r="G719" i="12" s="1"/>
  <c r="F600" i="12"/>
  <c r="G600" i="12" s="1"/>
  <c r="F23" i="12" l="1"/>
  <c r="G23" i="12" s="1"/>
  <c r="F204" i="12"/>
  <c r="G204" i="12" s="1"/>
  <c r="F303" i="12"/>
  <c r="G303" i="12" s="1"/>
  <c r="F704" i="12"/>
  <c r="G704" i="12" s="1"/>
  <c r="F420" i="12"/>
  <c r="G420" i="12" s="1"/>
  <c r="F168" i="12"/>
  <c r="G168" i="12" s="1"/>
  <c r="F428" i="12"/>
  <c r="G428" i="12" s="1"/>
  <c r="F286" i="12"/>
  <c r="G286" i="12" s="1"/>
  <c r="F291" i="12"/>
  <c r="G291" i="12" s="1"/>
  <c r="F146" i="12"/>
  <c r="G146" i="12" s="1"/>
  <c r="F217" i="12"/>
  <c r="G217" i="12" s="1"/>
  <c r="F772" i="12"/>
  <c r="G772" i="12" s="1"/>
  <c r="F22" i="12"/>
  <c r="G22" i="12" s="1"/>
  <c r="F316" i="12"/>
  <c r="G316" i="12" s="1"/>
  <c r="F543" i="12"/>
  <c r="G543" i="12" s="1"/>
  <c r="F86" i="12"/>
  <c r="G86" i="12" s="1"/>
  <c r="F560" i="12"/>
  <c r="G560" i="12" s="1"/>
  <c r="F213" i="12"/>
  <c r="G213" i="12" s="1"/>
  <c r="F368" i="12"/>
  <c r="G368" i="12" s="1"/>
  <c r="F482" i="12"/>
  <c r="G482" i="12" s="1"/>
  <c r="F602" i="12"/>
  <c r="G602" i="12" s="1"/>
  <c r="F73" i="12"/>
  <c r="G73" i="12" s="1"/>
  <c r="F769" i="12"/>
  <c r="G769" i="12" s="1"/>
  <c r="F252" i="12" l="1"/>
  <c r="G252" i="12" s="1"/>
  <c r="F371" i="12"/>
  <c r="G371" i="12" s="1"/>
  <c r="F223" i="12"/>
  <c r="G223" i="12" s="1"/>
  <c r="F462" i="12"/>
  <c r="G462" i="12" s="1"/>
  <c r="F471" i="12"/>
  <c r="G471" i="12" s="1"/>
  <c r="F357" i="12"/>
  <c r="G357" i="12" s="1"/>
  <c r="F136" i="12"/>
  <c r="G136" i="12" s="1"/>
  <c r="F284" i="12"/>
  <c r="G284" i="12" s="1"/>
  <c r="F358" i="12"/>
  <c r="G358" i="12" s="1"/>
  <c r="F458" i="12"/>
  <c r="G458" i="12" s="1"/>
  <c r="F558" i="12"/>
  <c r="G558" i="12" s="1"/>
  <c r="F167" i="12"/>
  <c r="G167" i="12" s="1"/>
  <c r="F317" i="12"/>
  <c r="G317" i="12" s="1"/>
  <c r="F322" i="12"/>
  <c r="G322" i="12" s="1"/>
  <c r="F186" i="12"/>
  <c r="G186" i="12" s="1"/>
  <c r="F793" i="12"/>
  <c r="G793" i="12" s="1"/>
  <c r="F444" i="12"/>
  <c r="G444" i="12" s="1"/>
  <c r="F256" i="12"/>
  <c r="G256" i="12" s="1"/>
  <c r="F166" i="12"/>
  <c r="G166" i="12" s="1"/>
  <c r="F152" i="12" l="1"/>
  <c r="G152" i="12" s="1"/>
  <c r="F210" i="12"/>
  <c r="G210" i="12" s="1"/>
  <c r="F432" i="12"/>
  <c r="G432" i="12" s="1"/>
  <c r="F473" i="12"/>
  <c r="G473" i="12" s="1"/>
  <c r="F470" i="12"/>
  <c r="G470" i="12" s="1"/>
  <c r="F51" i="12"/>
  <c r="F332" i="12"/>
  <c r="G332" i="12" s="1"/>
  <c r="F533" i="12"/>
  <c r="G533" i="12" s="1"/>
  <c r="F461" i="12"/>
  <c r="G461" i="12" s="1"/>
  <c r="F352" i="12"/>
  <c r="G352" i="12" s="1"/>
  <c r="F513" i="12"/>
  <c r="G513" i="12" s="1"/>
  <c r="F85" i="12"/>
  <c r="G85" i="12" s="1"/>
  <c r="F338" i="12"/>
  <c r="G338" i="12" s="1"/>
  <c r="F646" i="12"/>
  <c r="G646" i="12" s="1"/>
  <c r="F711" i="12"/>
  <c r="G711" i="12" s="1"/>
  <c r="F459" i="12"/>
  <c r="G459" i="12" s="1"/>
  <c r="G51" i="12" l="1"/>
  <c r="F257" i="12"/>
  <c r="G257" i="12" s="1"/>
  <c r="F401" i="12"/>
  <c r="G401" i="12" s="1"/>
  <c r="F173" i="12"/>
  <c r="G173" i="12" s="1"/>
  <c r="F486" i="12"/>
  <c r="G486" i="12" s="1"/>
  <c r="F319" i="12"/>
  <c r="G319" i="12" s="1"/>
  <c r="F592" i="12"/>
  <c r="G592" i="12" s="1"/>
  <c r="F150" i="12"/>
  <c r="G150" i="12" s="1"/>
  <c r="F456" i="12"/>
  <c r="G456" i="12" s="1"/>
  <c r="F343" i="12"/>
  <c r="G343" i="12" s="1"/>
  <c r="F569" i="12" l="1"/>
  <c r="G569" i="12" s="1"/>
  <c r="F283" i="12"/>
  <c r="G283" i="12" s="1"/>
  <c r="F443" i="12"/>
  <c r="G443" i="12" s="1"/>
  <c r="F464" i="12"/>
  <c r="G464" i="12" s="1"/>
  <c r="F145" i="12"/>
  <c r="G145" i="12" s="1"/>
  <c r="F282" i="12" l="1"/>
  <c r="G282" i="12" s="1"/>
  <c r="F447" i="12"/>
  <c r="G447" i="12" s="1"/>
  <c r="F262" i="12"/>
  <c r="G262" i="12" s="1"/>
  <c r="F508" i="12"/>
  <c r="G508" i="12" s="1"/>
  <c r="F258" i="12"/>
  <c r="G258" i="12" s="1"/>
  <c r="F542" i="12"/>
  <c r="G542" i="12" s="1"/>
  <c r="F457" i="12"/>
  <c r="G457" i="12" s="1"/>
  <c r="F484" i="12"/>
  <c r="G484" i="12" s="1"/>
  <c r="F321" i="12"/>
  <c r="G321" i="12" s="1"/>
  <c r="F474" i="12" l="1"/>
  <c r="G474" i="12" s="1"/>
  <c r="F645" i="12"/>
  <c r="F449" i="12"/>
  <c r="G449" i="12" s="1"/>
  <c r="F148" i="12"/>
  <c r="G148" i="12" s="1"/>
  <c r="F268" i="12"/>
  <c r="G268" i="12" s="1"/>
  <c r="F380" i="12" l="1"/>
  <c r="G380" i="12" s="1"/>
  <c r="F84" i="12"/>
  <c r="G84" i="12" s="1"/>
  <c r="G645" i="12"/>
  <c r="F454" i="12"/>
  <c r="G454" i="12" s="1"/>
  <c r="F387" i="12"/>
  <c r="G387" i="12" s="1"/>
  <c r="F402" i="12"/>
  <c r="G402" i="12" s="1"/>
  <c r="F348" i="12" l="1"/>
  <c r="G348" i="12" s="1"/>
  <c r="F441" i="12"/>
  <c r="G441" i="12" s="1"/>
  <c r="F448" i="12"/>
  <c r="G448" i="12" s="1"/>
  <c r="F620" i="12"/>
  <c r="G620" i="12" s="1"/>
  <c r="F541" i="12"/>
  <c r="G541" i="12" s="1"/>
  <c r="F233" i="12"/>
  <c r="F369" i="12" l="1"/>
  <c r="G369" i="12" s="1"/>
  <c r="F580" i="12"/>
  <c r="G580" i="12" s="1"/>
  <c r="F578" i="12"/>
  <c r="G578" i="12" s="1"/>
  <c r="G233" i="12"/>
  <c r="F306" i="12" l="1"/>
  <c r="G306" i="12" s="1"/>
  <c r="F245" i="12"/>
  <c r="F483" i="12" l="1"/>
  <c r="G483" i="12" s="1"/>
  <c r="G245" i="12"/>
  <c r="F638" i="12" l="1"/>
  <c r="G638" i="12" s="1"/>
  <c r="F574" i="12" l="1"/>
  <c r="G574" i="12" s="1"/>
  <c r="F535" i="12" l="1"/>
  <c r="G535" i="12" s="1"/>
  <c r="F442" i="12" l="1"/>
  <c r="G442" i="12" l="1"/>
  <c r="F634" i="12" l="1"/>
  <c r="G634" i="12" s="1"/>
  <c r="F460" i="12" l="1"/>
  <c r="G460" i="12" l="1"/>
  <c r="G801" i="12" s="1"/>
  <c r="C9" i="17" s="1"/>
  <c r="F801" i="12"/>
  <c r="E108" i="6" l="1"/>
  <c r="F108" i="6"/>
  <c r="E107" i="6"/>
  <c r="F107" i="6"/>
  <c r="E106" i="6"/>
  <c r="F106" i="6"/>
  <c r="E105" i="6"/>
  <c r="F105" i="6"/>
  <c r="G105" i="6" s="1"/>
  <c r="E104" i="6"/>
  <c r="F104" i="6"/>
  <c r="G104" i="6" s="1"/>
  <c r="F103" i="6"/>
  <c r="E102" i="6"/>
  <c r="F102" i="6"/>
  <c r="E89" i="6"/>
  <c r="E98" i="6"/>
  <c r="E96" i="6"/>
  <c r="G96" i="6" s="1"/>
  <c r="F96" i="6"/>
  <c r="E94" i="6"/>
  <c r="E99" i="6"/>
  <c r="F99" i="6"/>
  <c r="E93" i="6"/>
  <c r="F93" i="6"/>
  <c r="E91" i="6"/>
  <c r="E90" i="6"/>
  <c r="F90" i="6"/>
  <c r="E101" i="6"/>
  <c r="F101" i="6"/>
  <c r="F88" i="6"/>
  <c r="F87" i="6"/>
  <c r="E86" i="6"/>
  <c r="F86" i="6"/>
  <c r="F85" i="6"/>
  <c r="F84" i="6"/>
  <c r="F83" i="6"/>
  <c r="E82" i="6"/>
  <c r="E81" i="6"/>
  <c r="F79" i="6"/>
  <c r="E78" i="6"/>
  <c r="F78" i="6"/>
  <c r="E76" i="6"/>
  <c r="F75" i="6"/>
  <c r="F74" i="6"/>
  <c r="F73" i="6"/>
  <c r="E72" i="6"/>
  <c r="F72" i="6"/>
  <c r="E71" i="6"/>
  <c r="F71" i="6"/>
  <c r="E70" i="6"/>
  <c r="F69" i="6"/>
  <c r="E68" i="6"/>
  <c r="E66" i="6"/>
  <c r="F66" i="6"/>
  <c r="F67" i="6"/>
  <c r="E65" i="6"/>
  <c r="E64" i="6"/>
  <c r="F64" i="6"/>
  <c r="E63" i="6"/>
  <c r="F63" i="6"/>
  <c r="E62" i="6"/>
  <c r="F62" i="6"/>
  <c r="E61" i="6"/>
  <c r="E60" i="6"/>
  <c r="F60" i="6"/>
  <c r="E80" i="6"/>
  <c r="F80" i="6"/>
  <c r="F59" i="6"/>
  <c r="E58" i="6"/>
  <c r="E57" i="6"/>
  <c r="F57" i="6"/>
  <c r="E56" i="6"/>
  <c r="F56" i="6"/>
  <c r="E55" i="6"/>
  <c r="F55" i="6"/>
  <c r="E109" i="6"/>
  <c r="F109" i="6"/>
  <c r="G109" i="6" s="1"/>
  <c r="F54" i="6"/>
  <c r="E53" i="6"/>
  <c r="E52" i="6"/>
  <c r="F52" i="6"/>
  <c r="E51" i="6"/>
  <c r="E50" i="6"/>
  <c r="F50" i="6"/>
  <c r="E49" i="6"/>
  <c r="E48" i="6"/>
  <c r="F48" i="6"/>
  <c r="E47" i="6"/>
  <c r="E46" i="6"/>
  <c r="F46" i="6"/>
  <c r="E45" i="6"/>
  <c r="F45" i="6"/>
  <c r="E44" i="6"/>
  <c r="F44" i="6"/>
  <c r="E42" i="6"/>
  <c r="F42" i="6"/>
  <c r="E41" i="6"/>
  <c r="E40" i="6"/>
  <c r="F39" i="6"/>
  <c r="E38" i="6"/>
  <c r="F38" i="6"/>
  <c r="E37" i="6"/>
  <c r="F37" i="6"/>
  <c r="E36" i="6"/>
  <c r="F36" i="6"/>
  <c r="F35" i="6"/>
  <c r="E34" i="6"/>
  <c r="E33" i="6"/>
  <c r="F33" i="6"/>
  <c r="E32" i="6"/>
  <c r="E31" i="6"/>
  <c r="F31" i="6"/>
  <c r="E30" i="6"/>
  <c r="F30" i="6"/>
  <c r="E29" i="6"/>
  <c r="F29" i="6"/>
  <c r="E28" i="6"/>
  <c r="F28" i="6"/>
  <c r="F27" i="6"/>
  <c r="E26" i="6"/>
  <c r="F26" i="6"/>
  <c r="E25" i="6"/>
  <c r="F25" i="6"/>
  <c r="E24" i="6"/>
  <c r="F24" i="6"/>
  <c r="F23" i="6"/>
  <c r="E22" i="6"/>
  <c r="F22" i="6"/>
  <c r="E21" i="6"/>
  <c r="F21" i="6"/>
  <c r="E20" i="6"/>
  <c r="F20" i="6"/>
  <c r="E19" i="6"/>
  <c r="F19" i="6"/>
  <c r="E18" i="6"/>
  <c r="F18" i="6"/>
  <c r="E17" i="6"/>
  <c r="F17" i="6"/>
  <c r="E100" i="6"/>
  <c r="F100" i="6"/>
  <c r="E16" i="6"/>
  <c r="F16" i="6"/>
  <c r="E15" i="6"/>
  <c r="F15" i="6"/>
  <c r="E14" i="6"/>
  <c r="F14" i="6"/>
  <c r="E13" i="6"/>
  <c r="F13" i="6"/>
  <c r="E12" i="6"/>
  <c r="F12" i="6"/>
  <c r="E11" i="6"/>
  <c r="F11" i="6"/>
  <c r="E10" i="6"/>
  <c r="F10" i="6"/>
  <c r="E9" i="6"/>
  <c r="F9" i="6"/>
  <c r="E8" i="6"/>
  <c r="E7" i="6"/>
  <c r="E6" i="6"/>
  <c r="F6" i="6"/>
  <c r="E5" i="6"/>
  <c r="F5" i="6"/>
  <c r="E103" i="6"/>
  <c r="E97" i="6"/>
  <c r="E95" i="6"/>
  <c r="F92" i="6"/>
  <c r="E92" i="6"/>
  <c r="E88" i="6"/>
  <c r="E87" i="6"/>
  <c r="E85" i="6"/>
  <c r="E84" i="6"/>
  <c r="G84" i="6" s="1"/>
  <c r="E83" i="6"/>
  <c r="G83" i="6" s="1"/>
  <c r="F81" i="6"/>
  <c r="E79" i="6"/>
  <c r="G79" i="6" s="1"/>
  <c r="F77" i="6"/>
  <c r="E77" i="6"/>
  <c r="G77" i="6" s="1"/>
  <c r="E75" i="6"/>
  <c r="G75" i="6" s="1"/>
  <c r="E74" i="6"/>
  <c r="G74" i="6" s="1"/>
  <c r="E73" i="6"/>
  <c r="F70" i="6"/>
  <c r="E69" i="6"/>
  <c r="G69" i="6" s="1"/>
  <c r="E67" i="6"/>
  <c r="G67" i="6" s="1"/>
  <c r="E59" i="6"/>
  <c r="G59" i="6" s="1"/>
  <c r="E54" i="6"/>
  <c r="E43" i="6"/>
  <c r="E39" i="6"/>
  <c r="G39" i="6" s="1"/>
  <c r="E35" i="6"/>
  <c r="G35" i="6" s="1"/>
  <c r="E27" i="6"/>
  <c r="G27" i="6" s="1"/>
  <c r="E23" i="6"/>
  <c r="G90" i="6" l="1"/>
  <c r="G37" i="6"/>
  <c r="G57" i="6"/>
  <c r="G31" i="6"/>
  <c r="G21" i="6"/>
  <c r="G23" i="6"/>
  <c r="G5" i="6"/>
  <c r="G33" i="6"/>
  <c r="G44" i="6"/>
  <c r="G54" i="6"/>
  <c r="G92" i="6"/>
  <c r="G87" i="6"/>
  <c r="G85" i="6"/>
  <c r="G10" i="6"/>
  <c r="G88" i="6"/>
  <c r="G73" i="6"/>
  <c r="G11" i="6"/>
  <c r="G107" i="6"/>
  <c r="G13" i="6"/>
  <c r="G12" i="6"/>
  <c r="G100" i="6"/>
  <c r="G42" i="6"/>
  <c r="G25" i="6"/>
  <c r="G17" i="6"/>
  <c r="G86" i="6"/>
  <c r="G22" i="6"/>
  <c r="G26" i="6"/>
  <c r="G52" i="6"/>
  <c r="G64" i="6"/>
  <c r="G15" i="6"/>
  <c r="G36" i="6"/>
  <c r="G66" i="6"/>
  <c r="G70" i="6"/>
  <c r="G99" i="6"/>
  <c r="G16" i="6"/>
  <c r="G38" i="6"/>
  <c r="G46" i="6"/>
  <c r="G48" i="6"/>
  <c r="G103" i="6"/>
  <c r="G6" i="6"/>
  <c r="G18" i="6"/>
  <c r="G80" i="6"/>
  <c r="G29" i="6"/>
  <c r="G55" i="6"/>
  <c r="G71" i="6"/>
  <c r="G19" i="6"/>
  <c r="G30" i="6"/>
  <c r="G56" i="6"/>
  <c r="G62" i="6"/>
  <c r="G24" i="6"/>
  <c r="G28" i="6"/>
  <c r="G72" i="6"/>
  <c r="G78" i="6"/>
  <c r="G60" i="6"/>
  <c r="G101" i="6"/>
  <c r="G20" i="6"/>
  <c r="G50" i="6"/>
  <c r="G81" i="6"/>
  <c r="G9" i="6"/>
  <c r="G63" i="6"/>
  <c r="G102" i="6"/>
  <c r="G14" i="6"/>
  <c r="G93" i="6"/>
  <c r="G45" i="6"/>
  <c r="G106" i="6"/>
  <c r="F8" i="6"/>
  <c r="G8" i="6" s="1"/>
  <c r="F82" i="6"/>
  <c r="G82" i="6" s="1"/>
  <c r="F49" i="6"/>
  <c r="G49" i="6" s="1"/>
  <c r="F34" i="6"/>
  <c r="G34" i="6" s="1"/>
  <c r="F32" i="6" l="1"/>
  <c r="G32" i="6" s="1"/>
  <c r="F97" i="6"/>
  <c r="G97" i="6" s="1"/>
  <c r="F43" i="6"/>
  <c r="G43" i="6" s="1"/>
  <c r="F61" i="6"/>
  <c r="G61" i="6" s="1"/>
  <c r="F58" i="6" l="1"/>
  <c r="G58" i="6" s="1"/>
  <c r="F89" i="6"/>
  <c r="G89" i="6" s="1"/>
  <c r="F7" i="6"/>
  <c r="F40" i="6"/>
  <c r="G40" i="6" s="1"/>
  <c r="F76" i="6"/>
  <c r="G76" i="6" s="1"/>
  <c r="F51" i="6"/>
  <c r="G51" i="6" s="1"/>
  <c r="G7" i="6" l="1"/>
  <c r="F95" i="6"/>
  <c r="G95" i="6" s="1"/>
  <c r="F53" i="6"/>
  <c r="G53" i="6" s="1"/>
  <c r="F41" i="6" l="1"/>
  <c r="G41" i="6" l="1"/>
  <c r="F94" i="6" l="1"/>
  <c r="G94" i="6" s="1"/>
  <c r="F98" i="6" l="1"/>
  <c r="G98" i="6" s="1"/>
  <c r="F91" i="6"/>
  <c r="G91" i="6" s="1"/>
  <c r="F47" i="6" l="1"/>
  <c r="G47" i="6" l="1"/>
  <c r="F65" i="6"/>
  <c r="G65" i="6" s="1"/>
  <c r="F68" i="6" l="1"/>
  <c r="G68" i="6" l="1"/>
  <c r="G111" i="6" s="1"/>
  <c r="C18" i="17" s="1"/>
  <c r="C22" i="17" s="1"/>
  <c r="F111" i="6"/>
</calcChain>
</file>

<file path=xl/sharedStrings.xml><?xml version="1.0" encoding="utf-8"?>
<sst xmlns="http://schemas.openxmlformats.org/spreadsheetml/2006/main" count="11420" uniqueCount="5928">
  <si>
    <t>ت</t>
  </si>
  <si>
    <t>(اسم المادة )</t>
  </si>
  <si>
    <t>(Subject Name)</t>
  </si>
  <si>
    <t xml:space="preserve">  الوحدة    Unit</t>
  </si>
  <si>
    <t>Rate Per Unit  القيمة لكل وحدة</t>
  </si>
  <si>
    <t>الكمية    Qty</t>
  </si>
  <si>
    <t xml:space="preserve">Total Unit المجموع </t>
  </si>
  <si>
    <t>Total</t>
  </si>
  <si>
    <t xml:space="preserve">مخزن اثاث /Furniture Store </t>
  </si>
  <si>
    <t xml:space="preserve">اسم المادة </t>
  </si>
  <si>
    <t>Subject Name</t>
  </si>
  <si>
    <t>الوحدة   Unit</t>
  </si>
  <si>
    <t>Rate per Unit</t>
  </si>
  <si>
    <t>الكمية .Qty</t>
  </si>
  <si>
    <t>total</t>
  </si>
  <si>
    <t>مخزن سبالت / AC Unit store</t>
  </si>
  <si>
    <t>كيس نايلون كفر للقطع الداخلية</t>
  </si>
  <si>
    <t>AC cover Nylon inside</t>
  </si>
  <si>
    <t>بردة هواء 22*22*90</t>
  </si>
  <si>
    <t>Air Curtain 22*22*90</t>
  </si>
  <si>
    <t xml:space="preserve">بردة هواء 26*24.5*185 </t>
  </si>
  <si>
    <t>Air Curtain 26*24.5*185</t>
  </si>
  <si>
    <t>بردة هواء 27.5*22.5*156</t>
  </si>
  <si>
    <t>Air Curtain 27.5*22.5*165</t>
  </si>
  <si>
    <t>قاعدة سبلت قطعة خارجية 200كيلو</t>
  </si>
  <si>
    <t>Air Conditioner Bracket</t>
  </si>
  <si>
    <t xml:space="preserve">مبردة هوائية كري FM-1.251k </t>
  </si>
  <si>
    <t>Air Curtain Gree 120cm</t>
  </si>
  <si>
    <t>قاعدة تعليق سبالت خارجية L</t>
  </si>
  <si>
    <t>Base OutSide AC Siplet</t>
  </si>
  <si>
    <t xml:space="preserve">قاعدة ريموت كنترول سبالت كري </t>
  </si>
  <si>
    <t>Base Remote Control Split AC</t>
  </si>
  <si>
    <t>قنينة  سبلت منظف  داستي</t>
  </si>
  <si>
    <t>Bottle Split Cleaner dasty</t>
  </si>
  <si>
    <t>عواجة بوري سبلت 1/2</t>
  </si>
  <si>
    <t>Carvuture Pipe Split AC 1/2</t>
  </si>
  <si>
    <t>عواجة بوري سبلت 3/4</t>
  </si>
  <si>
    <t>Carvuture Pipe Split AC 3/4</t>
  </si>
  <si>
    <t>عواجة بوري سبلت 3/8</t>
  </si>
  <si>
    <t>Carvuture Pipe Split AC 3/8</t>
  </si>
  <si>
    <t>عواجة بوري سبلت 5/8</t>
  </si>
  <si>
    <t>Carvuture Pipe Split AC 5/8</t>
  </si>
  <si>
    <t>سبرينك تعويج 1/2"</t>
  </si>
  <si>
    <t>Carvuture Spring 1/2"</t>
  </si>
  <si>
    <t xml:space="preserve">سبرينك تعويج 1/4" </t>
  </si>
  <si>
    <t>Carvuture Spring 1/4"</t>
  </si>
  <si>
    <t xml:space="preserve">سبرينك تعويج 3/4" </t>
  </si>
  <si>
    <t>Carvuture Spring 3/4"</t>
  </si>
  <si>
    <t>كونديسر سبالت</t>
  </si>
  <si>
    <t>Condenser AC Unit Capacitor</t>
  </si>
  <si>
    <t>تحويلة غاز 410</t>
  </si>
  <si>
    <t>Conversion Gas  R410</t>
  </si>
  <si>
    <t>قنينة غاز صغيرة طبخ</t>
  </si>
  <si>
    <t xml:space="preserve">Fill Gas Small Bottle </t>
  </si>
  <si>
    <t>قنينة غاز  سبلت   134a</t>
  </si>
  <si>
    <t>Gas R134A 13.6K</t>
  </si>
  <si>
    <t>غاز سبالت فوران مع قفل اصلي اكريما</t>
  </si>
  <si>
    <t xml:space="preserve">Gas R134A Foran 1K +Stop Valve </t>
  </si>
  <si>
    <t>غاز 141</t>
  </si>
  <si>
    <t>Gas R141 Galaxy</t>
  </si>
  <si>
    <t>قنينة غاز  سبلت   R22</t>
  </si>
  <si>
    <t>Gas R22 . Split Gas Bottle</t>
  </si>
  <si>
    <t>غاز 410</t>
  </si>
  <si>
    <t>Gas R410 13.6K</t>
  </si>
  <si>
    <t>مكينة لحيم ومقص بوراري</t>
  </si>
  <si>
    <t>Gas Welding &amp; Cutting Pipe AC</t>
  </si>
  <si>
    <t>كيج سبلت (مقياس)مستعمل</t>
  </si>
  <si>
    <t>Gauge Split AC</t>
  </si>
  <si>
    <t>عازل اسود بوري سبالت 180 سم 4\3</t>
  </si>
  <si>
    <t>Insulation Black Pure Spalt 180 cm 3/4</t>
  </si>
  <si>
    <t>عازل بوري اسود 1/2" 180سم</t>
  </si>
  <si>
    <t>Insulator Pipe AC 1/2" 180cm</t>
  </si>
  <si>
    <t>عازل بوري اسود 1/4" 180سم</t>
  </si>
  <si>
    <t>Insulator Pipe AC 1/4" 180cm</t>
  </si>
  <si>
    <t>عازل بوري اسود 3/8 " 180سم</t>
  </si>
  <si>
    <t>Insulator Pipe AC 3/8" 180cm</t>
  </si>
  <si>
    <t>عازل بوري اسود 5/8" 180سم</t>
  </si>
  <si>
    <t>Insulator Pipe AC 5/8" 180cm</t>
  </si>
  <si>
    <t>معجون سبالت</t>
  </si>
  <si>
    <t>Paste AC</t>
  </si>
  <si>
    <t xml:space="preserve">باندج سبالت  </t>
  </si>
  <si>
    <t xml:space="preserve">Pipe Bandage AC </t>
  </si>
  <si>
    <t>طخم بواري  2 طن 5م</t>
  </si>
  <si>
    <t>Pipe Roll AC 2 Ton 5mt</t>
  </si>
  <si>
    <t>طخم بواري  5 طن 5م</t>
  </si>
  <si>
    <t>Pipe Roll AC 5 Ton 5mt</t>
  </si>
  <si>
    <t>TON 1.5 طخم بواري  5م</t>
  </si>
  <si>
    <t xml:space="preserve">حلقة بواري بلاستيك </t>
  </si>
  <si>
    <t>Plastic Pipe Ring</t>
  </si>
  <si>
    <t>منظف راديتر 3.78لتر</t>
  </si>
  <si>
    <t>Raditor Cleaner 3.78Lt</t>
  </si>
  <si>
    <t>كونترول سبلت</t>
  </si>
  <si>
    <t xml:space="preserve">Remote Control Split AC </t>
  </si>
  <si>
    <t>مقص بواري</t>
  </si>
  <si>
    <t>Scissors Pipe AC Split 14-20mm</t>
  </si>
  <si>
    <t xml:space="preserve"> حساس سبلت سامسونك 4طن</t>
  </si>
  <si>
    <t xml:space="preserve">Sinsor Split Unit AC SAMSUNG  4Ton </t>
  </si>
  <si>
    <t>قنينة غاز لحيم سبالت</t>
  </si>
  <si>
    <t>Small Bottle Gas For Welding Pipe</t>
  </si>
  <si>
    <t>سبلت توسوت 1طن</t>
  </si>
  <si>
    <t>Split AC Tosot Wall Inverter 1t</t>
  </si>
  <si>
    <t xml:space="preserve">سبلت كري انفيرتر كامل 2طن </t>
  </si>
  <si>
    <t>Split Gree Inverter Complete 2 Ton</t>
  </si>
  <si>
    <t>سبلت توسوت سقفي 2.5 طن كامل</t>
  </si>
  <si>
    <t>split roof split 2.5tons full</t>
  </si>
  <si>
    <t>سبلت سامسونك 1.5طن</t>
  </si>
  <si>
    <t>Split Unit AC  SAMSUNG  1.5Ton</t>
  </si>
  <si>
    <t>سبلت سامسونك 1طن</t>
  </si>
  <si>
    <t>Split Unit AC  SAMSUNG  1Ton</t>
  </si>
  <si>
    <t>سبلت يورك 1طن</t>
  </si>
  <si>
    <t>Split Unit AC  YORK  1Ton</t>
  </si>
  <si>
    <t>سبلت كري 2طن</t>
  </si>
  <si>
    <t>Split Unit AC Cassette Gree 2To</t>
  </si>
  <si>
    <t>سبلت جنيرال كولد 2طن</t>
  </si>
  <si>
    <t xml:space="preserve">Split Unit AC GENERAL GOLD  2Ton </t>
  </si>
  <si>
    <t>سبلت جنيرال شاكار 1.5طن</t>
  </si>
  <si>
    <t xml:space="preserve">Split Unit AC GENERAL SHKAR  1.5Ton </t>
  </si>
  <si>
    <t>سبلت جنيرال شاكار 1طن</t>
  </si>
  <si>
    <t xml:space="preserve">Split Unit AC GENERAL SHKAR  1Ton </t>
  </si>
  <si>
    <t>سبلت جنيرال شاكار 2طن</t>
  </si>
  <si>
    <t xml:space="preserve">Split Unit AC GENERAL SHKAR  2Ton </t>
  </si>
  <si>
    <t xml:space="preserve">وحدة خارجية سبلت 1.5طن </t>
  </si>
  <si>
    <t xml:space="preserve">Split Unit AC Outside 1.5Ton </t>
  </si>
  <si>
    <t xml:space="preserve">وحدة خارجية سبلت 1طن </t>
  </si>
  <si>
    <t xml:space="preserve">Split Unit AC Outside 1Ton </t>
  </si>
  <si>
    <t>منظف راديتر بخاخ</t>
  </si>
  <si>
    <t xml:space="preserve">Spray Raditor Cleaner </t>
  </si>
  <si>
    <t>واير لحيم بواري</t>
  </si>
  <si>
    <t>Wire Welding AC harris</t>
  </si>
  <si>
    <t>الوحدة Unit</t>
  </si>
  <si>
    <t>الكمية Qty</t>
  </si>
  <si>
    <t>Roll</t>
  </si>
  <si>
    <t xml:space="preserve">Electrical Equipments Store - مخزن مواد الكهرباء </t>
  </si>
  <si>
    <t xml:space="preserve">كيبل منظومة حريق </t>
  </si>
  <si>
    <t>Alarm Cable 1 2 1.5 0.80 FE180</t>
  </si>
  <si>
    <t>No.</t>
  </si>
  <si>
    <t>زاوية حمالة تراي كيبل 10سم</t>
  </si>
  <si>
    <t>Angle Handle Iron Trunking Cable 10cm</t>
  </si>
  <si>
    <t xml:space="preserve">تيرمينال حلقي وشوكي ملون مختلف الاحجام </t>
  </si>
  <si>
    <t>Annular&amp;Fork Terminal Different Size</t>
  </si>
  <si>
    <t>مانع صواعق</t>
  </si>
  <si>
    <t>Anti Strom</t>
  </si>
  <si>
    <t>اوتوماتيك  سخان برادفورد</t>
  </si>
  <si>
    <t>Automatic Boilar (Brad Ford) 200v-240v</t>
  </si>
  <si>
    <t>افوميتر</t>
  </si>
  <si>
    <t xml:space="preserve">Avometer </t>
  </si>
  <si>
    <t>هيتر سخان عارضة</t>
  </si>
  <si>
    <t>Bain Marie Heater</t>
  </si>
  <si>
    <t xml:space="preserve">قاعدة كلفنايز لتثبيت عازل بازبار2*6*2 سمك2ملم </t>
  </si>
  <si>
    <t>Base Base Galvanis For Isolated Bus-Bar 2*6*2</t>
  </si>
  <si>
    <t>قاعدة تثبيت تراي كيبل ارضي 16سم</t>
  </si>
  <si>
    <t xml:space="preserve">Base Cable Trunking Ground 16cm Iron </t>
  </si>
  <si>
    <t>قاعدة تثبيت تراي كيبل ارضي 10سم</t>
  </si>
  <si>
    <t>Base Cable Trunking ground Iron 10cm</t>
  </si>
  <si>
    <t>قاعدة تثبيت تراي كيبل جداري 10سم</t>
  </si>
  <si>
    <t>Base Cable Trunking Wall 10cm</t>
  </si>
  <si>
    <t>قاعدة تثبيت تراي كيبل جداري 20سم</t>
  </si>
  <si>
    <t>Base Cable Trunking Wall 20cm</t>
  </si>
  <si>
    <t>قاعدة تثبيت تراي كيبل جداري 30سم</t>
  </si>
  <si>
    <t>Base Cable Trunking Wall 30cm</t>
  </si>
  <si>
    <t>قاعدة شمعة 4قدم لوسيكو</t>
  </si>
  <si>
    <t>Base Candle LED 4Foot losco</t>
  </si>
  <si>
    <t>قاعدة تراي كيبل حديد 40سم</t>
  </si>
  <si>
    <t>Base Iron Cable Trunking 40cm</t>
  </si>
  <si>
    <t>قاعدة ليد 60*60 بي جي</t>
  </si>
  <si>
    <t>Base LED BG 60*60Cm 40W</t>
  </si>
  <si>
    <t>قاعدة ليد 60*60 لوسيكو</t>
  </si>
  <si>
    <t>Base LED Loceco 60*60Cm 40W</t>
  </si>
  <si>
    <t>باتري 9فولت</t>
  </si>
  <si>
    <t>Battery 9V</t>
  </si>
  <si>
    <t>باتري لايت شحن</t>
  </si>
  <si>
    <t>Battery charging light</t>
  </si>
  <si>
    <t>بارتي ديوراسيل</t>
  </si>
  <si>
    <t>Battery duracell 2</t>
  </si>
  <si>
    <t>بارتي جهاز لاسلكي</t>
  </si>
  <si>
    <t>Battery Motorella HNN9008A</t>
  </si>
  <si>
    <t xml:space="preserve">ساحبة صناعية </t>
  </si>
  <si>
    <t>Big Ventilator Industrial 55.5*55.5cm</t>
  </si>
  <si>
    <t>واير اسود 1.5 ملم</t>
  </si>
  <si>
    <t>Black  Wire 1.5mm</t>
  </si>
  <si>
    <t>Roll.</t>
  </si>
  <si>
    <t>كيبل اسود عادي 1*240 ملم</t>
  </si>
  <si>
    <t>Black Cable  1*240mm</t>
  </si>
  <si>
    <t>كيبل اسود عادي 4*5 ملم</t>
  </si>
  <si>
    <t>Black Cable  4*5mm</t>
  </si>
  <si>
    <t>Mt</t>
  </si>
  <si>
    <t>كيبل اسود عادي 4*70 ملم</t>
  </si>
  <si>
    <t>Black Cable  4*70mm</t>
  </si>
  <si>
    <t>كيبل اسود عادي 5*10 ملم</t>
  </si>
  <si>
    <t>Black Cable  5*10mm</t>
  </si>
  <si>
    <t>كيبل اسود عادي 5*2.5 ملم</t>
  </si>
  <si>
    <t>Black Cable  5*2.5mm Berly</t>
  </si>
  <si>
    <t>كيبل اسود عادي 5*70 ملم</t>
  </si>
  <si>
    <t>Black Cable  5*70mm</t>
  </si>
  <si>
    <t>كيبل اسود عادي 5*95 ملم</t>
  </si>
  <si>
    <t>Black Cable  5*95mm</t>
  </si>
  <si>
    <t>كيبل اسود مسلح 1*150 ملم</t>
  </si>
  <si>
    <t>Black Cable 1*150mm  XLPE</t>
  </si>
  <si>
    <t>كيبل اسود عادي 3*1.5 ملم</t>
  </si>
  <si>
    <t>Black Cable 3*1.5mm Berly</t>
  </si>
  <si>
    <t>كيبل اسود عادي 5 *1.5 ملم</t>
  </si>
  <si>
    <t xml:space="preserve">Black Cable 5 *1.5mm </t>
  </si>
  <si>
    <t>كيبل اسود عادي  3*2.5 ملم</t>
  </si>
  <si>
    <t>Black Cable 3*2.5mm Mardeen</t>
  </si>
  <si>
    <t>كيبل اسود عادي 3*2.5 ملم</t>
  </si>
  <si>
    <t>Black Cable 3*2.5mm</t>
  </si>
  <si>
    <t xml:space="preserve">Black Cable 5*2.5mm </t>
  </si>
  <si>
    <t>كيبل اسود عادي 3*10 ملم</t>
  </si>
  <si>
    <t>Black Cable 3*10mm</t>
  </si>
  <si>
    <t>كيبل اسود عادي 3*4 ملم</t>
  </si>
  <si>
    <t>Black Cable 3*4mm</t>
  </si>
  <si>
    <t>كيبل اسود مسلح 3*6 ملم</t>
  </si>
  <si>
    <t>Black Cable 3*6mm  XPLE</t>
  </si>
  <si>
    <t>كيبل اسود مسلح 4*120 ملم</t>
  </si>
  <si>
    <t>Black Cable 4*120mm Ryad XLPE</t>
  </si>
  <si>
    <t>كيبل اسود عادي  4*16 ملم</t>
  </si>
  <si>
    <t>Black Cable 4*16 mm</t>
  </si>
  <si>
    <t>كيبل اسود عادي 4*25 ملم</t>
  </si>
  <si>
    <t xml:space="preserve">Black Cable 4*25mm </t>
  </si>
  <si>
    <t>كيبل اسود عادي  4*35 ملم</t>
  </si>
  <si>
    <t>Black Cable 4*35 mm</t>
  </si>
  <si>
    <t>كيبل اسود عادي 4*50 ملم</t>
  </si>
  <si>
    <t>Black Cable 4*50mm</t>
  </si>
  <si>
    <t>كيبل اسود عادي 5*4 ملم</t>
  </si>
  <si>
    <t xml:space="preserve">Black Cable 5*4mm </t>
  </si>
  <si>
    <t>Black Cable 4*70mm</t>
  </si>
  <si>
    <t>كيبل اسود عادي  4*95 ملم</t>
  </si>
  <si>
    <t>Black Cable 4*95mm</t>
  </si>
  <si>
    <t>كيبل اسود عادي 5 * 6 ملم</t>
  </si>
  <si>
    <t>Black Cable 5 * 6mm</t>
  </si>
  <si>
    <t>Black Cable 5*10mm</t>
  </si>
  <si>
    <t>كيبل اسود عادي  5*16 ملم</t>
  </si>
  <si>
    <t>Black Cable 5*16mm</t>
  </si>
  <si>
    <t>كيبل اسود عادي 5*35 ملم</t>
  </si>
  <si>
    <t>Black Cable 5*35mm</t>
  </si>
  <si>
    <t>كيبل اسود عادي 5*50 ملم</t>
  </si>
  <si>
    <t>Black Cable 5*50mm</t>
  </si>
  <si>
    <t>كيبل اسود مسلح  3*2.5</t>
  </si>
  <si>
    <t xml:space="preserve">Black Cable Armor 3*2.5mm </t>
  </si>
  <si>
    <t>كيبل اسود مسلح 3*16 ملم</t>
  </si>
  <si>
    <t>Black Cable Armor 3*16mm XLPE</t>
  </si>
  <si>
    <t>كيبل اسود مسلح 4* 95 ملم</t>
  </si>
  <si>
    <t>Black cable Armor 4* 95mm</t>
  </si>
  <si>
    <t>كيبل اسود مسلح 4*150 ملم</t>
  </si>
  <si>
    <t>Black Cable Armor 4*150mm</t>
  </si>
  <si>
    <t>كيبل اسود مسلح  4*185 ملم</t>
  </si>
  <si>
    <t xml:space="preserve">Black Cable Armor 4*185mm </t>
  </si>
  <si>
    <t>كيبل اسود مسلح 4*25 ملم</t>
  </si>
  <si>
    <t>Black Cable Armor 4*25mm HES XLPE</t>
  </si>
  <si>
    <t>كيبل اسود مسلح 4*300 ملم</t>
  </si>
  <si>
    <t>Black Cable Armor 4*300mm XLPE</t>
  </si>
  <si>
    <t>كيبل اسود مسلح  4*35 ملم</t>
  </si>
  <si>
    <t>Black Cable Armor 4*35mm XLPE</t>
  </si>
  <si>
    <t>كيبل اسود مسلح 4*50 ملم</t>
  </si>
  <si>
    <t>Black Cable Armor 4*50mm  XLPE</t>
  </si>
  <si>
    <t>كيبل اسود مسلح  5*4 ملم</t>
  </si>
  <si>
    <t>Black Cable Armor 5*4mm HES XLPE</t>
  </si>
  <si>
    <t>كيبل اسود مسلح 5*10 ملم</t>
  </si>
  <si>
    <t>Black Cable Armor 5*10mm HES XLPE</t>
  </si>
  <si>
    <t>كيبل اسود مسلح  5*25 ملم</t>
  </si>
  <si>
    <t xml:space="preserve">Black Cable Armor 5*25mm </t>
  </si>
  <si>
    <t>كيبل اسود مسلح  5*35 ملم</t>
  </si>
  <si>
    <t>Black Cable Armor 5*35mm</t>
  </si>
  <si>
    <t xml:space="preserve">Black Cable Armor 5*50mm </t>
  </si>
  <si>
    <t>كيبل اسود مسلح  5*6 ملم</t>
  </si>
  <si>
    <t>Black Cable Armor 5*6mm</t>
  </si>
  <si>
    <t>كلاند كيبل اسود بلاستك 25ملم</t>
  </si>
  <si>
    <t>Black Gland cable Plastic 25mm</t>
  </si>
  <si>
    <t>تيب حراري 3m</t>
  </si>
  <si>
    <t>Black Thermal Tape 3M 38mm</t>
  </si>
  <si>
    <t xml:space="preserve">تيب اسود 3M </t>
  </si>
  <si>
    <t>Black Vinyl Electrical Tape 3M</t>
  </si>
  <si>
    <t>كيبل  اسود لمكينة اللحيم 25ملم</t>
  </si>
  <si>
    <t>Black Welding Cable 25mm</t>
  </si>
  <si>
    <t>كيبل  اسود لمكينة اللحيم 35ملم</t>
  </si>
  <si>
    <t>Black Welding Cable 35mm</t>
  </si>
  <si>
    <t>واير احادي اسود  2.5ملم</t>
  </si>
  <si>
    <t>Black Wire 2.5mm</t>
  </si>
  <si>
    <t xml:space="preserve">واير احادي اسود 4ملم </t>
  </si>
  <si>
    <t>Black Wire 4mm</t>
  </si>
  <si>
    <t>واير احادي اسود 6 ملم</t>
  </si>
  <si>
    <t>Black Wire 6mm</t>
  </si>
  <si>
    <t xml:space="preserve">واير احادي اسود 10ملم </t>
  </si>
  <si>
    <t>Black Wire10mm</t>
  </si>
  <si>
    <t>بلاجتكور 80واط</t>
  </si>
  <si>
    <t>projector 80W</t>
  </si>
  <si>
    <t xml:space="preserve">بازبار ارضي لون ازرق </t>
  </si>
  <si>
    <t>Blue Bus-bar Ground</t>
  </si>
  <si>
    <t>واير احادي ازرق 1.5ملم</t>
  </si>
  <si>
    <t>Blue Wire 1.5mm</t>
  </si>
  <si>
    <t>Blue Wire 2.5mm</t>
  </si>
  <si>
    <t>واير احادي ازرق 4 ملم</t>
  </si>
  <si>
    <t>Blue Wire 4mm L.C kabl</t>
  </si>
  <si>
    <t>واير احادي ازرق 6 ملم</t>
  </si>
  <si>
    <t>Blue Wire 6mm</t>
  </si>
  <si>
    <t>واير احادي ازرق 10 ملم</t>
  </si>
  <si>
    <t>Blue Wire10mm</t>
  </si>
  <si>
    <t>بورد بلاستك فارغ</t>
  </si>
  <si>
    <t>Board Plastic 13*33*25cm</t>
  </si>
  <si>
    <t>برغي تراي كيبل حديد</t>
  </si>
  <si>
    <t>Bolt Iron Trunking Cable</t>
  </si>
  <si>
    <t>بوكس سويج بلك ارضي ليفنت</t>
  </si>
  <si>
    <t xml:space="preserve">Box Ground Switch Plug SCF-320 PP Levent </t>
  </si>
  <si>
    <t xml:space="preserve">بوكس سويج بلك دبل </t>
  </si>
  <si>
    <t>Box Switch Plug Double Single 4.5cm</t>
  </si>
  <si>
    <t>بوكس سويج بلك دبل سنكل عميق 4.5سم</t>
  </si>
  <si>
    <t xml:space="preserve">Box Switch Plug Single Double </t>
  </si>
  <si>
    <t>بوكس عدة</t>
  </si>
  <si>
    <t>Box tools iron Tolsen</t>
  </si>
  <si>
    <t>ذراع تراي كيبل حديد 22سم</t>
  </si>
  <si>
    <t>Bracket Support Trunking Cable 22cm</t>
  </si>
  <si>
    <t>ذراع تراي كيبل حديد 30سم</t>
  </si>
  <si>
    <t>Bracket Support Trunking Cable 30cm</t>
  </si>
  <si>
    <t>تيب جوزي 3m</t>
  </si>
  <si>
    <t>Brown Vinyl Electrical Tape 3M</t>
  </si>
  <si>
    <t>كلوب ليد 9واط</t>
  </si>
  <si>
    <t>Bulb LED BG 810 Lumen 9W=60W</t>
  </si>
  <si>
    <t>كلوب ليد 12 واط</t>
  </si>
  <si>
    <t>Bulb LED Energetic 12W</t>
  </si>
  <si>
    <t>Bulb LED Energetic 8W</t>
  </si>
  <si>
    <t xml:space="preserve">بلاجكتور سقفي ليد 150واط </t>
  </si>
  <si>
    <t>Bulb LED Robus RSN15050DAS-04 150W</t>
  </si>
  <si>
    <t>تيب ازرق 3m</t>
  </si>
  <si>
    <t>Bule Vinyl Electrical Tape 3M</t>
  </si>
  <si>
    <t>بازبار جوزات 3فيز 125 امبير</t>
  </si>
  <si>
    <t>Bus-Bar 1mt 125A 3P</t>
  </si>
  <si>
    <t>بازبار نحاس سمك 5ملم عرض 4سم طول 11.3متر</t>
  </si>
  <si>
    <t>Bus-Bar 5mm 3cm 11.3mt</t>
  </si>
  <si>
    <t>عازل بازبار احمر 5سم</t>
  </si>
  <si>
    <t>Bus-bar Insulator SM-51 5cm</t>
  </si>
  <si>
    <t>بطلس 1.5ملم</t>
  </si>
  <si>
    <t>Butless 1.5mm</t>
  </si>
  <si>
    <t>Pack.</t>
  </si>
  <si>
    <t>بطلس 16 ملم</t>
  </si>
  <si>
    <t>Butless 16mm</t>
  </si>
  <si>
    <t>بطلس 2.5ملم</t>
  </si>
  <si>
    <t xml:space="preserve">Butless 2.5mm </t>
  </si>
  <si>
    <t>بطلس 4 ملم</t>
  </si>
  <si>
    <t xml:space="preserve">Butless 4mm  (Wire lugs) </t>
  </si>
  <si>
    <t>بطلس 6 ملم</t>
  </si>
  <si>
    <t>Butless 6mm</t>
  </si>
  <si>
    <t>بطلس 10 ملم</t>
  </si>
  <si>
    <t xml:space="preserve">Butless 10mm  (Wire lugs) </t>
  </si>
  <si>
    <t>كيبل مسلح 1*300 ملم</t>
  </si>
  <si>
    <t xml:space="preserve">Cable Armor 1*300mm </t>
  </si>
  <si>
    <t>كيبل مسلح 3*10ملم</t>
  </si>
  <si>
    <t>Cable Armor 3*10mm</t>
  </si>
  <si>
    <t>كيبل مسلح 3*4ملم</t>
  </si>
  <si>
    <t>Cable Armor 3*4 XLPE Hes</t>
  </si>
  <si>
    <t>كيبل مسلح 3*6ملم</t>
  </si>
  <si>
    <t>Cable Armor 3*6 XLPE</t>
  </si>
  <si>
    <t xml:space="preserve">كيبل مسلح  4*120ملم </t>
  </si>
  <si>
    <t>Cable Armor 4*120mm XLPE</t>
  </si>
  <si>
    <t>كيبل مسلح  4*240 ملم</t>
  </si>
  <si>
    <t>Cable Armor 4*240mm XLPE</t>
  </si>
  <si>
    <t>كيبل مسلح 4*70ملم</t>
  </si>
  <si>
    <t>Cable Armor 4*70mm XLPE</t>
  </si>
  <si>
    <t>كيبل مسلح 5*120ملم</t>
  </si>
  <si>
    <t>Cable Armor 5*120mm XLPE</t>
  </si>
  <si>
    <t>كيبل مسلح 5*16ملم</t>
  </si>
  <si>
    <t>Cable Armor 5*16MM XLPE</t>
  </si>
  <si>
    <t xml:space="preserve">كيبل مسلح </t>
  </si>
  <si>
    <t>Cable Armor 5*2.5mm Xlpe</t>
  </si>
  <si>
    <t>كيبل مسلح</t>
  </si>
  <si>
    <t>Cable Black Stranded 1*120mm</t>
  </si>
  <si>
    <t xml:space="preserve">كونكتر قفيص نحاس ذهبي 2برغي لربط الكيبلات </t>
  </si>
  <si>
    <t>Cable Copper Clamp 2screw</t>
  </si>
  <si>
    <t xml:space="preserve">جهاز فحص عمق الكابل </t>
  </si>
  <si>
    <t>Cable Depth Tester</t>
  </si>
  <si>
    <t>جوين كيبل 1*150ملم مع انبوب ثمبل قياس 150 ملم</t>
  </si>
  <si>
    <t>Cable joint 1*150mm model 3m with thumple tube 150mm</t>
  </si>
  <si>
    <t>جوين كيبل 1*50ملم مع انبوب ثمبل قياس 50 ملم</t>
  </si>
  <si>
    <t>Cable joint 4*50mm model 3m with thumple tube 50mm</t>
  </si>
  <si>
    <t>كابسة بطلس كبيرة</t>
  </si>
  <si>
    <t>Cable Lug Crimping 4-16mm Butless</t>
  </si>
  <si>
    <t xml:space="preserve">شناطة ستيل لربط تراي كيبل 30سم </t>
  </si>
  <si>
    <t>Cable Tie Steel 30cm</t>
  </si>
  <si>
    <t xml:space="preserve">شناطة ستيل لربط تراي كيبل 35سم </t>
  </si>
  <si>
    <t>Cable Tie Steel 35cm (Flange)</t>
  </si>
  <si>
    <t>شناطة ستيل 6"  قفيص</t>
  </si>
  <si>
    <t>Cable Tie Steel 6" (Flange)</t>
  </si>
  <si>
    <t>نقطة اتصال لمنظومات الحرائق</t>
  </si>
  <si>
    <t>Call Point LF-MCP-6203</t>
  </si>
  <si>
    <t>شمعة ليد 4قدم بي جي</t>
  </si>
  <si>
    <t>Candle LED 4Feet BG 2*20w</t>
  </si>
  <si>
    <t>سيار كهرباء بي جي بكرة 25م</t>
  </si>
  <si>
    <t>Cassette Cable Socket BG 25mt</t>
  </si>
  <si>
    <t>تايمر 24 ساعة هاجر 230فولط</t>
  </si>
  <si>
    <t>Chargable Time Switch 24Hours Hager</t>
  </si>
  <si>
    <t>جوزة شنادير احادي 25 امبير</t>
  </si>
  <si>
    <t>Circuit Breaker  1P 25A 30° Sch</t>
  </si>
  <si>
    <t>Circuit Breaker  1P 25A 50° Sch</t>
  </si>
  <si>
    <t>جوزة شنادير ثنائي 25 امبير</t>
  </si>
  <si>
    <t>Circuit Breaker  2P 25A  30° sc</t>
  </si>
  <si>
    <t>جوزة شنادير ثنائي 32 امبير</t>
  </si>
  <si>
    <t>Circuit Breaker  2P 32A  30° sc</t>
  </si>
  <si>
    <t>Circuit Breaker  2P 32A  50° sc</t>
  </si>
  <si>
    <t>جوزة شنادير ثلاثي 20 امبير</t>
  </si>
  <si>
    <t>Circuit Breaker  3P 20A  30° sc</t>
  </si>
  <si>
    <t>جوزة شنادير ثلاثي 25 امبير</t>
  </si>
  <si>
    <t>Circuit Breaker  3P 25A  30° sc</t>
  </si>
  <si>
    <t>جوزة شنادير رباعي 63 امبير</t>
  </si>
  <si>
    <t>Circuit Breaker  4P 63A  30° schneider</t>
  </si>
  <si>
    <t>Circuit Breaker  4P 63A  50° schneider</t>
  </si>
  <si>
    <t>جوزة شنادير احادي 10 امبير</t>
  </si>
  <si>
    <t xml:space="preserve">Circuit Breaker 1P 10A  50° Schneider </t>
  </si>
  <si>
    <t>Circuit Breaker 1P 10A 30° Schneider</t>
  </si>
  <si>
    <t>جوزة شنادير احادي 16 امبير</t>
  </si>
  <si>
    <t xml:space="preserve">Circuit Breaker 1P 16A 30° Schneider </t>
  </si>
  <si>
    <t xml:space="preserve">Circuit Breaker 1P 16A 50° Schneider  </t>
  </si>
  <si>
    <t>جوزة شنادير احادي 20 امبير</t>
  </si>
  <si>
    <t xml:space="preserve">Circuit Breaker 1P 20A  30° Schneider </t>
  </si>
  <si>
    <t>Circuit Breaker 1P 20A  50° Schneider</t>
  </si>
  <si>
    <t>جوزة شنادير احادي 32 امبير</t>
  </si>
  <si>
    <t>Circuit Breaker 1P 32A 30° Schneider</t>
  </si>
  <si>
    <t>Circuit Breaker 1P 32A 50° Schneider</t>
  </si>
  <si>
    <t>جوزة شنادير احادي 40 امبير</t>
  </si>
  <si>
    <t>Circuit Breaker 1P 40A 30° Schneider</t>
  </si>
  <si>
    <t>Circuit Breaker 1P 40A 50° Schneider</t>
  </si>
  <si>
    <t>جوزة شنادير احادي 6 امبير</t>
  </si>
  <si>
    <t>Circuit Breaker 1P 6A 30° Schneider</t>
  </si>
  <si>
    <t>جوزة شنادير ثنائي 10 امبير</t>
  </si>
  <si>
    <t>Circuit Breaker 2P 10A 50° Schneider</t>
  </si>
  <si>
    <t>جوزة شنادير ثنائي 16 امبير</t>
  </si>
  <si>
    <t xml:space="preserve">Circuit Breaker 2P 16A 50° schneider </t>
  </si>
  <si>
    <t>جوزة شنادير ثنائي 20 امبير</t>
  </si>
  <si>
    <t xml:space="preserve">Circuit Breaker 2P 20A 50° Schneider </t>
  </si>
  <si>
    <t>Circuit Breaker 2P 25A 50° Schneider</t>
  </si>
  <si>
    <t>جوزة شنادير ثنائي 40 امبير</t>
  </si>
  <si>
    <t>Circuit Breaker 2P 40A 30° Schneider</t>
  </si>
  <si>
    <t>جوزة شنادير ثلاثي 100 امبير</t>
  </si>
  <si>
    <t>Circuit Breaker 3P 100A °50 Shneider</t>
  </si>
  <si>
    <t>جوزة شنادير ثلاثي 16 امبير</t>
  </si>
  <si>
    <t>Circuit Breaker 3P 16A 30° schneider</t>
  </si>
  <si>
    <t>Circuit Breaker 3P 16A 50° Schneider</t>
  </si>
  <si>
    <t xml:space="preserve">Circuit Breaker 3P 20A 50° Schneider </t>
  </si>
  <si>
    <t xml:space="preserve">Circuit Breaker 3P 25A 50° Schneider </t>
  </si>
  <si>
    <t>جوزة شنادير ثلاثي 32 امبير</t>
  </si>
  <si>
    <t>Circuit Breaker 3P 32A 50° Schneider</t>
  </si>
  <si>
    <t>جوزة شنادير ثلاثي 40 امبير</t>
  </si>
  <si>
    <t>Circuit Breaker 3P 40A 30° Schneider</t>
  </si>
  <si>
    <t>Circuit Breaker 3P 40A 50° Schneider</t>
  </si>
  <si>
    <t>جوزة شنادير ثلاثي 63 امبير</t>
  </si>
  <si>
    <t>Circuit Breaker 3P 63A 50° Schneider</t>
  </si>
  <si>
    <t>جوزة شنادير رباعي 25 امبير</t>
  </si>
  <si>
    <t xml:space="preserve">Circuit Breaker 4P 25A 50° Schneider </t>
  </si>
  <si>
    <t>جوزة شنادير رباعي 32 امبير</t>
  </si>
  <si>
    <t xml:space="preserve">Circuit Breaker 4P 32A 50° Schneider </t>
  </si>
  <si>
    <t>جوزة شنادير رباعي 40 امبير</t>
  </si>
  <si>
    <t>Circuit Breaker 4P 40A 30° Schneider</t>
  </si>
  <si>
    <t>Circuit Breaker 4P 40A 50° Schneider</t>
  </si>
  <si>
    <t>قبغ  ابيض مكان جوزة في البورد</t>
  </si>
  <si>
    <t>Circuit Breaker Cover White plastic Board</t>
  </si>
  <si>
    <t>جوزة شنادير رباعي 100 امبير</t>
  </si>
  <si>
    <t>Circuit Breaker Shnider  4P 100A 50°</t>
  </si>
  <si>
    <t>جوزة شنادير رباعي 50 امبير</t>
  </si>
  <si>
    <t>Circuit Breaker Shnider 4P 50A 50°</t>
  </si>
  <si>
    <t>بازبار جوزات سنكل فيز 63 امبير</t>
  </si>
  <si>
    <t>Circuit Bus-Bar 1P 63A</t>
  </si>
  <si>
    <t>Circuit Holder 1m</t>
  </si>
  <si>
    <t>سبوت لايت دائري 20واط هوروز</t>
  </si>
  <si>
    <t xml:space="preserve">Circular Light LED 20W Horoz 4200k </t>
  </si>
  <si>
    <t>سبوت لايت دائري 18 واط ان زت</t>
  </si>
  <si>
    <t>Circular Light LED 18W NZ</t>
  </si>
  <si>
    <t>سبوت لايت دائري 6 واط ان زت</t>
  </si>
  <si>
    <t>Circular Light LED 6W NZ</t>
  </si>
  <si>
    <t xml:space="preserve">سبوت لايت دائري 15 واط بليسان </t>
  </si>
  <si>
    <t xml:space="preserve">Circular Spout Light LED 15W Plesan 17.5cm </t>
  </si>
  <si>
    <t>قفيص شيش ارضي 16ملم</t>
  </si>
  <si>
    <t>Clamp Ground Rod 16mm</t>
  </si>
  <si>
    <t>كلامب ميتر</t>
  </si>
  <si>
    <t>Clamp Meter</t>
  </si>
  <si>
    <t>قفيص شيش ارضي 20ملم</t>
  </si>
  <si>
    <t>Clamp Rod Ground 20mm</t>
  </si>
  <si>
    <t>قفيص شيش ارضي 20ملم 2برغي</t>
  </si>
  <si>
    <t>Clamp Rod Ground U 2"(2 Screow)</t>
  </si>
  <si>
    <t>قفيص واير 1.5*2ملم</t>
  </si>
  <si>
    <t>Clamp Wire 1.5*2mm</t>
  </si>
  <si>
    <t>قفيص واير2.5*3ملم</t>
  </si>
  <si>
    <t xml:space="preserve">Clamp Wire 2.5*3mm  </t>
  </si>
  <si>
    <t xml:space="preserve">قفيص واير بلاستيك 8ملم </t>
  </si>
  <si>
    <t>Clamp Wire Plastic 8mm</t>
  </si>
  <si>
    <t>سبرينك تعويج 20ملم</t>
  </si>
  <si>
    <t>Conduit Spring 20mm</t>
  </si>
  <si>
    <t>سبرينك تعويج 25ملم</t>
  </si>
  <si>
    <t>Conduit Spring 25mm</t>
  </si>
  <si>
    <t>سبرينك تعويج 32ملم</t>
  </si>
  <si>
    <t>Conduit Spring 32mm</t>
  </si>
  <si>
    <t>كونكتر ثانئي   WAGO 221-412</t>
  </si>
  <si>
    <t>Connector Couple WAGO 221-412</t>
  </si>
  <si>
    <t>Contactor Shineider 3P 125A LC1D80M5</t>
  </si>
  <si>
    <t>Contactor Shineider 3P 32A LC1D18M7</t>
  </si>
  <si>
    <t>Contactor Shineider 3P 40A LC1D25M7</t>
  </si>
  <si>
    <t>محولة بلاجكتور 400واط</t>
  </si>
  <si>
    <t>Convertor 400W</t>
  </si>
  <si>
    <t xml:space="preserve">قفيص شيش ارضي المنيوم  2برغي </t>
  </si>
  <si>
    <t>Copper Aluminum Clamp 2 Screw</t>
  </si>
  <si>
    <t>بازبار نحاس10*20سم 10ملم</t>
  </si>
  <si>
    <t>Copper Bus Bar 10mm 10*20cm</t>
  </si>
  <si>
    <t>بازبار نحاس5*40سم 10ملم</t>
  </si>
  <si>
    <t>Copper Bus Bar 10mm 5*40cm</t>
  </si>
  <si>
    <t xml:space="preserve">بازبار نحاس ارضي  سمك 3ملم عرض 25ملم </t>
  </si>
  <si>
    <t xml:space="preserve">Copper Bus Bar 3mm 25mm </t>
  </si>
  <si>
    <t xml:space="preserve">بازبار نحاس ارضي  سمك 5سم عرض 3سم </t>
  </si>
  <si>
    <t>Copper Bus Bar 5cm 3cm</t>
  </si>
  <si>
    <t>كونكتر نحاس مع غلاف (قفيص 2خط سلك نحاس)</t>
  </si>
  <si>
    <t>Copper Cable Clamp 2Line</t>
  </si>
  <si>
    <t xml:space="preserve">توصالة تراي كيبل حديد </t>
  </si>
  <si>
    <t>Coupling Iron Trunking Cable</t>
  </si>
  <si>
    <t>توصالة بوري بلاستك 32ملم</t>
  </si>
  <si>
    <t>Coupling Pipe Electric Plastic 32mm</t>
  </si>
  <si>
    <t>توصالة بوري بلاستك</t>
  </si>
  <si>
    <t>Coupling Pipe Electric plastic  50mm</t>
  </si>
  <si>
    <t>توصالة بوري حديد</t>
  </si>
  <si>
    <t xml:space="preserve">Coupling Pipe Electric Iron </t>
  </si>
  <si>
    <t>توصالة بوري حديد 25ملم</t>
  </si>
  <si>
    <t>Coupling Pipe Electric Iron 25mm EMT</t>
  </si>
  <si>
    <t>توصالة بوري حديد 32ملم</t>
  </si>
  <si>
    <t>Coupling Pipe Electric Iron 32mm</t>
  </si>
  <si>
    <t>توصالة بوري بلاستك 25 ملم</t>
  </si>
  <si>
    <t>Coupling Pipe Electric Plastic 25mm</t>
  </si>
  <si>
    <t>توصالة بوري بلاستك 20ملم</t>
  </si>
  <si>
    <t>Coupling Pipe Electric Plastic 20mm</t>
  </si>
  <si>
    <t xml:space="preserve">توصالة تراي كيبل بلاستيك نوع ثابت قطعة وحدة </t>
  </si>
  <si>
    <t>Coupling Trunking Plastic 5*10cm</t>
  </si>
  <si>
    <t>كفر حديد مطري  اعلى بورد</t>
  </si>
  <si>
    <t>Cover Iron Electric Board Waterproof 18line +24Line</t>
  </si>
  <si>
    <t>قبغ تراي كيبل حديد 10سم</t>
  </si>
  <si>
    <t>Cover Trunking Cable 10cm Iron 2.5m</t>
  </si>
  <si>
    <t>قبغ تراي كيبل حديد5سم</t>
  </si>
  <si>
    <t>Cover Trunking Cable 5cm Iron 2.5m</t>
  </si>
  <si>
    <t>قبغ تراي كيبل حديد 60سم</t>
  </si>
  <si>
    <t xml:space="preserve">cover Trunking Cable 60cm Iron </t>
  </si>
  <si>
    <t>قبغ تراي كيبل حديد 20سم</t>
  </si>
  <si>
    <t>Cover Trunking Cable 20cm Iron 2.5m</t>
  </si>
  <si>
    <t>قبغ تراي كيبل حديد 30سم</t>
  </si>
  <si>
    <t>Cover Trunking Cable 30cm Iron 2.5m</t>
  </si>
  <si>
    <t>كابسة بطلس صغيرة</t>
  </si>
  <si>
    <t>Crimping Pliers 0.2-6mm Butless</t>
  </si>
  <si>
    <t>سيتي 60 امبير</t>
  </si>
  <si>
    <t>Current Transformer DSC-30 60A</t>
  </si>
  <si>
    <t xml:space="preserve">سيتي قراءة , وطني + مولدة </t>
  </si>
  <si>
    <t>Current Transformer meter</t>
  </si>
  <si>
    <t>سيتي 250 امبير</t>
  </si>
  <si>
    <t>Current Transformer MSQ-40 250A</t>
  </si>
  <si>
    <t>عكس تراي كيبل حديد 10سم</t>
  </si>
  <si>
    <t>Elbow Iron Trunking Cable 10cm</t>
  </si>
  <si>
    <t>عكس تراي كيبل حديد 20سم</t>
  </si>
  <si>
    <t>Elbow Iron Trunking Cable 20cm</t>
  </si>
  <si>
    <t>عكس تراي كيبل حديد 40سم</t>
  </si>
  <si>
    <t>Elbow Iron Trunking Cable 40cm 90°</t>
  </si>
  <si>
    <t>عكس بوري حديد  20ملم</t>
  </si>
  <si>
    <t>Elbow Pipe Iron 90° Electrical 1/2 EMT 20mm</t>
  </si>
  <si>
    <t>عكس بوري بلاستك 20ملم</t>
  </si>
  <si>
    <t>Elbow Pipe Plastic 20mm</t>
  </si>
  <si>
    <t>عكس بوري بلاستك 32ملم</t>
  </si>
  <si>
    <t>Elbow Pipe Plastic 32mm</t>
  </si>
  <si>
    <t xml:space="preserve">عكس بوري بلاستك 50ملم </t>
  </si>
  <si>
    <t>Elbow Pipe Plastic 50mm</t>
  </si>
  <si>
    <t xml:space="preserve">عكس تراي كيبل حديد 30سم </t>
  </si>
  <si>
    <t>Elbow Trunking Cable 30cm Iron</t>
  </si>
  <si>
    <t>عكس تراي كيبل حديد 60سم</t>
  </si>
  <si>
    <t xml:space="preserve">Elbow Trunking Cable 60cm Iron </t>
  </si>
  <si>
    <t>عكس تراي كيبل بلاستك 5*10سم</t>
  </si>
  <si>
    <t xml:space="preserve">Elbow Trunking-Cable 5 * 10 cm Plastic </t>
  </si>
  <si>
    <t>بورد بلاستك سكامي 12خط</t>
  </si>
  <si>
    <t>Electric Board 12 Line Plastic Scame</t>
  </si>
  <si>
    <t>بورد شنايدر 12 خط</t>
  </si>
  <si>
    <t>Electric Board 12L Schneider SEA9APN10</t>
  </si>
  <si>
    <t xml:space="preserve">بورد حديد شنايدر 18خط </t>
  </si>
  <si>
    <t>Electric Board 18L Schneider EZ9ER6MCU</t>
  </si>
  <si>
    <t>بورد بلاستك سكامي 24 خط</t>
  </si>
  <si>
    <t>Electric board 24Line Plastic Scame</t>
  </si>
  <si>
    <t>بورد حديد شنايدر 42 خط</t>
  </si>
  <si>
    <t>Electric Board 42L Schneider A9DBX342XNS250</t>
  </si>
  <si>
    <t>بورد حديد شنايدر 48 خط</t>
  </si>
  <si>
    <t xml:space="preserve">Electric Board 48L Schneider </t>
  </si>
  <si>
    <t>بورد بلاستك سكامي 8 خط</t>
  </si>
  <si>
    <t>Electric board 8 Line Plastic  Scame</t>
  </si>
  <si>
    <t xml:space="preserve">قانصة حشراء </t>
  </si>
  <si>
    <t>Electric Insect killer Ignite</t>
  </si>
  <si>
    <t>بورد بلاستك سكامي 16 خط</t>
  </si>
  <si>
    <t>Electrical Board 16line Plastic Scame</t>
  </si>
  <si>
    <t>بورد حديد تيمبا 36خط</t>
  </si>
  <si>
    <t>Electrical Board 36 line Iron</t>
  </si>
  <si>
    <t xml:space="preserve">ماطور مبردة كهربائي </t>
  </si>
  <si>
    <t>Electrical Pump For Air Cooler Electrogen</t>
  </si>
  <si>
    <t>تيب كهرباء جميع الالوان</t>
  </si>
  <si>
    <t>Electrical Tape</t>
  </si>
  <si>
    <t>زر طوارئ احمر</t>
  </si>
  <si>
    <t>Emergency Bush XB4-BS545</t>
  </si>
  <si>
    <t>بورد بلاستك فارغ 17*40*30سم</t>
  </si>
  <si>
    <t>Empty Box Plastic 17*40*30cm</t>
  </si>
  <si>
    <t>بورد بلاستك فارغ 60*40*20سم</t>
  </si>
  <si>
    <t>Empty Box Plastic 60*40*20cm</t>
  </si>
  <si>
    <t xml:space="preserve"> سويج فحص سويج بلك Fluke SM100 230V 50HZ </t>
  </si>
  <si>
    <t xml:space="preserve">Euvopean Plug Tester Fluke SM100 230V 50HZ </t>
  </si>
  <si>
    <t>علامة خروج</t>
  </si>
  <si>
    <t xml:space="preserve">Exit Sign Finder </t>
  </si>
  <si>
    <t>صافرة انذار خارجية</t>
  </si>
  <si>
    <t>External  Siren</t>
  </si>
  <si>
    <t xml:space="preserve">زاوية خارجية تراي كيبل بلاستك 5*10سم </t>
  </si>
  <si>
    <t>External Angle Trunking Cable 5 * 10 cm Plastic</t>
  </si>
  <si>
    <t>سويج انترنيت 61110-RE6 مع كفر BL186-P1W</t>
  </si>
  <si>
    <t xml:space="preserve">Extreme Cat6 Connector With Cover LEVITON </t>
  </si>
  <si>
    <t>مروحة ثلاجة 220فولط</t>
  </si>
  <si>
    <t>Fan Refrigerator Vmark Flow 172*150*50</t>
  </si>
  <si>
    <t>ماطور بان كويت 230فولط 50160H2 0.23A</t>
  </si>
  <si>
    <t>Fan Refrigerator 27cm Elco With Cover</t>
  </si>
  <si>
    <t xml:space="preserve">راس سيار ثلاثي نثية </t>
  </si>
  <si>
    <t>Female Outlet Extension 3 Line</t>
  </si>
  <si>
    <t>فيشة كرفان 3 بول 32 امبير نثية</t>
  </si>
  <si>
    <t>Female Socket  3P A32</t>
  </si>
  <si>
    <t>فيشة كرفان 5 بول 63 امبير نثية</t>
  </si>
  <si>
    <t>Female Socket  5P-63A</t>
  </si>
  <si>
    <t>فيشة كرفان 3 بول 63 امبير نثية</t>
  </si>
  <si>
    <t>Female Socket 3p-63A GEWISS</t>
  </si>
  <si>
    <t>فيشة كرفان 4 بول 63 امبير نثية</t>
  </si>
  <si>
    <t>Female Socket 4P-63A GW630052H</t>
  </si>
  <si>
    <t>فيشة كرفان 5 بول 32 امبير نثية</t>
  </si>
  <si>
    <t xml:space="preserve">Female Socket 5P-32A EC Electtro Canali </t>
  </si>
  <si>
    <t>قبغ نهائي تراي كيبل</t>
  </si>
  <si>
    <t xml:space="preserve">Final Cover Trunking Cable 5 * 10 cm Plastic </t>
  </si>
  <si>
    <t>كيبل منظومة حريق</t>
  </si>
  <si>
    <t>Fire Alarm Cable Erse 1*2*1.5+0.8mm 500mt</t>
  </si>
  <si>
    <t>كيبل منظومة حريق نوردن</t>
  </si>
  <si>
    <t>Fire Alarm Cable Norden 2*1.5mm 500mt</t>
  </si>
  <si>
    <t>Fire Alarm Cable Seckin 500mt</t>
  </si>
  <si>
    <t>حساس حرارة لمنظومة الحريق</t>
  </si>
  <si>
    <t>Fire Alarm Heat Detector LF-HD-6202</t>
  </si>
  <si>
    <t>بورد منظومة الحريق</t>
  </si>
  <si>
    <t>Fire Board Lichfield  Control Panel</t>
  </si>
  <si>
    <t>كلاند صوندة مسلح سخانات</t>
  </si>
  <si>
    <t>Flex Gland Hose Armor 3/4</t>
  </si>
  <si>
    <t>قداحة بارود (جرخ)</t>
  </si>
  <si>
    <t>Fling Lgnitor</t>
  </si>
  <si>
    <t xml:space="preserve">شمعة 4قدم فلورسنت فيليبس </t>
  </si>
  <si>
    <t>Fluorescent Lamp White Philips 36W</t>
  </si>
  <si>
    <t>جهاز فلوك (مقياس كهربائي)</t>
  </si>
  <si>
    <t>Fluke 1663 (used)</t>
  </si>
  <si>
    <t>Fork Type Terminal 2-4mm</t>
  </si>
  <si>
    <t>Fork Type Terminal  2.5 - 4mm</t>
  </si>
  <si>
    <t>Fork Type Terminal CK4002 M4 2.5mm</t>
  </si>
  <si>
    <t>كلاند كيبل مسلح 20 ملم</t>
  </si>
  <si>
    <t>Gland Cable Armor 20mm Recsan</t>
  </si>
  <si>
    <t>كلاند كيبل مسلح 25 ملم</t>
  </si>
  <si>
    <t>Gland Cable Armor 25mm</t>
  </si>
  <si>
    <t>كلاند كيبل مسلح 32 ملم</t>
  </si>
  <si>
    <t>Gland Cable Armor 32mm</t>
  </si>
  <si>
    <t>كلاند كيبل مسلح  40 ملم</t>
  </si>
  <si>
    <t xml:space="preserve">Gland Cable Armor 40mm </t>
  </si>
  <si>
    <t>كلاند كيبل مسلح  50 ملم</t>
  </si>
  <si>
    <t>Gland Cable Armor 50mm</t>
  </si>
  <si>
    <t>كلاند كيبل مسلح  63 ملم</t>
  </si>
  <si>
    <t>Gland Cable Armor 63mm</t>
  </si>
  <si>
    <t>كلاند كيبل مسلح  75 ملم</t>
  </si>
  <si>
    <t>Gland cable Armor 75mm</t>
  </si>
  <si>
    <t>كلاند كيبل بلاستك  11 ملم</t>
  </si>
  <si>
    <t>Gland Cable Plactic 11mm</t>
  </si>
  <si>
    <t>كلاند كيبل بلاستك  13.5 ملم</t>
  </si>
  <si>
    <t>Gland Cable Plactic 13.5mm</t>
  </si>
  <si>
    <t>كلاند كيبل بلاستك  16 ملم</t>
  </si>
  <si>
    <t>Gland Cable Plactic 16mm</t>
  </si>
  <si>
    <t>كلاند كيبل بلاستك  21 ملم</t>
  </si>
  <si>
    <t>Gland Cable Plactic 21mm</t>
  </si>
  <si>
    <t>كلاند كيبل بلاستك  29 ملم</t>
  </si>
  <si>
    <t>Gland Cable Plactic 29mm</t>
  </si>
  <si>
    <t>كلاند كيبل بلاستك  36 ملم</t>
  </si>
  <si>
    <t>Gland cable Plactic 36mm</t>
  </si>
  <si>
    <t>كلاند كيبل بلاستك  42 ملم</t>
  </si>
  <si>
    <t>Gland cable Plactic42mm</t>
  </si>
  <si>
    <t>كلاند كيبل بلاستك  48 ملم</t>
  </si>
  <si>
    <t>Gland cable Plactic 48mm</t>
  </si>
  <si>
    <t>كلاند كيبل بلاستك  19 ملم</t>
  </si>
  <si>
    <t>Gland Cable Plastic 19mm</t>
  </si>
  <si>
    <t>كلاند كيبل بلاستك  25 ملم</t>
  </si>
  <si>
    <t>Gland Cable Plastic 25mm</t>
  </si>
  <si>
    <t>كلاند كيبل بلاستك  9 ملم</t>
  </si>
  <si>
    <t>Gland cable Plastic 9mm</t>
  </si>
  <si>
    <t>كلاند كيبل ستيل  16 ملم</t>
  </si>
  <si>
    <t>Gland cable Steel 16mm</t>
  </si>
  <si>
    <t>كلاند كيبل ستيل  19 ملم</t>
  </si>
  <si>
    <t>Gland Cable Steel 19mm</t>
  </si>
  <si>
    <t>كلاند كيبل ستيل  21 ملم</t>
  </si>
  <si>
    <t>Gland Cable Steel 21mm</t>
  </si>
  <si>
    <t>كلاند كيبل ستيل 25 ملم</t>
  </si>
  <si>
    <t>Gland Cable Steel 25mm</t>
  </si>
  <si>
    <t>كلاند كيبل ستيل 29 ملم</t>
  </si>
  <si>
    <t>Gland Cable Steel 29mm</t>
  </si>
  <si>
    <t>كلاند كيبل ستيل 32 ملم</t>
  </si>
  <si>
    <t>Gland Cable Steel 32mm</t>
  </si>
  <si>
    <t>كلاند كيبل ستيل 36 ملم</t>
  </si>
  <si>
    <t>Gland Cable Steel 36mm</t>
  </si>
  <si>
    <t>كلاند كيبل ستيل 42 ملم</t>
  </si>
  <si>
    <t>Gland Cable Steel 42mm</t>
  </si>
  <si>
    <t>كلاند كيبل ستيل 48 ملم</t>
  </si>
  <si>
    <t>Gland Cable Steel 48mm</t>
  </si>
  <si>
    <t>كلاند كيبل ستيل 63 ملم</t>
  </si>
  <si>
    <t>Gland Cable Steel 63mm</t>
  </si>
  <si>
    <t>كلاند بوري حديد 20ملم</t>
  </si>
  <si>
    <t>Gland Pipe Iron Electrical 1/2 EMT 20mm</t>
  </si>
  <si>
    <t xml:space="preserve">Gland Pipe Iron Electrical 3/4 EMT </t>
  </si>
  <si>
    <t>واير رصاصي 4ملم</t>
  </si>
  <si>
    <t>Gray Wire 4mm</t>
  </si>
  <si>
    <t>بازبار اخضر 8 خط</t>
  </si>
  <si>
    <t>Green Bus-bar Ground</t>
  </si>
  <si>
    <t>كيبل ارضي 150ملم</t>
  </si>
  <si>
    <t>Ground Cable  150mm</t>
  </si>
  <si>
    <t xml:space="preserve">Ground Cable 1*70mm </t>
  </si>
  <si>
    <t>Ground Cable 120mm</t>
  </si>
  <si>
    <t xml:space="preserve">Ground Cable 25mm </t>
  </si>
  <si>
    <t>Ground Cable 50mm</t>
  </si>
  <si>
    <t xml:space="preserve">Ground Cable 95mm </t>
  </si>
  <si>
    <t>Ground Cable Stranded 1*25mm HES Y/G</t>
  </si>
  <si>
    <t>مواد لمنظومة التأريض  10كيلو</t>
  </si>
  <si>
    <t>Grounding Material TDM 10k</t>
  </si>
  <si>
    <t>شيش ارضي 12ملم</t>
  </si>
  <si>
    <t>Ground Rod 12mm  3m</t>
  </si>
  <si>
    <t>شيش ارضي 16ملم</t>
  </si>
  <si>
    <t>Ground Rod 16mm  3m</t>
  </si>
  <si>
    <t>شيش ارضي 20ملم</t>
  </si>
  <si>
    <t>Ground Rod 20mm  3m</t>
  </si>
  <si>
    <t>سويج بلك ارضي جوكر ليفانت</t>
  </si>
  <si>
    <t>Ground Switch Plug Jocker Levent F5W</t>
  </si>
  <si>
    <t>واير ارضي 1.5 ملم</t>
  </si>
  <si>
    <t>Ground Wire 1.5mm</t>
  </si>
  <si>
    <t>واير ارضي 10 ملم</t>
  </si>
  <si>
    <t>Ground Wire 10mm Hisar</t>
  </si>
  <si>
    <t>واير ارضي 16 ملم</t>
  </si>
  <si>
    <t>Ground Wire 16mm</t>
  </si>
  <si>
    <t>Ground Wire 2.5mm</t>
  </si>
  <si>
    <t>واير ارضي 35 ملم</t>
  </si>
  <si>
    <t>Ground Wire 35mm</t>
  </si>
  <si>
    <t>واير ارضي 4 ملم</t>
  </si>
  <si>
    <t>Ground Wire 4mm</t>
  </si>
  <si>
    <t>واير ارضي 6 ملم</t>
  </si>
  <si>
    <t>Ground Wire 6mm</t>
  </si>
  <si>
    <t xml:space="preserve">يدة تشغيل لكوسرة كبيرة </t>
  </si>
  <si>
    <t xml:space="preserve">Hand Turn On Grinder </t>
  </si>
  <si>
    <t>حمالة تراي كيبل  30سم  سقفي</t>
  </si>
  <si>
    <t>Handle Trunking Cable 30cm Roof</t>
  </si>
  <si>
    <t xml:space="preserve">حمالة تراي كيبل جداري 30سم </t>
  </si>
  <si>
    <t>Handle Trunking Cable 30cm Wall</t>
  </si>
  <si>
    <t xml:space="preserve">حمالة تراي كيبل جداري حديد 40سم </t>
  </si>
  <si>
    <t>Handle Trunking Cable 40cm Iron</t>
  </si>
  <si>
    <t xml:space="preserve">لايت طوارئ يتركب على الراس </t>
  </si>
  <si>
    <t>Head Light 14led PRC</t>
  </si>
  <si>
    <t>راس بلك ثلاثي 13امبير</t>
  </si>
  <si>
    <t xml:space="preserve"> Plug Triple 13A</t>
  </si>
  <si>
    <t>هيتر سخان برادفورد</t>
  </si>
  <si>
    <t>Heater Boilar (Brad Ford) 200v-240v 2000-3000W</t>
  </si>
  <si>
    <t>Heater Boilar (Brad Ford) 200v-240v 4500W</t>
  </si>
  <si>
    <t>هيتر سخان 15كيلوواط</t>
  </si>
  <si>
    <t>Heater Boilar 15kw</t>
  </si>
  <si>
    <t>هيتر درين براد كونتينر قطعة داخلية</t>
  </si>
  <si>
    <t>Heater Containor 1mt</t>
  </si>
  <si>
    <t xml:space="preserve">هيتر لمكينة لحيم جوين فاينل </t>
  </si>
  <si>
    <t>Heater Element 230V/1550W Joint Vinyl</t>
  </si>
  <si>
    <t>هيتر داخلي 80سم (هيتر بوري تصريف ماء)</t>
  </si>
  <si>
    <t>Heater Rod Inside 80cm</t>
  </si>
  <si>
    <t>صوندة كيبل سخان مسلح 20ملم</t>
  </si>
  <si>
    <t>Hose Flex Armor 20mm Black</t>
  </si>
  <si>
    <t xml:space="preserve">جوك بلاجكتور 400 واط بليسان </t>
  </si>
  <si>
    <t>Ignitor 70-400w</t>
  </si>
  <si>
    <t>صفارات انذار داخلية</t>
  </si>
  <si>
    <t>Indoor Fire Alarm LF-AV-6126</t>
  </si>
  <si>
    <t>فيشة نثية كهرباء  Gewiss</t>
  </si>
  <si>
    <t>Industrial Connector GW62015H</t>
  </si>
  <si>
    <t>فيشة فحل ثابت كهرباء  Gewiss</t>
  </si>
  <si>
    <t>Industrial Plug Inlet Wall-Muonuted GW60415H</t>
  </si>
  <si>
    <t>تقسيم راس سيار فحل ثنائي</t>
  </si>
  <si>
    <t>Indutrial Male Plug Outlets</t>
  </si>
  <si>
    <t>قوس تراي كيبل حديد 10سم</t>
  </si>
  <si>
    <t>Inside And Out Side Bend 10cm Trunking Cable</t>
  </si>
  <si>
    <t>قوس تراي كيبل حديد 20سم</t>
  </si>
  <si>
    <t>Inside And Out Side Bend 20cm Trunking Cabl</t>
  </si>
  <si>
    <t xml:space="preserve">عازل مانع صواعق يربط على عامود كهرباء محولة  </t>
  </si>
  <si>
    <t xml:space="preserve">Insulator Lighting Arrestor </t>
  </si>
  <si>
    <t xml:space="preserve">بورد كهرباء داخلي 36خط شنايدر </t>
  </si>
  <si>
    <t>Internal Electrical Board 36 line Iron Shnider</t>
  </si>
  <si>
    <t xml:space="preserve">زاوية تراي كيبل داخلية بلاستيك 5*10 موتولسن  </t>
  </si>
  <si>
    <t xml:space="preserve">Internal trangle Trunking Cable 5 * 10 cm Plastic </t>
  </si>
  <si>
    <t xml:space="preserve">بورد حديد كهرباء مع مطرية فارغ 30*60*80سم </t>
  </si>
  <si>
    <t xml:space="preserve">Iron Board Waterproof 30*60*80cm </t>
  </si>
  <si>
    <t>بورد حديد مطري للمضخة</t>
  </si>
  <si>
    <t>Iron Board Waterproof 60*40 for pump</t>
  </si>
  <si>
    <t xml:space="preserve">بوكس حديد سويج بلك دبل </t>
  </si>
  <si>
    <t>Iron Box Double Switch plug 5 cm</t>
  </si>
  <si>
    <t xml:space="preserve">بوكس حديد سويج بلك احادي </t>
  </si>
  <si>
    <t>Iron Box Single Switch plug 3.5cm 3"</t>
  </si>
  <si>
    <t>بوكس حديد سويج بلك ثلاثي</t>
  </si>
  <si>
    <t xml:space="preserve">Iron Box tripple Switch plug </t>
  </si>
  <si>
    <t>بروفايل حديد 3متر 41*41ملم 2.5ملم</t>
  </si>
  <si>
    <t xml:space="preserve">Iron C Profile  3mt 41*41mm </t>
  </si>
  <si>
    <t>تراي كيبل حديد 40 سم</t>
  </si>
  <si>
    <t>Iron Cable Trunking 40cm</t>
  </si>
  <si>
    <t>قفيص حديد تراي كيبل</t>
  </si>
  <si>
    <t>Iron Electric Board 42line Tempa</t>
  </si>
  <si>
    <t>بورد حديد من تركيا 54 خط</t>
  </si>
  <si>
    <t>Iron Electric board Water Proof 54Line (Turki)</t>
  </si>
  <si>
    <t>بورد حديد من تركيا 24 خط</t>
  </si>
  <si>
    <t>Iron Electric Board Waterproof 24line</t>
  </si>
  <si>
    <t>بورد حديد من تركيا 72 خط</t>
  </si>
  <si>
    <t>Iron Electric board Water Proof 72Line (Turki)</t>
  </si>
  <si>
    <t>تراي كيبل حديد 5 سم</t>
  </si>
  <si>
    <t>Iron Trunking Cable 5cm</t>
  </si>
  <si>
    <t>بورد حديد تيمبا 48 خط</t>
  </si>
  <si>
    <t>Iron Electrical Board 48line  Tempa</t>
  </si>
  <si>
    <t>سويج بلك ارضي ليفانت</t>
  </si>
  <si>
    <t xml:space="preserve">Iron Ground Switch Plug  Levent SPU-1SE </t>
  </si>
  <si>
    <t>بوري حديد  20 ملم</t>
  </si>
  <si>
    <t>Iron Pipe Electrical 1/2 EMT 20mm</t>
  </si>
  <si>
    <t>بوري حديد  25 ملم</t>
  </si>
  <si>
    <t xml:space="preserve">Iron Pipe Electrical 3/4 EMT </t>
  </si>
  <si>
    <t>مصغرة تراي كيبل 20*10سم</t>
  </si>
  <si>
    <t>Iron Reducer Trunking Cable 20*10cm</t>
  </si>
  <si>
    <t xml:space="preserve">جوين بين بوكس سويج بلك احادي حديد </t>
  </si>
  <si>
    <t>Joint comma Box Iron Single</t>
  </si>
  <si>
    <t>جوين تراي كيبل حديد</t>
  </si>
  <si>
    <t xml:space="preserve">Joint Iron Trunking Cable </t>
  </si>
  <si>
    <t>جوين تراي كيبل بلاستك 5*10سم</t>
  </si>
  <si>
    <t xml:space="preserve">Joint Trunking Cable 5 * 10 cm Plastic </t>
  </si>
  <si>
    <t>بوكس استراحة 11*11سم ابيض</t>
  </si>
  <si>
    <t>junction Box 11*11cm White Mutlusan</t>
  </si>
  <si>
    <t>جكشن بوكس ثنائي بلاستك</t>
  </si>
  <si>
    <t>Junction Box double  25mm</t>
  </si>
  <si>
    <t>جنكشن بوكس رباعي 25ملم</t>
  </si>
  <si>
    <t>Junction Box Quadruple  25mm</t>
  </si>
  <si>
    <t>جنكشن بوكس احادي 25ملم</t>
  </si>
  <si>
    <t>Junction Box Single  25mm</t>
  </si>
  <si>
    <t>جنكشن بوكس ثلاثي 25ملم</t>
  </si>
  <si>
    <t>Junction Box tripple  25mm</t>
  </si>
  <si>
    <t>LDNIO SC3604 10A Power Strip 3 Socket 6 USB</t>
  </si>
  <si>
    <t>سيار كهربائي 6يو اي بي 3بلك لدنيو</t>
  </si>
  <si>
    <t>LED levant 2835/240 M ( 6M) 24V 18 W</t>
  </si>
  <si>
    <t xml:space="preserve">منظم قولتية </t>
  </si>
  <si>
    <t>Voltage Regulator R250</t>
  </si>
  <si>
    <t>بلاجتكور 400واط</t>
  </si>
  <si>
    <t xml:space="preserve">projector 400W </t>
  </si>
  <si>
    <t>بلاجكتور 150 واط</t>
  </si>
  <si>
    <t xml:space="preserve">projector 150W </t>
  </si>
  <si>
    <t>لايت دائري 15 واط</t>
  </si>
  <si>
    <t xml:space="preserve">Light Circular 15W </t>
  </si>
  <si>
    <t>لايت دائري 20 واط</t>
  </si>
  <si>
    <t xml:space="preserve">Light Circular 20W </t>
  </si>
  <si>
    <t>لايت دائري 22واط بي جي</t>
  </si>
  <si>
    <t>Light Circular 22W BG</t>
  </si>
  <si>
    <t>لايت دائري 24 واط روز</t>
  </si>
  <si>
    <t>Light Circular 24W Rozh</t>
  </si>
  <si>
    <t xml:space="preserve">لايت تعليق كلاسيك خشب مع حبل </t>
  </si>
  <si>
    <t>Light Classic Wood Suspension With Rope</t>
  </si>
  <si>
    <t xml:space="preserve"> لايت ليد كلوب 5 واط</t>
  </si>
  <si>
    <t>Light Led 5W Lamp</t>
  </si>
  <si>
    <t>لايت ليد بيضوي 15 واط سبارك</t>
  </si>
  <si>
    <t>Light LED Oval 15W Spark</t>
  </si>
  <si>
    <t>ايت ليد بيضوي 15 واط فومسي</t>
  </si>
  <si>
    <t>Light Oval 15W Fomsi</t>
  </si>
  <si>
    <t xml:space="preserve">لايت ليد بيضوي 20 واط </t>
  </si>
  <si>
    <t xml:space="preserve">Light Oval 20W </t>
  </si>
  <si>
    <t xml:space="preserve">لايت ليد بيضوي 24 واط </t>
  </si>
  <si>
    <t>Light Oval 24W MC Electric</t>
  </si>
  <si>
    <t>لايت ليد بيضوي 24 واط روز</t>
  </si>
  <si>
    <t>Light Oval 24W Rozh</t>
  </si>
  <si>
    <t>لايت قراءة مكتبي 9 واط</t>
  </si>
  <si>
    <t>Light Read Library LED 9W</t>
  </si>
  <si>
    <t>ايت قراءة مكتبي 10 واط</t>
  </si>
  <si>
    <t>Light Read Library LED 10W</t>
  </si>
  <si>
    <t>لايت شحن طوارئ بي جي</t>
  </si>
  <si>
    <t>Light Recharge BG Emergency</t>
  </si>
  <si>
    <t>بلاجكتور سقفي ليد 150واط  شكل اخر</t>
  </si>
  <si>
    <t>Light Roof 150W plesan</t>
  </si>
  <si>
    <t>Light Roof 150W Plesan Another Sape</t>
  </si>
  <si>
    <t>لايت شحن بالطاقة الشمسية</t>
  </si>
  <si>
    <t>light Solar Recharging</t>
  </si>
  <si>
    <t>مانع صواعق رباعي شنايدر</t>
  </si>
  <si>
    <t xml:space="preserve">Lighting Arrestor Schnider </t>
  </si>
  <si>
    <t>لود بانك 100كيلوواط</t>
  </si>
  <si>
    <t xml:space="preserve">Load Bank 100KW </t>
  </si>
  <si>
    <t>ميل بوش بلاستك 20 ملم</t>
  </si>
  <si>
    <t>Male Bush plastic 20mm</t>
  </si>
  <si>
    <t>ميل بوش بلاستك 25 ملم</t>
  </si>
  <si>
    <t>Male Bush plastic 25mm</t>
  </si>
  <si>
    <t>راس بلك ثلاثي فحل للمودلة</t>
  </si>
  <si>
    <t>Male Outlet Extension Triple For Generator</t>
  </si>
  <si>
    <t xml:space="preserve">فيشة كرفان  فحل 3 بول </t>
  </si>
  <si>
    <t>Male Socket  3P A32</t>
  </si>
  <si>
    <t>فيشة كرفان فحل 5 بول 63 امبير</t>
  </si>
  <si>
    <t>Male Socket  5P-63A</t>
  </si>
  <si>
    <t xml:space="preserve">فيشة كرفان  فحل 4 بول 63 امبير </t>
  </si>
  <si>
    <t>Male Socket 4P-63A GW661452</t>
  </si>
  <si>
    <t>فيشة كرفان فحل 5 بول 32 امبير</t>
  </si>
  <si>
    <t xml:space="preserve">Male Socket 5P-32A EC Electtro Canali </t>
  </si>
  <si>
    <t xml:space="preserve">راس سيار نثية وفحل احادي </t>
  </si>
  <si>
    <t>Male+Female Plug Socket Single Outlets</t>
  </si>
  <si>
    <t xml:space="preserve">ليك ارضي </t>
  </si>
  <si>
    <t>Material Earth Link Screw</t>
  </si>
  <si>
    <t xml:space="preserve">قاطع ثلاثي 125 امبير </t>
  </si>
  <si>
    <t xml:space="preserve">MCCB 3P 125A Schneider </t>
  </si>
  <si>
    <t xml:space="preserve">قاطع ثلاثي 160 امبير </t>
  </si>
  <si>
    <t xml:space="preserve">MCCB 3P 160A schneider </t>
  </si>
  <si>
    <t xml:space="preserve">قاطع ثلاثي 250 امبير </t>
  </si>
  <si>
    <t xml:space="preserve">MCCB 3P 250A schneider </t>
  </si>
  <si>
    <t xml:space="preserve">قاطع ثلاثي 32 امبير </t>
  </si>
  <si>
    <t xml:space="preserve">MCCB 3P 32A schneider </t>
  </si>
  <si>
    <t xml:space="preserve">قاطع ثلاثي 40 امبير </t>
  </si>
  <si>
    <t xml:space="preserve">MCCB 3P 40A Schneider </t>
  </si>
  <si>
    <t xml:space="preserve">قاطع ثلاثي 63 امبير </t>
  </si>
  <si>
    <t xml:space="preserve">MCCB 3P 63A schneider </t>
  </si>
  <si>
    <t xml:space="preserve">قاطع ثلاثي 80 امبير </t>
  </si>
  <si>
    <t xml:space="preserve">MCCB 3P 80A Schneider </t>
  </si>
  <si>
    <t xml:space="preserve">قاطع رباعي 100 امبير </t>
  </si>
  <si>
    <t>MCCB 4P 100A Schneider</t>
  </si>
  <si>
    <t xml:space="preserve">قاطع رباعي 125 امبير </t>
  </si>
  <si>
    <t>MCCB 4P 125A Schneider</t>
  </si>
  <si>
    <t xml:space="preserve">قاطع رباعي 160 امبير </t>
  </si>
  <si>
    <t>MCCB 4P 160A Schneider</t>
  </si>
  <si>
    <t xml:space="preserve">قاطع رباعي 250 امبير </t>
  </si>
  <si>
    <t>MCCB 4P 250A Schneider</t>
  </si>
  <si>
    <t xml:space="preserve">قاطع رباعي 32 امبير </t>
  </si>
  <si>
    <t>MCCB 4P 32A schneider</t>
  </si>
  <si>
    <t xml:space="preserve">قاطع رباعي 80 امبير </t>
  </si>
  <si>
    <t xml:space="preserve">MCCB 4P 80A Schneider </t>
  </si>
  <si>
    <t xml:space="preserve">قاطع ثلاثي 100 امبير </t>
  </si>
  <si>
    <t xml:space="preserve">MCCB Schneider  3P 100A </t>
  </si>
  <si>
    <t xml:space="preserve">كلوب بلاجكتور 400واط بليسان </t>
  </si>
  <si>
    <t>Metal Lamp  400W</t>
  </si>
  <si>
    <t>MG-9100 Heat Detector With MG-3510 Mounting Base</t>
  </si>
  <si>
    <t>حساس دخان لمنظومة الحريق</t>
  </si>
  <si>
    <t xml:space="preserve">ML-1170.Maxlogic beam type smok detector </t>
  </si>
  <si>
    <t xml:space="preserve">بورد منظومة حريق Maxlogic Addressable </t>
  </si>
  <si>
    <t>ML-1232.N Fire Panel-2 Loop</t>
  </si>
  <si>
    <t>وحدة عزل الدائرة لمنظومة الحريق</t>
  </si>
  <si>
    <t>ML-1390.Maxlogic addressable system short circuit isolator module</t>
  </si>
  <si>
    <t>جهاز انذار صوت لمنظومة الحريق</t>
  </si>
  <si>
    <t>ML-1410.SCI Sounder With Short Circuit</t>
  </si>
  <si>
    <t>ML-1420.SCI Beacon With Short Circuit Isolator</t>
  </si>
  <si>
    <t>قطع منظومة حريق</t>
  </si>
  <si>
    <t>ML-1460.SCI System Sounder &amp;Beacon Weatherproof IP33</t>
  </si>
  <si>
    <t>جهاز انذار صوت لمنظومة الحريق مع فلاشر</t>
  </si>
  <si>
    <t>ML-1490.Maxlogic Addressable sounder &amp; flasher ip65</t>
  </si>
  <si>
    <t>نقطة اتصال لمنظومة حريق</t>
  </si>
  <si>
    <t>ML-1710 Manual Call Point</t>
  </si>
  <si>
    <t>شمعة لد 4قدم بي جي</t>
  </si>
  <si>
    <t>Neon LED 4Foot BG</t>
  </si>
  <si>
    <t>شمعة لد 4قدم لوسيكو</t>
  </si>
  <si>
    <t>Neon LED 4Foot Losco</t>
  </si>
  <si>
    <t>قاعدة شمعة مزدوج عادي 4 قدم ليبر</t>
  </si>
  <si>
    <t>Neon Light Fixture 4foot Liper</t>
  </si>
  <si>
    <t>بازبار نحاس 2.5سم عرض 3ملم سمك 30سم طول</t>
  </si>
  <si>
    <t xml:space="preserve">Neutral Bus Bar 30cm </t>
  </si>
  <si>
    <t xml:space="preserve">علامة خروج شحن </t>
  </si>
  <si>
    <t>Normal Exit Light</t>
  </si>
  <si>
    <t>نت تراي كيبل حديد</t>
  </si>
  <si>
    <t xml:space="preserve">Nut Iron Trunking Cable </t>
  </si>
  <si>
    <t>شناطة  نايلون 45 سم</t>
  </si>
  <si>
    <t>Nylon Bag Flange 45cm</t>
  </si>
  <si>
    <t>مروحة بورد 12*12سم دوسي</t>
  </si>
  <si>
    <t>Panel Fan Boread Dossy 12*12 220v AC</t>
  </si>
  <si>
    <t>فوتوسيل فيتو</t>
  </si>
  <si>
    <t>Photo Sensor 10A Vito</t>
  </si>
  <si>
    <t>فوتوسيل شنايدر</t>
  </si>
  <si>
    <t>Photocell 15482 Schneider</t>
  </si>
  <si>
    <t>كلاند بوري بلاستك 20 ملم</t>
  </si>
  <si>
    <t>Pipe Gland 20mm Plastic</t>
  </si>
  <si>
    <t>كلاند بوري بلاستك 25 ملم</t>
  </si>
  <si>
    <t>Pipe Gland 25mm Plastic</t>
  </si>
  <si>
    <t>كلاند بوري بلاستك 32 ملم</t>
  </si>
  <si>
    <t>Pipe Gland 32mm Plastic</t>
  </si>
  <si>
    <t>كلاند بوري بلاستك 50 ملم</t>
  </si>
  <si>
    <t>Pipe Gland 50mm Plastic</t>
  </si>
  <si>
    <t xml:space="preserve">بورد بلاستك 9 خط </t>
  </si>
  <si>
    <t xml:space="preserve">Plactic Electric board 9 Line </t>
  </si>
  <si>
    <t xml:space="preserve">بورد بلاستك متنقل مع فيش </t>
  </si>
  <si>
    <t xml:space="preserve">Plactic Electric board portable With sockets  </t>
  </si>
  <si>
    <t xml:space="preserve">بوكس سويج بلك ثنائي بلاستيك </t>
  </si>
  <si>
    <t>Plastic Box Double Switch plug</t>
  </si>
  <si>
    <t xml:space="preserve">بوكس سويج بلك احادي بلاستيك </t>
  </si>
  <si>
    <t>Plastic Box Single Switch plug</t>
  </si>
  <si>
    <t>لوفر مطري خارجي لساحبة  "4</t>
  </si>
  <si>
    <t>Plastic Cravty Lover 10mm</t>
  </si>
  <si>
    <t>راس بلك من ثلاثي الى ثنائي (تحويلة)</t>
  </si>
  <si>
    <t>Plug Socket Double To Tripple Outlets</t>
  </si>
  <si>
    <t xml:space="preserve">جنكشن بوكس </t>
  </si>
  <si>
    <t>Plastic Junction Couple  20mm</t>
  </si>
  <si>
    <t>جنكشن بوكس ثنائي من الاسفل بلاستك</t>
  </si>
  <si>
    <t>Plastic Junction Triple  20mm</t>
  </si>
  <si>
    <t>منهول بلاستك لمنظومة التاريض</t>
  </si>
  <si>
    <t xml:space="preserve">Plastic Manhole Earthing 25*25cm Amper </t>
  </si>
  <si>
    <t>قفيص بلاستك 20 ملم 1 برغي</t>
  </si>
  <si>
    <t>Plastic Pipe Clamp  1 Screw 20mm</t>
  </si>
  <si>
    <t>قفيص بلاستك 25 ملم 1 برغي</t>
  </si>
  <si>
    <t>Plastic Pipe Clamp  1 Screw 25mm</t>
  </si>
  <si>
    <t>قفيص بلاستك 20 ملم 2 برغي</t>
  </si>
  <si>
    <t>Plastic Pipe Clamp  2 Screw 20mm</t>
  </si>
  <si>
    <t>قفيص بلاستك 25 ملم 2 برغي</t>
  </si>
  <si>
    <t>Plastic Pipe Clamp  2 Screw 25mm</t>
  </si>
  <si>
    <t>قفيص بلاستك 32 ملم 1 برغي</t>
  </si>
  <si>
    <t>Plastic Pipe Clamp  2 Screw 32mm</t>
  </si>
  <si>
    <t>بوري بلاستك 20 ملم</t>
  </si>
  <si>
    <t>Plastic Pipe Electrical 20mm*3m</t>
  </si>
  <si>
    <t>بوري بلاستك 25 ملم</t>
  </si>
  <si>
    <t>Plastic Pipe Electrical 25mm Geko</t>
  </si>
  <si>
    <t>بوري بلاستك 32 ملم</t>
  </si>
  <si>
    <t>Plastic Pipe Electrical 32mm Geko</t>
  </si>
  <si>
    <t>بوري بلاستك 50 ملم</t>
  </si>
  <si>
    <t>Plastic Pipe Electrical 50mm Geko</t>
  </si>
  <si>
    <t>بلايس لقالب بارود</t>
  </si>
  <si>
    <t>Pliers Weldin Mould L160 - HCPK4</t>
  </si>
  <si>
    <t>سويج تشغيل ثنائي</t>
  </si>
  <si>
    <t>light switch Couple</t>
  </si>
  <si>
    <t>بلاجكتور 200 واط ليفانت</t>
  </si>
  <si>
    <t xml:space="preserve">Projector 200W Levent </t>
  </si>
  <si>
    <t>بلاجكتور 20 واط ليفانت</t>
  </si>
  <si>
    <t>Projector 20W Levant</t>
  </si>
  <si>
    <t xml:space="preserve">بلاجكتور يعمل على الطاقة الشمسية </t>
  </si>
  <si>
    <t>Projector Solar Energy 150w</t>
  </si>
  <si>
    <t>بوكس حديد لسويج بلك مفتاح 8.5*8.5سم</t>
  </si>
  <si>
    <t>Push Button Boxes 1ine EX</t>
  </si>
  <si>
    <t xml:space="preserve">بورد حديد تركي 108 خطي </t>
  </si>
  <si>
    <t xml:space="preserve"> Electric Board iron 108Line (Turki)</t>
  </si>
  <si>
    <t xml:space="preserve">جوزة ايرثلكج احادي 20 امبير </t>
  </si>
  <si>
    <t>RCBO  1P 20A 50° Schneider</t>
  </si>
  <si>
    <t xml:space="preserve">جوزة ايرثلكج رباعي 63 امبير </t>
  </si>
  <si>
    <t>RCBO 4P 63A 50° Schneider</t>
  </si>
  <si>
    <t xml:space="preserve">جوزة ايرثلكج احادي 10 امبير </t>
  </si>
  <si>
    <t>RCBO 1P 10A 30° Schneider</t>
  </si>
  <si>
    <t>RCBO 1P 10A 50° Schneider</t>
  </si>
  <si>
    <t xml:space="preserve">جوزة ايرثلكج احادي 16 امبير </t>
  </si>
  <si>
    <t>RCBO 1P 16A  50° Schneider</t>
  </si>
  <si>
    <t xml:space="preserve">جوزة ايرثلكج احادي 25 امبير </t>
  </si>
  <si>
    <t>RCBO 1P 25A 50° Schneider</t>
  </si>
  <si>
    <t xml:space="preserve">جوزة ايرثلكج احادي 32 امبير </t>
  </si>
  <si>
    <t>RCBO 1P 32A 50° Schneider</t>
  </si>
  <si>
    <t xml:space="preserve">جوزة ايرثلكج ثنائي 25 امبير </t>
  </si>
  <si>
    <t>RCBO 2P 25A 50 Schnieder</t>
  </si>
  <si>
    <t xml:space="preserve">جوزة ايرثلكج ثنائي 40 امبير </t>
  </si>
  <si>
    <t>RCBO 2P 40A Schneider</t>
  </si>
  <si>
    <t xml:space="preserve">جوزة ايرثلكج رباعي 100 امبير </t>
  </si>
  <si>
    <t>RCBO 4P 100A °50 Shneider</t>
  </si>
  <si>
    <t xml:space="preserve">جوزة ايرثلكج رباعي 32 امبير </t>
  </si>
  <si>
    <t>RCBO 4P 32A 50° Schneider</t>
  </si>
  <si>
    <t xml:space="preserve">جوزة ايرثلكج رباعي 40 امبير </t>
  </si>
  <si>
    <t xml:space="preserve">RCBO 4P 40A 30° Schneider </t>
  </si>
  <si>
    <t xml:space="preserve">RCBO 4P 40A 50° Schneider </t>
  </si>
  <si>
    <t>لايت شحن ليفانت</t>
  </si>
  <si>
    <t>Emergency Light Levant</t>
  </si>
  <si>
    <t xml:space="preserve">سويج سبلت زر احمر </t>
  </si>
  <si>
    <t>A/C Unit Switch Red Button  BG 45A</t>
  </si>
  <si>
    <t>عازل بازبار صغير احمر SM.40</t>
  </si>
  <si>
    <t xml:space="preserve">Red Isolated Bus-Bar SM.40 </t>
  </si>
  <si>
    <t>واير احادي احمر 1.5 ملم</t>
  </si>
  <si>
    <t>Red Wire 1.5mm</t>
  </si>
  <si>
    <t>واير احمر 2.5 ملم</t>
  </si>
  <si>
    <t>Red Wire 2.5mm</t>
  </si>
  <si>
    <t>واير احمر 4 ملم</t>
  </si>
  <si>
    <t>Red Wire 4mm</t>
  </si>
  <si>
    <t xml:space="preserve">بوكس استراحة 10*15سم بلاستك رصاصي </t>
  </si>
  <si>
    <t>Junction Box 10*15 Plastic Gray</t>
  </si>
  <si>
    <t xml:space="preserve">بوكس استراحة 11*18سم بلاستك رصاصي موتولسن </t>
  </si>
  <si>
    <t>بوكس استراحة7.5*7.5 سم  رصاصي</t>
  </si>
  <si>
    <t>بوكس استراحة 8*8 سم  رصاصي</t>
  </si>
  <si>
    <t>ريلي 230 فولط مع قاعدة</t>
  </si>
  <si>
    <t>Relay Finder 230V</t>
  </si>
  <si>
    <t>Relay Output LF-RM-6106</t>
  </si>
  <si>
    <t xml:space="preserve">باتري شحن 6 فولت </t>
  </si>
  <si>
    <t>Richarge Battry 6v</t>
  </si>
  <si>
    <t xml:space="preserve">قصبات محولة (لنك فيوز) </t>
  </si>
  <si>
    <t>Rod Gap Arrester</t>
  </si>
  <si>
    <t xml:space="preserve">بروجكتر سقفي 200واط ليفنت </t>
  </si>
  <si>
    <t xml:space="preserve">Roof Projector 200W Levent </t>
  </si>
  <si>
    <t>واشر ربل 20ملم لكلاند كيبل</t>
  </si>
  <si>
    <t xml:space="preserve">Rubber Washer 20mm For Gland Cable Plastic </t>
  </si>
  <si>
    <t>كيبل ستلايت</t>
  </si>
  <si>
    <t>Satellite cable</t>
  </si>
  <si>
    <t xml:space="preserve">قفيص ربط الكيبل </t>
  </si>
  <si>
    <t>Clamp 20mm ( U ) 2cable</t>
  </si>
  <si>
    <t>كونكتر نحاس 70ملم (قفيص نحاس)</t>
  </si>
  <si>
    <t>Shape U Copper Clamp 70mm</t>
  </si>
  <si>
    <t>شرنك اصفر قطر خارجي 4ملم</t>
  </si>
  <si>
    <t>Shrenk Cable MT</t>
  </si>
  <si>
    <t xml:space="preserve">سويج بلك احادي عادي بي جي  </t>
  </si>
  <si>
    <t xml:space="preserve">Single Switch Plug Normal BG </t>
  </si>
  <si>
    <t>سويج تشغيل انارة احادي حديد مع بوكس</t>
  </si>
  <si>
    <t xml:space="preserve">Single Light Switch Iron </t>
  </si>
  <si>
    <t>فرجة صغيرة لقالب بارود</t>
  </si>
  <si>
    <t>Small Brush For Weldin Mould</t>
  </si>
  <si>
    <t>حساس دخان اصلي وارد من الصين بدون باتري</t>
  </si>
  <si>
    <t xml:space="preserve">Smoke Detector Numens 203 Ac/Dc </t>
  </si>
  <si>
    <t>Smoke Detector LF-PE-6201</t>
  </si>
  <si>
    <t>حساس دخان  تركي مع باتري</t>
  </si>
  <si>
    <t>Smoke Detector Turki with battery</t>
  </si>
  <si>
    <t>سويج انترنيت لبوكس سويج بلك ارضي  ليفينت</t>
  </si>
  <si>
    <t xml:space="preserve">Socket Internet For Box Ground Switch Plug F12EC Cat6 Levent </t>
  </si>
  <si>
    <t>تقسيم رباعي تراي كيبل حديد 10سم</t>
  </si>
  <si>
    <t>Split Quadruple Trunking-Cable Iron10cm</t>
  </si>
  <si>
    <t>تقسيم رباعي تراي كيبل حديد 30 سم</t>
  </si>
  <si>
    <t>Split Quadruple Trunking-Cable Iron 30cm</t>
  </si>
  <si>
    <t>تقسيم رباعي تراي كيبل حديد 20 سم</t>
  </si>
  <si>
    <t>Split Quadruple Trunking-Cable Iron 20cm</t>
  </si>
  <si>
    <t>تقسيم تراي كيبل بلاستك 5*10 سم</t>
  </si>
  <si>
    <t xml:space="preserve">Split T Trunking Cable 5 * 10 cm Plastic </t>
  </si>
  <si>
    <t>تقسيم تراي كيبل حديد 10 سم</t>
  </si>
  <si>
    <t>Split T Trunking-Cable Iron 10cm</t>
  </si>
  <si>
    <t>تقسيم تراي كيبل حديد 30 سم</t>
  </si>
  <si>
    <t>Split T Trunking-Cable Iron 30cm</t>
  </si>
  <si>
    <t>تقسيم تراي كيبل حديد 50 سم</t>
  </si>
  <si>
    <t>Split T Trunking-Cable Iron 50cm</t>
  </si>
  <si>
    <t>تقسيم تراي كيبل حديد 20 سم</t>
  </si>
  <si>
    <t>Split T Trunking-Cable Iron20cm</t>
  </si>
  <si>
    <t xml:space="preserve">سبوت لايت كنور 12 واط </t>
  </si>
  <si>
    <t>Spout Light 12W konur</t>
  </si>
  <si>
    <t xml:space="preserve">سبوت لايت فينوز 15 واط </t>
  </si>
  <si>
    <t xml:space="preserve">Spout Light 15W LED Venus </t>
  </si>
  <si>
    <t>سبوت لايت لد 16واط 9 سم</t>
  </si>
  <si>
    <t>Spout Light 16W LED  9cm</t>
  </si>
  <si>
    <t>سبوت لايت لد 18واط ادهم</t>
  </si>
  <si>
    <t xml:space="preserve">Spout Light 18W LED Adham </t>
  </si>
  <si>
    <t>سبوت لايت 24واط ليفينت 140ملم دائري</t>
  </si>
  <si>
    <t>Spout Light 24W Levent</t>
  </si>
  <si>
    <t>سبوت لايت 9واط 12سم</t>
  </si>
  <si>
    <t>Spout Light 9W Horoz</t>
  </si>
  <si>
    <t>سبرنك سحب واير 20 ملم</t>
  </si>
  <si>
    <t>Spring Wire Pull 20m</t>
  </si>
  <si>
    <t>سبرنك سحب واير 25 ملم</t>
  </si>
  <si>
    <t>Spring Wire Pull 25mt</t>
  </si>
  <si>
    <t>سبرنك سحب واير 50 ملم</t>
  </si>
  <si>
    <t>Spring Wire Pull 50mt</t>
  </si>
  <si>
    <t>سبرنك سحب واير 10 ملم</t>
  </si>
  <si>
    <t>Spring Wire Pull 10mm</t>
  </si>
  <si>
    <t>قاعدة شناطة مربع لاصق</t>
  </si>
  <si>
    <t>Square Glue Nylon Bag Flange Board</t>
  </si>
  <si>
    <t xml:space="preserve">كيبل اسود ستراند 1*50ملم </t>
  </si>
  <si>
    <t xml:space="preserve">Stranded Cable Black 1*50mm </t>
  </si>
  <si>
    <t>سويج  3بول 25امبير</t>
  </si>
  <si>
    <t>Switch 0/1  3P 25A</t>
  </si>
  <si>
    <t>سويج 0/1 4بول 100امبير ABB</t>
  </si>
  <si>
    <t>Switch 0/1 4P 100A ABB</t>
  </si>
  <si>
    <t>سويج سبلت سكامي 2 بول 20 امبير</t>
  </si>
  <si>
    <t>Switch 0 1 Scame 2P 20A</t>
  </si>
  <si>
    <t>Switch 0/1 scame 2P 32A</t>
  </si>
  <si>
    <t>سويج سبلت سكامي 3 بول 32 امبير</t>
  </si>
  <si>
    <t>Switch 0 1 Scame 3P 20A</t>
  </si>
  <si>
    <t xml:space="preserve">سويج سكامي 0/1 4 بول 20 امبير </t>
  </si>
  <si>
    <t>Switch 0/1 Scame 4P 20A</t>
  </si>
  <si>
    <t>سويج سبلت سكامي 4 بول 32 امبير</t>
  </si>
  <si>
    <t>Switch 0/1 Scame 4P 32A</t>
  </si>
  <si>
    <t>سويج سبلت سكامي 4 بول 40 امبير</t>
  </si>
  <si>
    <t>Switch 0/1 Scame 4P 40A</t>
  </si>
  <si>
    <t>سويج سبلت سكامي 4 بول 63 امبير</t>
  </si>
  <si>
    <t>Switch 0/1 scame 4P 63A</t>
  </si>
  <si>
    <t>سويج بلك دبل مطري مع بوكس 13A</t>
  </si>
  <si>
    <t xml:space="preserve">Switch Plug Bouble+metal Box 13A </t>
  </si>
  <si>
    <t>سويج بلك عادي دبل بي جي</t>
  </si>
  <si>
    <t>Switch Plug Jocker Normal Double BG</t>
  </si>
  <si>
    <t>سويج بلك عادي احادي بي جي</t>
  </si>
  <si>
    <t>Switch plug Jocker Single (BG)</t>
  </si>
  <si>
    <t>سويج تشغيل انارة احادي بي جي</t>
  </si>
  <si>
    <t>Light Switch Single BG</t>
  </si>
  <si>
    <t>سويج تشغيل انارة ثلاثي بي جي</t>
  </si>
  <si>
    <t>Light Switch Tripple BG</t>
  </si>
  <si>
    <t>سويج تشغيل رباعي ستار ديلتا</t>
  </si>
  <si>
    <t>Switch 0/1/2 STAR DELTA 25A 4P</t>
  </si>
  <si>
    <t>سويج بلك ابو المفتاح موتولسن</t>
  </si>
  <si>
    <t>Switch With Key Mutlsan</t>
  </si>
  <si>
    <t>تقسيم تراي كيبل حديد 40 سم</t>
  </si>
  <si>
    <t>Split T Iron Trunking Cable 40cm</t>
  </si>
  <si>
    <t xml:space="preserve">قفيص شريط بازبار نحاس ارضي  </t>
  </si>
  <si>
    <t xml:space="preserve">Tape Copper Clamp </t>
  </si>
  <si>
    <t>جهاز قياس ليزر</t>
  </si>
  <si>
    <t>Tape Measure laser Bosch</t>
  </si>
  <si>
    <t>كابسة تيرمنل</t>
  </si>
  <si>
    <t>Terminal  Crimping Tools WX-16</t>
  </si>
  <si>
    <t>تيرمنل 10 ملم</t>
  </si>
  <si>
    <t>Terminal 10mm</t>
  </si>
  <si>
    <t>تيرمنل 120 ملم</t>
  </si>
  <si>
    <t xml:space="preserve">Terminal 120mm </t>
  </si>
  <si>
    <t>تيرمنل 150 ملم</t>
  </si>
  <si>
    <t xml:space="preserve">Terminal 150mm </t>
  </si>
  <si>
    <t>تيرمنل 16 ملم</t>
  </si>
  <si>
    <t>Terminal 16mm</t>
  </si>
  <si>
    <t>تيرمنل 240 ملم</t>
  </si>
  <si>
    <t>Terminal 240mm</t>
  </si>
  <si>
    <t>تيرمنل 25 ملم</t>
  </si>
  <si>
    <t>Terminal 25mm</t>
  </si>
  <si>
    <t>تيرمنل 300 ملم</t>
  </si>
  <si>
    <t>Terminal 300mm</t>
  </si>
  <si>
    <t>تيرمنل 35 ملم</t>
  </si>
  <si>
    <t>Terminal 35mm</t>
  </si>
  <si>
    <t>تيرمنل 50 ملم</t>
  </si>
  <si>
    <t>Terminal 50mm</t>
  </si>
  <si>
    <t>تيرمنل 6 ملم</t>
  </si>
  <si>
    <t>Terminal 6mm</t>
  </si>
  <si>
    <t>تيرمنل 7 ملم</t>
  </si>
  <si>
    <t>Terminal 70mm</t>
  </si>
  <si>
    <t>تيرمنل 95 ملم</t>
  </si>
  <si>
    <t>Terminal 95mm</t>
  </si>
  <si>
    <t>ثيرموستات 30-12-سيليزية</t>
  </si>
  <si>
    <t>Thermostat 30-120C</t>
  </si>
  <si>
    <t>ثيرموسات براد كونتينر</t>
  </si>
  <si>
    <t>Thermostat Dixell</t>
  </si>
  <si>
    <t xml:space="preserve">تايمر فوليوم </t>
  </si>
  <si>
    <t>Timer Volume Emas</t>
  </si>
  <si>
    <t xml:space="preserve">سويج بلك حساس </t>
  </si>
  <si>
    <t>Touch Free Exit Sensor ZKTECO</t>
  </si>
  <si>
    <t>سويج بلك ستلايت</t>
  </si>
  <si>
    <t>Satellite Socket (switch plug) Nexus 864-01</t>
  </si>
  <si>
    <t>تراي كيبل بلاستك 10* 10 سم</t>
  </si>
  <si>
    <t>Trunking Cable 10*10cm Plastic</t>
  </si>
  <si>
    <t>Trunking Cable 10cm Iron 2.5m</t>
  </si>
  <si>
    <t>Trunking Cable 2*2cm Plastic</t>
  </si>
  <si>
    <t>تراي كيبل بلاستك 1.6* 1.6 سم</t>
  </si>
  <si>
    <t>Trunking Cable 1.6*1.6cm Plastic</t>
  </si>
  <si>
    <t>تراي كيبل بلاستك 4* 2 سم</t>
  </si>
  <si>
    <t>Trunking Cable 2*4cm Plastic</t>
  </si>
  <si>
    <t>تراي كيبل حديد 20 سم</t>
  </si>
  <si>
    <t>Trunking Cable 20cm Iron 2.5m</t>
  </si>
  <si>
    <t>تراي كيبل حديد 30 سم</t>
  </si>
  <si>
    <t>Trunking Cable 30cm Iron 2.5m</t>
  </si>
  <si>
    <t>تراي كيبل بلاستك 4* 4 سم</t>
  </si>
  <si>
    <t>Trunking Cable 4*4cm Plastic</t>
  </si>
  <si>
    <t xml:space="preserve">تراي كيبل حديد 10سم 2ملم 2.5متر ثقيل </t>
  </si>
  <si>
    <t>Trunking Cable 10cm 2mm Iron 2.5m</t>
  </si>
  <si>
    <t>تراي كيبل بلاستك 5*10 سم</t>
  </si>
  <si>
    <t>Trunking Cable 5*10cm Plastic</t>
  </si>
  <si>
    <t>تراي كيبل بلاستك 6* 6 سم</t>
  </si>
  <si>
    <t>Trunking Cable 6*6cm Plastic</t>
  </si>
  <si>
    <t>تراي كيبل بلاستك 6*8 سم</t>
  </si>
  <si>
    <t>Trunking Cable 6*8cm Plastic</t>
  </si>
  <si>
    <t>تراي كيبل حديد 60 سم</t>
  </si>
  <si>
    <t>Trunking Cable 60cm Iron 2.5m</t>
  </si>
  <si>
    <t>تراي كيبل بلاستك 7 سم رصاصي</t>
  </si>
  <si>
    <t>Trunking Cable Gray 7cm Plastic</t>
  </si>
  <si>
    <t>واير انترنيت  UTP6M</t>
  </si>
  <si>
    <t>UTP6M-MSD Cat6 CM 23AWG 4P 305mt</t>
  </si>
  <si>
    <t>دكت فلكس ساحبة</t>
  </si>
  <si>
    <t xml:space="preserve">Ventilation Flexible Duct </t>
  </si>
  <si>
    <t>ساحبة 150 ملم</t>
  </si>
  <si>
    <t xml:space="preserve">Ventilation TT 150mm </t>
  </si>
  <si>
    <t>ساحبة بي 10 انج</t>
  </si>
  <si>
    <t xml:space="preserve">Ventilator 10" BG </t>
  </si>
  <si>
    <t>ساحبة بي 12 انج</t>
  </si>
  <si>
    <t>Ventilator 12"BG</t>
  </si>
  <si>
    <t>شاحبة دائري بي جي 6 انج</t>
  </si>
  <si>
    <t>Ventilator 6" Circular  BG</t>
  </si>
  <si>
    <t>ساحبة موتولسان 4 انج</t>
  </si>
  <si>
    <t xml:space="preserve">Ventilator 4" Mutlusan </t>
  </si>
  <si>
    <t>ساحبة اسباني موديل LHV 225</t>
  </si>
  <si>
    <t>Ventilator Type LHV 225 (Espanish)</t>
  </si>
  <si>
    <t>ساحبة اسباني 4 انج b10</t>
  </si>
  <si>
    <t>Ventilator Type Saso 4" b10</t>
  </si>
  <si>
    <t>ساحبة اوكراني موديل tt100</t>
  </si>
  <si>
    <t>Ventilator Type tt100  (ukranian)</t>
  </si>
  <si>
    <t>ساحبة بوسكان 8 انج</t>
  </si>
  <si>
    <t>Ventilator 8" Type Boskan</t>
  </si>
  <si>
    <t>ساحبة صناعية 28 سم دامانديه</t>
  </si>
  <si>
    <t>Ventilator Industrial 28cm Damandeh VIF-202S</t>
  </si>
  <si>
    <t>ساحبة صناعية 38 * 38 سم</t>
  </si>
  <si>
    <t>Ventilator Industrial 38*38cm</t>
  </si>
  <si>
    <t>ساحبة صناعية 49 * 49 سم</t>
  </si>
  <si>
    <t xml:space="preserve">Ventilator Industrial 49*49cm </t>
  </si>
  <si>
    <t>ساحبة صناعية 60 سم</t>
  </si>
  <si>
    <t xml:space="preserve">Ventilator Industrial 60cm </t>
  </si>
  <si>
    <t>ساحبة صناعية 85 * 85 سم</t>
  </si>
  <si>
    <t xml:space="preserve">Ventilator Industrial 85*85cm </t>
  </si>
  <si>
    <t>لوفر مطري خارجي لساحبة TT150 "6</t>
  </si>
  <si>
    <t>Ventilator Plastic Cravty Lover 150mm</t>
  </si>
  <si>
    <t xml:space="preserve">دفيوزر داخلي للساحبة </t>
  </si>
  <si>
    <t>Ventilator Plastic Disk Diffuser</t>
  </si>
  <si>
    <t>ساحبة موديل أي اس 8 انج</t>
  </si>
  <si>
    <t>Ventilator Type ES 8"</t>
  </si>
  <si>
    <t>ساحبة اسباني موديل LHV 160</t>
  </si>
  <si>
    <t>Ventilator Type LHV 160 (Espanish)</t>
  </si>
  <si>
    <t>ساحبة موتولسان 6 انج</t>
  </si>
  <si>
    <t>Ventilator Type Mutlusan 6"</t>
  </si>
  <si>
    <t>ساحبة سينار 12 انج</t>
  </si>
  <si>
    <t>Ventilator Type Sinar 12"</t>
  </si>
  <si>
    <t>فيرنية عادي Tolsen</t>
  </si>
  <si>
    <t>Vernier Caliper 150mm</t>
  </si>
  <si>
    <t xml:space="preserve">فانوس كلوب جداري </t>
  </si>
  <si>
    <t>Wall Bulb Lantern</t>
  </si>
  <si>
    <t>مروحة كهربائية جدارية رامكو</t>
  </si>
  <si>
    <t>Wall Fan Ramco RF360</t>
  </si>
  <si>
    <t>حمالة تراي كيبل جداري حديد 10سم</t>
  </si>
  <si>
    <t>Wall Handle Trunking Cable 10cm Iron</t>
  </si>
  <si>
    <t xml:space="preserve">ساحبة صناعية جدارية 40سم </t>
  </si>
  <si>
    <t>Wall Ventilator Industrial 40cm NI-SA</t>
  </si>
  <si>
    <t>واير احادي قهوائي 1.5 ملم</t>
  </si>
  <si>
    <t>Brown Wire 1.5mm</t>
  </si>
  <si>
    <t>واير احادي قهوائي 2.5 ملم</t>
  </si>
  <si>
    <t>Brown Wire 2.5mm</t>
  </si>
  <si>
    <t>واير احادي قهوائي 4 ملم</t>
  </si>
  <si>
    <t>Brown Wire 4mm</t>
  </si>
  <si>
    <t>واير احادي قهوائي 10 ملم</t>
  </si>
  <si>
    <t>Brown Wire 10mm</t>
  </si>
  <si>
    <t>واير احادي قهوائي 6 ملم</t>
  </si>
  <si>
    <t>Brown Wire 6mm</t>
  </si>
  <si>
    <t xml:space="preserve"> كلوب إشارة تحذير كبير ازرق احمر برتقالي</t>
  </si>
  <si>
    <t xml:space="preserve">Waring Light Rotator </t>
  </si>
  <si>
    <t xml:space="preserve">واشر تراي كيبل </t>
  </si>
  <si>
    <t>Washer Iron Trunking Cable  M8</t>
  </si>
  <si>
    <t xml:space="preserve">واتر بمب غطاس </t>
  </si>
  <si>
    <t xml:space="preserve">Water Pump For Air Cooler HDTORBO </t>
  </si>
  <si>
    <t xml:space="preserve">بوكس مطري دبل بلاستيك بي جي </t>
  </si>
  <si>
    <t>Waterproof Box Couple Plastic BG</t>
  </si>
  <si>
    <t>بوكس مطري احادي بلاستيك بي جي</t>
  </si>
  <si>
    <t>Waterproof Box Single Plastic BG</t>
  </si>
  <si>
    <t>بورد حديد تيمبا 18 خط</t>
  </si>
  <si>
    <t>Waterproof Electrical board 18line Iron</t>
  </si>
  <si>
    <t xml:space="preserve">قالب بارود لربط بين بازبارwm 65  </t>
  </si>
  <si>
    <t>Weldin Mould - Shape WM 65</t>
  </si>
  <si>
    <t xml:space="preserve">قالب بارود لربط بين بازبارwm 115  </t>
  </si>
  <si>
    <t>Weldin Mould T Shape WM 115</t>
  </si>
  <si>
    <t xml:space="preserve">بارود لحيم توز 150غرام </t>
  </si>
  <si>
    <t xml:space="preserve">Welding Powder 150gr </t>
  </si>
  <si>
    <t xml:space="preserve">تلبيسة بازبار جوزات لاستيك ابيض </t>
  </si>
  <si>
    <t>White Lastic For Bus-bar Circuit</t>
  </si>
  <si>
    <t>واير اشارة  2.5*1ملم</t>
  </si>
  <si>
    <t xml:space="preserve">White Light 2.5 * 1mm </t>
  </si>
  <si>
    <t>شناطة نايلون 20 سم</t>
  </si>
  <si>
    <t>White Nylon Bag Flange 20cm</t>
  </si>
  <si>
    <t>شناطة نايلون 37 سم</t>
  </si>
  <si>
    <t>White Nylon Bag Flange 37cm</t>
  </si>
  <si>
    <t>شناطة نايلون 75 سم</t>
  </si>
  <si>
    <t>White Nylon Bag Flange 75cm</t>
  </si>
  <si>
    <t>وااير ابيض 1 5 * 1.5ملم</t>
  </si>
  <si>
    <t xml:space="preserve">White Wire 5 * 1.5 mm </t>
  </si>
  <si>
    <t>وااير ابيض  1.5*3 ملم</t>
  </si>
  <si>
    <t>White Wire 1.5*3mm</t>
  </si>
  <si>
    <t>وااير ابيض 2*2.5 ملم</t>
  </si>
  <si>
    <t xml:space="preserve">White Wire 2*2.5mm </t>
  </si>
  <si>
    <t>واير ابيض 3*2.5 ملم</t>
  </si>
  <si>
    <t xml:space="preserve">White Wire 2.5*3mm </t>
  </si>
  <si>
    <t>وااير ابيض 2.5*3 ملم كولف</t>
  </si>
  <si>
    <t xml:space="preserve">White Wire 2.5*3mm Gulf </t>
  </si>
  <si>
    <t>وااير ابيض 2.5*3 ملم هيس</t>
  </si>
  <si>
    <t>White Wire 2.5*3mm HES</t>
  </si>
  <si>
    <t>وااير ابيض  5*2.5 ملم</t>
  </si>
  <si>
    <t>White Wire 5*2.5mm  l.C KABL</t>
  </si>
  <si>
    <t>واير ابيض 3*4 ملم بيرلي</t>
  </si>
  <si>
    <t>White Wire 3*4 Berly</t>
  </si>
  <si>
    <t>وااير ابيض  3*4 ملم كولف</t>
  </si>
  <si>
    <t xml:space="preserve">White Wire 3*4 Gulf </t>
  </si>
  <si>
    <t>وااير ابيض 3*4 ملم هيس</t>
  </si>
  <si>
    <t>White Wire 3*4 HES</t>
  </si>
  <si>
    <t>وااير ابيض 3*6 ملم كولف</t>
  </si>
  <si>
    <t xml:space="preserve">White Wire 3*6 Golf Jordun GC </t>
  </si>
  <si>
    <t>وااير ابيض 3*6 ملم هيس</t>
  </si>
  <si>
    <t>White Wire 3*6 HES</t>
  </si>
  <si>
    <t>وااير ابيض 5*4 ملم</t>
  </si>
  <si>
    <t xml:space="preserve">White Wire 5*4mm </t>
  </si>
  <si>
    <t>وااير ابيض 5 * 2.5 ملم</t>
  </si>
  <si>
    <t xml:space="preserve">White Wire 5 * 2.5mm </t>
  </si>
  <si>
    <t>وااير ابيض  5 * 6 ملم</t>
  </si>
  <si>
    <t xml:space="preserve">White Wire 5 * 6mm </t>
  </si>
  <si>
    <t>وااير ابيض 5*10 ملم</t>
  </si>
  <si>
    <t>White Wire 5*10mm</t>
  </si>
  <si>
    <t xml:space="preserve">كونكتر واير ابيض </t>
  </si>
  <si>
    <t>White Wire Conncetor</t>
  </si>
  <si>
    <t xml:space="preserve"> واير 1.5*2 ملم </t>
  </si>
  <si>
    <t xml:space="preserve">Wire 1.5*2mm </t>
  </si>
  <si>
    <t>كلبس واير نثية</t>
  </si>
  <si>
    <t>Wire Clips Female 4-6mm</t>
  </si>
  <si>
    <t>كلبس واير فحل</t>
  </si>
  <si>
    <t>wire clips male 4-6mm</t>
  </si>
  <si>
    <t>سلك نحاس بدون غلاف 50 ملم</t>
  </si>
  <si>
    <t>Wire Copper Without Insulation 50mm</t>
  </si>
  <si>
    <t>سلك نحاس بدون غلاف 95 ملم</t>
  </si>
  <si>
    <t>Wire Copper Without Insulation 95mm</t>
  </si>
  <si>
    <t>سلك نحاس بدون غلاف 150 ملم</t>
  </si>
  <si>
    <t>Wire Copper Without Insulation 150mm</t>
  </si>
  <si>
    <t>سلك نحاس بدون غلاف 70 ملم</t>
  </si>
  <si>
    <t>Wire Copper Without Insulation 70mm</t>
  </si>
  <si>
    <t>جوين 2.5ملم</t>
  </si>
  <si>
    <t xml:space="preserve">Wire Nut Joint 2.5mm </t>
  </si>
  <si>
    <t>جوين واير 4 ملم</t>
  </si>
  <si>
    <t>Wire Nut Joints 4mm(Yallow,Green,Blue,Red)</t>
  </si>
  <si>
    <t xml:space="preserve">تيرمينال حلقي اصفر  </t>
  </si>
  <si>
    <t xml:space="preserve">Yellow Annular Terminal </t>
  </si>
  <si>
    <t>yellow Wire 2.5mm</t>
  </si>
  <si>
    <t>كلاند كيبل بلاستك 63 ملم</t>
  </si>
  <si>
    <t>Gland cable Plastic 63mm</t>
  </si>
  <si>
    <t>بلاجكتور 100 واط</t>
  </si>
  <si>
    <t>Projector 100W</t>
  </si>
  <si>
    <t xml:space="preserve">مخزن اصباغ  / Paint store  </t>
  </si>
  <si>
    <t xml:space="preserve"> PVC مخزن </t>
  </si>
  <si>
    <t xml:space="preserve">لامبيري شمباني المنيوم </t>
  </si>
  <si>
    <t xml:space="preserve">لامبيري ابيض المنيوم </t>
  </si>
  <si>
    <t>aluminium  White Lambert</t>
  </si>
  <si>
    <t xml:space="preserve"> لقمة المنيوم سلفر 6م</t>
  </si>
  <si>
    <t>Aluminium Holder Silver 6m</t>
  </si>
  <si>
    <t xml:space="preserve">سركي(قفل) باب المنيوم </t>
  </si>
  <si>
    <t xml:space="preserve">Aluminium Latch Door lock  </t>
  </si>
  <si>
    <t>زاوية بلاستيك مانع ذباب ابيض</t>
  </si>
  <si>
    <t xml:space="preserve">Angle (Fly Blocker) Plastic </t>
  </si>
  <si>
    <t>زاوية ديكور PVC ابيض 3.66سم</t>
  </si>
  <si>
    <t>Angle PVC Dicoration white 3.60cm</t>
  </si>
  <si>
    <t>نرمادو دسكو كبيرة</t>
  </si>
  <si>
    <t xml:space="preserve">لاستيك اسود ربل 100متر </t>
  </si>
  <si>
    <t>Black Lastic 100m MAKEPLAST</t>
  </si>
  <si>
    <t>زاوية PVC جوزي 5 * 10</t>
  </si>
  <si>
    <t>Brown Angle PVC 5 * 10</t>
  </si>
  <si>
    <t xml:space="preserve">فرشاة اسفل باب </t>
  </si>
  <si>
    <t>Brush Down Door 1m</t>
  </si>
  <si>
    <t>جوزة باب  PVC والمنيوم</t>
  </si>
  <si>
    <t xml:space="preserve">Cylinder Lock  PVC&amp;Aluminium Door </t>
  </si>
  <si>
    <t>جوزة باب المنيوم WC</t>
  </si>
  <si>
    <t>Cylinder Lock Aluminium Door W.C</t>
  </si>
  <si>
    <t>مفصل (نرمادة) باب جوزي PVC</t>
  </si>
  <si>
    <t>Door hinge Walnut  PVC(Narmada) old</t>
  </si>
  <si>
    <t>مفصل (نرمادة) باب ابيض PVC واحد قطعة</t>
  </si>
  <si>
    <t>Door hinge White  PVC(Narmada) One Piece</t>
  </si>
  <si>
    <t xml:space="preserve">مفصل(نرمادة) باب المنيوم ابيض </t>
  </si>
  <si>
    <t>Door hinge White Aluminium (Narmada)</t>
  </si>
  <si>
    <t xml:space="preserve">كيلون باب المنيوم </t>
  </si>
  <si>
    <t xml:space="preserve">Door lock Body Aluminium </t>
  </si>
  <si>
    <t>كيلون باب غرفة PVC</t>
  </si>
  <si>
    <t>Door lock Body PVC Room</t>
  </si>
  <si>
    <t>كيلون باب W.C PVC</t>
  </si>
  <si>
    <t>Door lock Body PVC W.C</t>
  </si>
  <si>
    <t>ماسكة شباك PVC جوزي</t>
  </si>
  <si>
    <t>Double Catch Brown Window  PVC 6m</t>
  </si>
  <si>
    <t>ماسكة دبل جام بي في سي</t>
  </si>
  <si>
    <t>Double Catch Window PVC</t>
  </si>
  <si>
    <t>اسبانوله 120سم</t>
  </si>
  <si>
    <t>Espanolla 120cm</t>
  </si>
  <si>
    <t>اسبانوله40سم</t>
  </si>
  <si>
    <t>Espanolla 40cm</t>
  </si>
  <si>
    <t>اسبانوله60سم</t>
  </si>
  <si>
    <t>Espanolla 60cm</t>
  </si>
  <si>
    <t>اسبانوله 80سم</t>
  </si>
  <si>
    <t>Espanolla 80cm</t>
  </si>
  <si>
    <t>سي جنل ساندوج مغلون لتثبيت اابواب</t>
  </si>
  <si>
    <t>Galvanis C Channel 0.6mm 1.5*4.5cm 6mt</t>
  </si>
  <si>
    <t>يدة باب جوزي PVC</t>
  </si>
  <si>
    <t>Handle Door  brown PVC old</t>
  </si>
  <si>
    <t>يدة باب جوزي PVC WC</t>
  </si>
  <si>
    <t>Handle Door  brown PVC w.c old</t>
  </si>
  <si>
    <t>يدة باب ابيض PVC</t>
  </si>
  <si>
    <t xml:space="preserve">Handle Door  White PVC  </t>
  </si>
  <si>
    <t>يدة باب ابيض   PVC  WC</t>
  </si>
  <si>
    <t>Handle Door  White PVC  WC</t>
  </si>
  <si>
    <t xml:space="preserve">يدة باب المنيوم ابيض </t>
  </si>
  <si>
    <t>Handle Door Aluminium white</t>
  </si>
  <si>
    <t>يدة باب  سلايت   PVC  قهوائي</t>
  </si>
  <si>
    <t xml:space="preserve">Handle Door Slide brown PVC  </t>
  </si>
  <si>
    <t>يدة شباك PVC جوزي</t>
  </si>
  <si>
    <t>Handle window brown PVC</t>
  </si>
  <si>
    <t>لقمة تي</t>
  </si>
  <si>
    <t>Holder Iron T</t>
  </si>
  <si>
    <t>حديد باب</t>
  </si>
  <si>
    <t>Iron 2.5*2.5*1.5cm 6mt</t>
  </si>
  <si>
    <t>حديد تي باب</t>
  </si>
  <si>
    <t>Iron T Door 1*2.5*2.5cm</t>
  </si>
  <si>
    <t>باب L قهوائي PVC</t>
  </si>
  <si>
    <t>L brown Door PVC old</t>
  </si>
  <si>
    <t>باب سلايت L قهوائي PVC</t>
  </si>
  <si>
    <t>L Walunt Slide Door PVC</t>
  </si>
  <si>
    <t>L  المنيوم باب ابيض   L</t>
  </si>
  <si>
    <t>L White Door Aluminum</t>
  </si>
  <si>
    <t>L  المنيوم باب سلفر  L</t>
  </si>
  <si>
    <t>باب L ابيض PVC</t>
  </si>
  <si>
    <t>L White Door PVC</t>
  </si>
  <si>
    <t>باب سلايت L ابيض PVC</t>
  </si>
  <si>
    <t>L White Slide Door PVC old</t>
  </si>
  <si>
    <t xml:space="preserve"> مقابل سركي سلفر PVC باب</t>
  </si>
  <si>
    <t>Latch Body M  Door PVC old</t>
  </si>
  <si>
    <t xml:space="preserve">مقابل باب المنيوم +PVC  </t>
  </si>
  <si>
    <t xml:space="preserve">lock Body M  Aluminium+PVC  </t>
  </si>
  <si>
    <t>بنل 2 *1م PVC</t>
  </si>
  <si>
    <t>Panale PVC 2 * 1m</t>
  </si>
  <si>
    <t>بنل 2 * 3م PVC</t>
  </si>
  <si>
    <t>Panale PVC 2 * 3m</t>
  </si>
  <si>
    <t>ورق مكينة لحيم PVC</t>
  </si>
  <si>
    <t>Paper Machine Welding PVC</t>
  </si>
  <si>
    <t>ماسكة شباك PVC ابيض سنكل</t>
  </si>
  <si>
    <t>PVC window catcher white single</t>
  </si>
  <si>
    <t xml:space="preserve">مقص شباك سلفر المنيوم </t>
  </si>
  <si>
    <t>Scissors Silver Window PVC</t>
  </si>
  <si>
    <t xml:space="preserve">مقص شباك ابيض PVC </t>
  </si>
  <si>
    <t>Scissors White Window PVC</t>
  </si>
  <si>
    <t>سركي سلفر لباب PVC</t>
  </si>
  <si>
    <t>Silver Latch Door PVC</t>
  </si>
  <si>
    <t xml:space="preserve">نرمادة دسكو صغيرة </t>
  </si>
  <si>
    <t>Small Hinge Disco old</t>
  </si>
  <si>
    <t>T  المنيوم باب سلفر   T</t>
  </si>
  <si>
    <t>T Silver Door Aluminum</t>
  </si>
  <si>
    <t>باب جوزي  PVC (T)</t>
  </si>
  <si>
    <t>T Walnut Door PVC old</t>
  </si>
  <si>
    <t>T  المنيوم باب ابيض   T</t>
  </si>
  <si>
    <t>T White Door Aluminum</t>
  </si>
  <si>
    <t>باب T ابيض PVC</t>
  </si>
  <si>
    <t>T White Door PVC</t>
  </si>
  <si>
    <t xml:space="preserve">تاير شباك سلايت ثنائي </t>
  </si>
  <si>
    <t>Tire Slide Window Couple</t>
  </si>
  <si>
    <t xml:space="preserve">ماسكة باب PVC جوزي </t>
  </si>
  <si>
    <t>Walnut PVC Catch Door old</t>
  </si>
  <si>
    <t>ماسكة باب المنيوم ابيض</t>
  </si>
  <si>
    <t>White Aluminium catch Door</t>
  </si>
  <si>
    <t>زاوية ابيض بلاستك 2.5 * 2.5</t>
  </si>
  <si>
    <t>White Angle 2.5cm * 2.5cm plastic 3m</t>
  </si>
  <si>
    <t>زاوية المنيوم 2*2سم 6متر</t>
  </si>
  <si>
    <t>White Angle Aluminum 2*2cm 5m</t>
  </si>
  <si>
    <t>زاوية المنيوم 3*3سم 6متر</t>
  </si>
  <si>
    <t>White Angle Aluminum 3*3cm 5m</t>
  </si>
  <si>
    <t>زاوية المنيوم 4*4سم 6متر</t>
  </si>
  <si>
    <t>White Angle Aluminum 4*4cm 6m</t>
  </si>
  <si>
    <t>زاوية المنيوم 5*5سم 6متر</t>
  </si>
  <si>
    <t>White Angle Aluminum 5*5cm 5m</t>
  </si>
  <si>
    <t>زاوية PVC ابيض 5 * 10سم   6م</t>
  </si>
  <si>
    <t>White Angle PVC 5 * 10cm  6m</t>
  </si>
  <si>
    <t xml:space="preserve">ماسكة باب سلايت ابيض </t>
  </si>
  <si>
    <t>White Catch Slide Door old</t>
  </si>
  <si>
    <t>يدة باب ابيض سلايت PVC ابيض</t>
  </si>
  <si>
    <t xml:space="preserve">White Handle Slide Door  White PVC   </t>
  </si>
  <si>
    <t>يدة شباك المنيوم ابيض +PVC</t>
  </si>
  <si>
    <t>White Handle Window Aluminium+PVC</t>
  </si>
  <si>
    <t xml:space="preserve">سركي ابيض لباب المنيوم </t>
  </si>
  <si>
    <t>White Lock Door Aluminum</t>
  </si>
  <si>
    <t xml:space="preserve">بوري المنيوم  10*10 ابيض </t>
  </si>
  <si>
    <t>White Pipe  Aluminium 10*10cm</t>
  </si>
  <si>
    <t>بوري PVC  5.5*5.5 ابيض مربع</t>
  </si>
  <si>
    <t>White Pipe Square PVC 5.5*5.5cm</t>
  </si>
  <si>
    <t>white plastic cup water</t>
  </si>
  <si>
    <t>ماسكة باب PVC ابيض دبل</t>
  </si>
  <si>
    <t>White PVC catch Door</t>
  </si>
  <si>
    <t xml:space="preserve">نرمادة باب ابيض PVC ابو البيم </t>
  </si>
  <si>
    <t>White PVC door dashboard Abu Albeam</t>
  </si>
  <si>
    <t xml:space="preserve">ربل باب المنيوم </t>
  </si>
  <si>
    <t xml:space="preserve">White Rubber 4.5mm </t>
  </si>
  <si>
    <t xml:space="preserve">ربل ابيض مانع ذباب </t>
  </si>
  <si>
    <t>White Rubber Window Fly Blocker</t>
  </si>
  <si>
    <t>Window Fly Blocker 180cm  3mt</t>
  </si>
  <si>
    <t>مفصل(نرمادة) شباك PVC جوزي</t>
  </si>
  <si>
    <t>Window hinge Walnut PVC (Narmada)</t>
  </si>
  <si>
    <t xml:space="preserve">مفصل (نرمادة )  شباك ابيض PVC </t>
  </si>
  <si>
    <t>window hinge White  PVC(Narmada)</t>
  </si>
  <si>
    <t>حديد  باب  Z</t>
  </si>
  <si>
    <t>Z . iron door</t>
  </si>
  <si>
    <t>حديد  شباك  Z</t>
  </si>
  <si>
    <t>Z . window iron</t>
  </si>
  <si>
    <t>Z  المنيوم ابيض باب  Z</t>
  </si>
  <si>
    <t>Z White Door Aluminum</t>
  </si>
  <si>
    <t>باب Z ابيض PVC</t>
  </si>
  <si>
    <t>Z White Door PVC</t>
  </si>
  <si>
    <t>شباك Z ابيض PVC</t>
  </si>
  <si>
    <t>Z White Window PVC</t>
  </si>
  <si>
    <t>مخزن حديد / steel Store</t>
  </si>
  <si>
    <t>I-BEAM 30*15</t>
  </si>
  <si>
    <t>I-BEAM 24*12</t>
  </si>
  <si>
    <t>I-BEAM 20*40</t>
  </si>
  <si>
    <t>I-BEAM 10*20</t>
  </si>
  <si>
    <t>Remark</t>
  </si>
  <si>
    <t>بوري 10 *10 سم 3 ملم, 8 متر</t>
  </si>
  <si>
    <t>بوري 5 *10 سم 3 ملم , 7.7 متر</t>
  </si>
  <si>
    <t>بوري 10 *10 سم 3 ملم</t>
  </si>
  <si>
    <t>بوري 5 *10 سم 3 ملم</t>
  </si>
  <si>
    <t>بوري 4 *4 سم 2 ملم</t>
  </si>
  <si>
    <t>بوري 4 *8 سم 1.5 ملم</t>
  </si>
  <si>
    <t>بوري 4 *8 سم 3 ملم</t>
  </si>
  <si>
    <t>بوري 5 *5 سم 4 ملم</t>
  </si>
  <si>
    <t>بوري 5 *5 سم 2 ملم</t>
  </si>
  <si>
    <t>بوري 8 *8 سم 3 ملم</t>
  </si>
  <si>
    <t>بوري 10 *20 سم 4 ملم</t>
  </si>
  <si>
    <t>بوري 10 *15 سم 3 ملم</t>
  </si>
  <si>
    <t>بوري 15 *15 سم 3 ملم</t>
  </si>
  <si>
    <t>بوري 20 *20 سم 3 ملم</t>
  </si>
  <si>
    <t>بوري 15 *15 سم 5 ملم</t>
  </si>
  <si>
    <t xml:space="preserve">زاوية 3* 3 سم  2 ملم + كلفنايز </t>
  </si>
  <si>
    <t>ANGLE 3*3*2MM + galvanize , 6mt + 3m</t>
  </si>
  <si>
    <t>زاوية 5*5 2 ملم</t>
  </si>
  <si>
    <t xml:space="preserve"> ANGLE 5*5*2MM  , 6mt</t>
  </si>
  <si>
    <t>بوري دائري 76ملم 1.5 ملم</t>
  </si>
  <si>
    <t>زاوية 10 * 10 سم 10 ملم</t>
  </si>
  <si>
    <t>ANGLE 10*10*10 mm ,6mt</t>
  </si>
  <si>
    <t>سي جنل حديد 16 سم</t>
  </si>
  <si>
    <t>سي جنل حديد 12 سم</t>
  </si>
  <si>
    <t>سي جنل حديد 10 سم</t>
  </si>
  <si>
    <t>سي جنل حديد 6.5 سم</t>
  </si>
  <si>
    <t>بوري كلفنايز 4*4 سم 2 ملم</t>
  </si>
  <si>
    <t>بوري كلفنايز 4*8 سم 2 ملم</t>
  </si>
  <si>
    <t xml:space="preserve">شلمان 30 سم  12 متر </t>
  </si>
  <si>
    <t xml:space="preserve">شلمان 24 سم  12 متر </t>
  </si>
  <si>
    <t xml:space="preserve">شلمان 20 سم  12 متر </t>
  </si>
  <si>
    <t xml:space="preserve">شلمان 10 سم  6 متر </t>
  </si>
  <si>
    <t>EA</t>
  </si>
  <si>
    <t xml:space="preserve"> بوري كلفنايز4*2 2ملم </t>
  </si>
  <si>
    <t>Galvanis Pipe 4*2 2mm</t>
  </si>
  <si>
    <t>بليت ليفتينك بوينت 10 * 15سم 10 ملم</t>
  </si>
  <si>
    <t>Lifting Point Plate 10mm 15*10cm</t>
  </si>
  <si>
    <t>بليت تعويج 3 ملم 6 متر 2*15*15*9*2سم</t>
  </si>
  <si>
    <t>Iron Plate 3mm 6m 2*15*15*9*2 cm</t>
  </si>
  <si>
    <t>بليت تعويج 3 ملم 6 متر 2 3*3*10.5*3سم</t>
  </si>
  <si>
    <t>Iron plate 3mm 6m 3*3*10.5*3 cm</t>
  </si>
  <si>
    <t>Iron Plate 3mm 6mt 3*3*10.8*3cm</t>
  </si>
  <si>
    <t>بليت تعويج 3 ملم 6 متر 26*10.8*3سم</t>
  </si>
  <si>
    <t>Iron Plate 3mm 6mt 6*10.8*3cm</t>
  </si>
  <si>
    <t>بليت تعويج 3 ملم 6 متر 3*3*15*15*3*3 سم</t>
  </si>
  <si>
    <t>Iron Plate 3mm 6m 3*3*15*15*3*3 cm</t>
  </si>
  <si>
    <t>بليت تعويج 3 ملم 6 متر 3*3*12*7 سم</t>
  </si>
  <si>
    <t>Iron Plate 3mm 6mt 3*3*12*7cm</t>
  </si>
  <si>
    <t>Set</t>
  </si>
  <si>
    <t>Kilo</t>
  </si>
  <si>
    <t>Double</t>
  </si>
  <si>
    <t>set</t>
  </si>
  <si>
    <t xml:space="preserve"> </t>
  </si>
  <si>
    <t>Type</t>
  </si>
  <si>
    <t>Cable tray</t>
  </si>
  <si>
    <t>حمالة تراي كيبل حديد جداري 7سم</t>
  </si>
  <si>
    <t>Handle Iron Trunking Cable Wall  7cm</t>
  </si>
  <si>
    <t>Handle Iron Trunking Cable Wall 50cm</t>
  </si>
  <si>
    <t>حمالة تراي كيبل حديد جداري 60سم</t>
  </si>
  <si>
    <t>Handle Iron Trunking Cable Wall 60cm</t>
  </si>
  <si>
    <t>Lighting</t>
  </si>
  <si>
    <t>Elbow Iron Trunking Cable 60cm 45°</t>
  </si>
  <si>
    <t>عكس تراي كيبل حديد 16سم °90</t>
  </si>
  <si>
    <t>Elbow Iron Trunking Cable 16cm 90°</t>
  </si>
  <si>
    <t>wires</t>
  </si>
  <si>
    <t>Cables</t>
  </si>
  <si>
    <t>قفيص تراي كيبل حديد 5سم</t>
  </si>
  <si>
    <t>Clamp Cable Trunking 5cm</t>
  </si>
  <si>
    <t>Cover T  Iron Cable Trunking 10cm</t>
  </si>
  <si>
    <t>Cover T  Iron Cable Trunking 20cm</t>
  </si>
  <si>
    <t xml:space="preserve">ذراع تراي كيبل  حديد 10سم </t>
  </si>
  <si>
    <t>Bracket Support Trunking Cable 10cm</t>
  </si>
  <si>
    <t>كيبل اسود عادي  4*10 ملم</t>
  </si>
  <si>
    <t>Black Cable 4*10mm</t>
  </si>
  <si>
    <t xml:space="preserve"> Spot Light 5W LED Vito</t>
  </si>
  <si>
    <t xml:space="preserve"> Spot Light Wall Horoz 56W HL823L</t>
  </si>
  <si>
    <r>
      <t xml:space="preserve">كيبل اسود مسلح </t>
    </r>
    <r>
      <rPr>
        <sz val="16"/>
        <color theme="1"/>
        <rFont val="Calibri"/>
        <family val="2"/>
        <scheme val="minor"/>
      </rPr>
      <t xml:space="preserve"> 5*50 ملم</t>
    </r>
  </si>
  <si>
    <t>Gland Cable</t>
  </si>
  <si>
    <t xml:space="preserve"> Spot Light 6W LED 3Colors</t>
  </si>
  <si>
    <t xml:space="preserve"> Spot Light Circular 30W </t>
  </si>
  <si>
    <t xml:space="preserve"> Spot Light Circular 20W Horoz HL697L</t>
  </si>
  <si>
    <t xml:space="preserve"> Ventilator 8" Series</t>
  </si>
  <si>
    <t xml:space="preserve"> بورد شنايدر حديد 30خط </t>
  </si>
  <si>
    <t>Board schneider Iron 30Line</t>
  </si>
  <si>
    <t>Boards</t>
  </si>
  <si>
    <t>Antina Internet</t>
  </si>
  <si>
    <t>wires Fittings</t>
  </si>
  <si>
    <t>سكة جوزات 1م</t>
  </si>
  <si>
    <t>محولة لايت ليد 60*60 لوسيكو</t>
  </si>
  <si>
    <t>Circuit Breakers</t>
  </si>
  <si>
    <t xml:space="preserve"> تراي كيبل بلاستيك 1.2*1.2سم</t>
  </si>
  <si>
    <t xml:space="preserve"> تراي كيبل بلاستيك 2.5*4سم</t>
  </si>
  <si>
    <t>Trunking Cable 2.5*4cm Plastic</t>
  </si>
  <si>
    <t xml:space="preserve"> تراي كيبل بلاستيك 4*8سم</t>
  </si>
  <si>
    <t>Trunking Cable 4*8cm Plastic</t>
  </si>
  <si>
    <t>Elbow Pipe 25mm</t>
  </si>
  <si>
    <t>Circuit Breaker 3P 32A 30° Schneider</t>
  </si>
  <si>
    <t>CB Fittings</t>
  </si>
  <si>
    <t xml:space="preserve">لايت دائري 30واط  </t>
  </si>
  <si>
    <t>Circular Light  30W</t>
  </si>
  <si>
    <t xml:space="preserve">كلاند كيبل ستيل 13.5ملم </t>
  </si>
  <si>
    <t>Gland cable Steel 13.5mm</t>
  </si>
  <si>
    <t>Pipe Fittings</t>
  </si>
  <si>
    <t>Board schneider Iron 18Line SEA8BN6HD6R</t>
  </si>
  <si>
    <t>بورد حديد تيمبا 36 خط</t>
  </si>
  <si>
    <t>Electric Board 36L Tempa</t>
  </si>
  <si>
    <t xml:space="preserve">سويج تيست للايت الشحن </t>
  </si>
  <si>
    <t>Emergency test switch</t>
  </si>
  <si>
    <t>بورد كهرباء حديد 30*25*15</t>
  </si>
  <si>
    <t>Iron  Electric board 15*25*30</t>
  </si>
  <si>
    <t>بورد كهرباء حديد 15*30*40</t>
  </si>
  <si>
    <t>Iron  Electric board 15*30*40</t>
  </si>
  <si>
    <t>بورد كهرباء حديد 50*40*20</t>
  </si>
  <si>
    <t>Iron  Electric board 50*40*20</t>
  </si>
  <si>
    <t>fire alarm cable 2 core, 1.5mm</t>
  </si>
  <si>
    <t>كلوب بلاجكتور 1000واط</t>
  </si>
  <si>
    <t xml:space="preserve">Light Projector 1000W </t>
  </si>
  <si>
    <t>كلوب بلاجكتور 125واط</t>
  </si>
  <si>
    <t xml:space="preserve">Light Projector 125W </t>
  </si>
  <si>
    <t>لايت سقفي ITOROS.HL. 832 L</t>
  </si>
  <si>
    <t>Light Roof ITOROS.HL. 832</t>
  </si>
  <si>
    <t>لايت سقفي ITOROS.HL. 833 L</t>
  </si>
  <si>
    <t>Light Roof ITOROS.HL. 833</t>
  </si>
  <si>
    <t>Normal Bulb 80W</t>
  </si>
  <si>
    <t>junction Box</t>
  </si>
  <si>
    <t xml:space="preserve">بوكس سويج بلك ثلاثي بلاستيك </t>
  </si>
  <si>
    <t>Plastic Box triple Switch plug</t>
  </si>
  <si>
    <t>بورد كهرباء 12خط بلاستيك موتولسن</t>
  </si>
  <si>
    <t>بورد كهرباء 4خط بلاستيك EC</t>
  </si>
  <si>
    <t>بلاجكتور  400واط  Detay</t>
  </si>
  <si>
    <t>Projector 400W Detay</t>
  </si>
  <si>
    <t xml:space="preserve">Mccb </t>
  </si>
  <si>
    <t>سويج بلك BG انترنت</t>
  </si>
  <si>
    <t>Switch Plug BG Internet</t>
  </si>
  <si>
    <t>Switch Plug BG Satalite FTM</t>
  </si>
  <si>
    <t xml:space="preserve">سويج بلك جوكير  ثنائي اديسون </t>
  </si>
  <si>
    <t>Switch plug Jocker Double Adison</t>
  </si>
  <si>
    <t>سويج بلك جوكير  ثنائي FYM</t>
  </si>
  <si>
    <t>Switch plug Jocker Double FYM</t>
  </si>
  <si>
    <t>سويج بلك جوكير  احادي Legrand</t>
  </si>
  <si>
    <t>Switch plug Jocker Single  Legrand</t>
  </si>
  <si>
    <t>Black iron box Lee Swig black ground</t>
  </si>
  <si>
    <t>ثيرمال ديتكتور  كاشف حراري</t>
  </si>
  <si>
    <t>Thermal Detector</t>
  </si>
  <si>
    <t>ثيرموستات F/1000</t>
  </si>
  <si>
    <t>Black Iron Double Box Swig</t>
  </si>
  <si>
    <t>ساحبة صناعية جدارية 20*20سم</t>
  </si>
  <si>
    <t>لايت جداري HL 653</t>
  </si>
  <si>
    <t>Wall Light HL 653</t>
  </si>
  <si>
    <t xml:space="preserve"> بوكس سويج بلك احادي بلاستيك 8*8سم ابيض</t>
  </si>
  <si>
    <t>White Box Switch Plug Single Plastic 8*8cm</t>
  </si>
  <si>
    <t>كونكتر يتركب على سكة جوزات لون ازرق</t>
  </si>
  <si>
    <t>Terminal Block 10mm</t>
  </si>
  <si>
    <t xml:space="preserve">تراي كيبل 2.5 * 2.5 سم </t>
  </si>
  <si>
    <t>Trunking Cable 2.5*2.5cm Plastic</t>
  </si>
  <si>
    <t>ساحبة سينار 8 انج</t>
  </si>
  <si>
    <t xml:space="preserve">Ventilator 8" Sinar </t>
  </si>
  <si>
    <t>بورد بلاستك 8 خط ليكراند</t>
  </si>
  <si>
    <t>Electric board 8 Line Plastic  Legrand</t>
  </si>
  <si>
    <t>بورد حديد 24 خط هافلس</t>
  </si>
  <si>
    <t xml:space="preserve">Electric board Havells iron 24 Line </t>
  </si>
  <si>
    <t>بورد حديد 12 خط</t>
  </si>
  <si>
    <t>Electric board N&amp;Z 12 Line</t>
  </si>
  <si>
    <t>سبوت لايت 5واط فيتو</t>
  </si>
  <si>
    <t>سبوت لايت 6 واط 3 الوان</t>
  </si>
  <si>
    <t>سبوت لايت دائري 20 واط هورز</t>
  </si>
  <si>
    <t>سبوت لايت دائري 30 واط</t>
  </si>
  <si>
    <t>سبوت لايت جداري 56 واط هورز</t>
  </si>
  <si>
    <t>ساحبة 8 انج ايسون</t>
  </si>
  <si>
    <t>Ventilator 8" Eason</t>
  </si>
  <si>
    <t>ساحبة 8 انج سيرس</t>
  </si>
  <si>
    <t>بورد شنايدر 18 خط</t>
  </si>
  <si>
    <t>voltage transformer Light LED 60*60 Loceco</t>
  </si>
  <si>
    <t>غطاء عكس تراي كيبل حديد 20 سم</t>
  </si>
  <si>
    <t>غطاء عكس تراي كيبل حديد 10 سم</t>
  </si>
  <si>
    <t xml:space="preserve">عكس تراي كيبل حديد 5سم </t>
  </si>
  <si>
    <t>Elbow Iron Trunking Cable 5cm</t>
  </si>
  <si>
    <t xml:space="preserve">عكس  بوري بلاستك 25ملم </t>
  </si>
  <si>
    <t>كلوب عادي 80 واط</t>
  </si>
  <si>
    <t xml:space="preserve">جوزة شنايدر احادي 6 امبير </t>
  </si>
  <si>
    <t>Circuit Breaker 1P 6A 50° Schneider</t>
  </si>
  <si>
    <t>بورد كهربائي بلاستيك 6 خط</t>
  </si>
  <si>
    <t>Electric board 6 Line plastic</t>
  </si>
  <si>
    <t>بورد كهربائي حديد تيمبا 30خط</t>
  </si>
  <si>
    <t>Electric board 30L iron Tempa</t>
  </si>
  <si>
    <t>بورد كهرباء 12خط بلاستيك Legrand</t>
  </si>
  <si>
    <t>Electric board 12 Line Plastic  Legrand</t>
  </si>
  <si>
    <t>Electrical Board 12line Plastic Mutolsan</t>
  </si>
  <si>
    <t>Electrical Board Plastic 4 line  EC</t>
  </si>
  <si>
    <t>بورد كهرباء 8  خط بلاستيك EC</t>
  </si>
  <si>
    <t>Electrical Board Plastic 8 line  EC</t>
  </si>
  <si>
    <t>بورد كهرباء 24  خط بلاستيك EC</t>
  </si>
  <si>
    <t>Electrical Board Plastic 24 line  EC</t>
  </si>
  <si>
    <t>كيبل انترنت</t>
  </si>
  <si>
    <t xml:space="preserve">Internet Cable </t>
  </si>
  <si>
    <t xml:space="preserve">بوكس استراحة حديد 10*10 سم </t>
  </si>
  <si>
    <t>Junction Box 10*10cm iron Gray</t>
  </si>
  <si>
    <t>بوكس استراحة حديد  11*11 سم</t>
  </si>
  <si>
    <t>Junction Box 11*11cm iron Gray</t>
  </si>
  <si>
    <t>بوكس استراحة حديد  8*8 سم</t>
  </si>
  <si>
    <t>Junction Box 8*8cm Plastic Gray</t>
  </si>
  <si>
    <t>Industrial Ventilator 20*20cm</t>
  </si>
  <si>
    <t>Trunking Cable 1.2*1.2cm</t>
  </si>
  <si>
    <t>Thermostate F/1000</t>
  </si>
  <si>
    <t>حمالة تراي كيبل حديد جداري 50سم</t>
  </si>
  <si>
    <t xml:space="preserve">فيشة كرفان فحل ونثية </t>
  </si>
  <si>
    <t>Socket 3p 16a (male + female)</t>
  </si>
  <si>
    <t xml:space="preserve"> انتينا انترنت</t>
  </si>
  <si>
    <t xml:space="preserve">بوكس اسود حديد احادي لسويج بلك ارضي </t>
  </si>
  <si>
    <t xml:space="preserve"> بوكس سويج بلك ثنائي حديد </t>
  </si>
  <si>
    <t>الوحدة
Unit</t>
  </si>
  <si>
    <t>Rate Per Unit
القيمة لكل وحدة</t>
  </si>
  <si>
    <t>الكمية
Qty</t>
  </si>
  <si>
    <t xml:space="preserve">Total Unit
المجموع </t>
  </si>
  <si>
    <t>Remark
ملاحظة</t>
  </si>
  <si>
    <t xml:space="preserve">توصالة كاز حديد 1"*3/4 </t>
  </si>
  <si>
    <t>Adapter Nipple 1" * 3/4 Gazoil</t>
  </si>
  <si>
    <t>Adapter Nipple For pvc welding machine</t>
  </si>
  <si>
    <t>ادابتر شور 1/2* 25ملم</t>
  </si>
  <si>
    <t>Adapter shower PPR 1/2*25</t>
  </si>
  <si>
    <t>ادبتر 1/2*3/4 PPR حراري</t>
  </si>
  <si>
    <t>Adpter PPR 3/4*1/2 Thermal</t>
  </si>
  <si>
    <t>ادابتر  UPVC 90*110</t>
  </si>
  <si>
    <t>Adpter UPVC 90*110</t>
  </si>
  <si>
    <t xml:space="preserve"> ادبتر هواء مع زبانة صوندة 1/4</t>
  </si>
  <si>
    <t>Air Adpter With Nipple Hose Air 1/4</t>
  </si>
  <si>
    <t>قبغ تنفيس 2.5"</t>
  </si>
  <si>
    <t>Air Cap  2.5" PVC</t>
  </si>
  <si>
    <t>قبغ تنفيس 4"</t>
  </si>
  <si>
    <t>Air Cap  4" PVC</t>
  </si>
  <si>
    <t>قبغ تنفيس 1.5"</t>
  </si>
  <si>
    <t>Air Cap 1.5" PVC</t>
  </si>
  <si>
    <t>كب 1.5"</t>
  </si>
  <si>
    <t>Cap 1.5" UPVC Gray</t>
  </si>
  <si>
    <t>كب 4"</t>
  </si>
  <si>
    <t>Cap 4" UPVC Gray</t>
  </si>
  <si>
    <t>كب 2"</t>
  </si>
  <si>
    <t>Cap 2" UPVC Gray</t>
  </si>
  <si>
    <t>كب 2.5"</t>
  </si>
  <si>
    <t>Cap 2.5" UPVC Gray</t>
  </si>
  <si>
    <t>كب 3"</t>
  </si>
  <si>
    <t>Cap 3" UPVC Gray</t>
  </si>
  <si>
    <t xml:space="preserve">طوافة مبردة </t>
  </si>
  <si>
    <t>Air Cooler Float Export</t>
  </si>
  <si>
    <t>تقسيم هواء 6ملم حديد</t>
  </si>
  <si>
    <t>Air Split 6mm Galvanis</t>
  </si>
  <si>
    <t>اوتماتيك ماء Top One</t>
  </si>
  <si>
    <t>Automatic Water Pump  KP-36</t>
  </si>
  <si>
    <t>اوتوماتيك ماطور ماء 1/8بار 4كيلواط 16امبير 380فولط</t>
  </si>
  <si>
    <t>Automatic Water Pump 1/8Bar 4KW 16A</t>
  </si>
  <si>
    <t>اوتوماتيك ماطور 3 فيز 8بار</t>
  </si>
  <si>
    <t>Automatic Water Pump 3P  8Bar</t>
  </si>
  <si>
    <t xml:space="preserve">اوتوماتيك ماطور ماء ستار </t>
  </si>
  <si>
    <t>Automatic Water Pump Star PS-3c</t>
  </si>
  <si>
    <t>بانيو حمام فايبركلاس</t>
  </si>
  <si>
    <t>Banyo Bathrooms Fiberglass 54*75*170</t>
  </si>
  <si>
    <t>مغسلة فيترا</t>
  </si>
  <si>
    <t xml:space="preserve"> Ceramic Wash Basin Vitra 5529B003-0156</t>
  </si>
  <si>
    <t xml:space="preserve">قاعدة شور مربع 80*80سم </t>
  </si>
  <si>
    <t>Base Shower Squear  80*80cm</t>
  </si>
  <si>
    <t>قاعدة شور مربع 90*90سم مع زجاج وصوندة تصريف</t>
  </si>
  <si>
    <t>Base Shower Squear With Mirror 90*90cm</t>
  </si>
  <si>
    <t>سيفون تواليت شرقي</t>
  </si>
  <si>
    <t xml:space="preserve">East Toilet Flush </t>
  </si>
  <si>
    <t xml:space="preserve">شور 90*90سم سلايت جام </t>
  </si>
  <si>
    <t>Base Shower With Mirror 90*90</t>
  </si>
  <si>
    <t xml:space="preserve">قاعدة ستيل فرشة تواليت+قاعدة كلينكس رولة </t>
  </si>
  <si>
    <t>Base Steel Brush+Base Kleenex Roll</t>
  </si>
  <si>
    <t xml:space="preserve">تواليت فيترا </t>
  </si>
  <si>
    <t>Base Western Toilet Vitra 5780B003-0092</t>
  </si>
  <si>
    <t>منهول ستيل 10*10سم نوعية</t>
  </si>
  <si>
    <t>Bathroom Drain steel 10*10cm</t>
  </si>
  <si>
    <t xml:space="preserve">منهول ستيل 15*15سم  </t>
  </si>
  <si>
    <t>Bathroom Drain Steel 15*15cm</t>
  </si>
  <si>
    <t xml:space="preserve">مصفى فلتر ماء كبير </t>
  </si>
  <si>
    <t xml:space="preserve">Big Filter Water </t>
  </si>
  <si>
    <t>منهول كبير بلاستك 50* 50 سم</t>
  </si>
  <si>
    <t xml:space="preserve">Big Manhole Box Plastic 50*50cm </t>
  </si>
  <si>
    <t xml:space="preserve">غطاء اسود لفلتر ماء نوع كبير </t>
  </si>
  <si>
    <t>Black Cover Filter Water</t>
  </si>
  <si>
    <t xml:space="preserve">صوندة كاز 20سم 60ملم  مع قفيص حديد </t>
  </si>
  <si>
    <t>Black Hose Gas 20cm 60mm Whit Clamp</t>
  </si>
  <si>
    <t xml:space="preserve">بوري مدور1/2 اسود كاربون ستيل </t>
  </si>
  <si>
    <t>Black Pipe 1/2 Carbon Steel 6mt</t>
  </si>
  <si>
    <t xml:space="preserve">بوري مدور3/4 اسود كاربون ستيل </t>
  </si>
  <si>
    <t>Black Pipe 3/4 Carbon Steel 6mt</t>
  </si>
  <si>
    <t xml:space="preserve">عازل بوري "1 180سم اسود </t>
  </si>
  <si>
    <t>Black Pipe Insulator 1" 180cm</t>
  </si>
  <si>
    <t>صوندة سحب مياه ثقيلة لون ازرق ايطالي</t>
  </si>
  <si>
    <t>Hose Black Water 2.5"</t>
  </si>
  <si>
    <t>بوري زراعي ربل 6 انج</t>
  </si>
  <si>
    <t>Agriculture Pipe Rubble 6"</t>
  </si>
  <si>
    <t>سخان امريكان 106 لتر</t>
  </si>
  <si>
    <t>Boiler 106 Liter(American)</t>
  </si>
  <si>
    <t>سخان برادفورد 114 لتر</t>
  </si>
  <si>
    <t>Boiler 114Liter(Brad Ford)</t>
  </si>
  <si>
    <t>سخان برادفورد 151 لتر</t>
  </si>
  <si>
    <t>Boiler 151Liter(Brad Ford)</t>
  </si>
  <si>
    <t>سخان امريكان 189لتر</t>
  </si>
  <si>
    <t>Boiler 189Liter(American)</t>
  </si>
  <si>
    <t>سخان براد فورد 189لتر</t>
  </si>
  <si>
    <t>Boiler 189Liter(Brad Ford)</t>
  </si>
  <si>
    <t>سخان برادفورد 303لتر</t>
  </si>
  <si>
    <t>Boiler 303Liter(Brad Ford)</t>
  </si>
  <si>
    <t>سخان امريكان 400لتر</t>
  </si>
  <si>
    <t>Boiler 400Liter(American)</t>
  </si>
  <si>
    <t>سخان برادفورد 450لتر</t>
  </si>
  <si>
    <t>Boiler 450Liter(Brad Ford)</t>
  </si>
  <si>
    <t>سخان برادفورد 45لتر</t>
  </si>
  <si>
    <t>Boiler 45Liter(Brad Ford)</t>
  </si>
  <si>
    <t>سخان ماء تعليق 45لتر</t>
  </si>
  <si>
    <t>Boiler 50Liter(Electric house)</t>
  </si>
  <si>
    <t>سخان برادفورد 72لتر</t>
  </si>
  <si>
    <t xml:space="preserve">Boiler 72Liter(Brad Ford) </t>
  </si>
  <si>
    <t xml:space="preserve">سخان فوري كهربائي 15امبير </t>
  </si>
  <si>
    <t>Boiler Italy Brass 3.5kw D-55 C1</t>
  </si>
  <si>
    <t>سخان ماء GMO</t>
  </si>
  <si>
    <t>Boiler GMO</t>
  </si>
  <si>
    <t>سخان ماء اريستون</t>
  </si>
  <si>
    <t>Boiler Ariston</t>
  </si>
  <si>
    <t xml:space="preserve">بوكس منهول 30*30سم </t>
  </si>
  <si>
    <t xml:space="preserve">Box Manhole Plastic  30*30cm </t>
  </si>
  <si>
    <t xml:space="preserve">بوكس منهول 40*40سم </t>
  </si>
  <si>
    <t xml:space="preserve">Box Manhole Plastic  40*40cm </t>
  </si>
  <si>
    <t>حمالة خاولي ستيل بوري</t>
  </si>
  <si>
    <t>Towels Holder Steel Pipe</t>
  </si>
  <si>
    <t xml:space="preserve">حنفية 1/2 </t>
  </si>
  <si>
    <t>Brass Hose 1/2</t>
  </si>
  <si>
    <t>حنفية 1/2*3/4 تروبير</t>
  </si>
  <si>
    <t>Brass Hose 1/2*3/4 Truper</t>
  </si>
  <si>
    <t>سن خارجي حديد مع توصالة حديد</t>
  </si>
  <si>
    <t>Brass travsition Female 1.25" hdpe agriculture</t>
  </si>
  <si>
    <t>Brass travsition Female 1.5" hdpe agriculture</t>
  </si>
  <si>
    <t>Brass travsition Female 2" hdpe agriculture</t>
  </si>
  <si>
    <t xml:space="preserve">فرشاة تنظيف تواليت قاعدة زجاج فيترا </t>
  </si>
  <si>
    <t xml:space="preserve">Brush Cleaner Toilet Base Glass Vitra A44948 </t>
  </si>
  <si>
    <t>كب 1.25 PPR</t>
  </si>
  <si>
    <t>Cap  1.25 PPR</t>
  </si>
  <si>
    <t>كب "1.5 PPR</t>
  </si>
  <si>
    <t>Cap  1.5" PPR</t>
  </si>
  <si>
    <t>كب "1.5 PVC</t>
  </si>
  <si>
    <t>Cap  1.5" PVC</t>
  </si>
  <si>
    <t>كب "2.5 PVC</t>
  </si>
  <si>
    <t>Cap  2.5" PVC</t>
  </si>
  <si>
    <t>كب 3/4 PPR</t>
  </si>
  <si>
    <t>Cap  3/4 PPR</t>
  </si>
  <si>
    <t>كب 4" PVC</t>
  </si>
  <si>
    <t>Cap  4" PVC</t>
  </si>
  <si>
    <t xml:space="preserve">كب 5 " UPVC مع واشر </t>
  </si>
  <si>
    <t xml:space="preserve">Cap  5" UPVC WITH WASHER </t>
  </si>
  <si>
    <t>كب "6 PVC</t>
  </si>
  <si>
    <t>Cap  6" PVC</t>
  </si>
  <si>
    <t>كب  "1 PPR</t>
  </si>
  <si>
    <t>Cap 1" PPR</t>
  </si>
  <si>
    <t xml:space="preserve">سداد 2" كاز حديد </t>
  </si>
  <si>
    <t>Cap 2" Gazoil</t>
  </si>
  <si>
    <t>كب "2 PPR</t>
  </si>
  <si>
    <t>Cap 2" PPR</t>
  </si>
  <si>
    <t>مغسلة سيراميك عادي</t>
  </si>
  <si>
    <t xml:space="preserve">Ceramic Wash Basin normal </t>
  </si>
  <si>
    <t>مغسلة سيراميك توتا 111</t>
  </si>
  <si>
    <t>Ceramic Wash Basin Toota 111</t>
  </si>
  <si>
    <t>مغسلة سيراميك توتا 222</t>
  </si>
  <si>
    <t>Ceramic Wash Basin Toota 222</t>
  </si>
  <si>
    <t>مغسلة سيراميك تركي EGE</t>
  </si>
  <si>
    <t>Ceramic Wash Basin Turki EGE</t>
  </si>
  <si>
    <t xml:space="preserve">مغسلة فيترا </t>
  </si>
  <si>
    <t>Ceramic Wash Basin Vitra 5504B003-0001</t>
  </si>
  <si>
    <t>جك فالف "1</t>
  </si>
  <si>
    <t>جك فالف "1.25</t>
  </si>
  <si>
    <t>Check Valve 1.25</t>
  </si>
  <si>
    <t xml:space="preserve">جك فالف  1.25  UPVC </t>
  </si>
  <si>
    <t>Check Valve 1.5" UPVC</t>
  </si>
  <si>
    <t>جك فالف حديد 1.5</t>
  </si>
  <si>
    <t>Check Valve 1.5</t>
  </si>
  <si>
    <t>جك فالف حديد 0.5</t>
  </si>
  <si>
    <t>Check Valve 0.5</t>
  </si>
  <si>
    <t>جك فالف حديد 2"</t>
  </si>
  <si>
    <t>جك فالف كاز 2.5"</t>
  </si>
  <si>
    <t>Check Valve 2.5" Gazoil</t>
  </si>
  <si>
    <t>جك فالف حديد 2.5"</t>
  </si>
  <si>
    <t xml:space="preserve">جك فالف حديد 3/4 </t>
  </si>
  <si>
    <t>Check Valve 3/4</t>
  </si>
  <si>
    <t>جك فالف حديد 3"</t>
  </si>
  <si>
    <t>Check Valve 3" Galvanize</t>
  </si>
  <si>
    <t>تواليت سفري</t>
  </si>
  <si>
    <t>Chemical Toilet</t>
  </si>
  <si>
    <t>قفيص "4 كلفنايس صنع محلي</t>
  </si>
  <si>
    <t>Clamp 4" Duct Galvanis Flex</t>
  </si>
  <si>
    <t>قفيص  زراعي "4</t>
  </si>
  <si>
    <t>Clamp Agricultural 4"</t>
  </si>
  <si>
    <t>قفيص صوندة 19ملم يدوي متغير برغي واحد</t>
  </si>
  <si>
    <t xml:space="preserve">Clamp Home 19mm  </t>
  </si>
  <si>
    <t>قفيص صوندة 10ملم</t>
  </si>
  <si>
    <t>Clamp Hose  10mm</t>
  </si>
  <si>
    <t xml:space="preserve">قفيص صوندة </t>
  </si>
  <si>
    <t xml:space="preserve">Clamp Hose </t>
  </si>
  <si>
    <t>قفيص صوندة  12- 20 ملم</t>
  </si>
  <si>
    <t>Clamp Hose Water</t>
  </si>
  <si>
    <t>قفيص صوندة  2"</t>
  </si>
  <si>
    <t>Clamp Water Hose 2"</t>
  </si>
  <si>
    <t>كلين اوت 1.5" PVC</t>
  </si>
  <si>
    <t>Clean Out 1.5" PVC</t>
  </si>
  <si>
    <t>كلين اوت 2.5" PVC</t>
  </si>
  <si>
    <t>Clean Out 2.5" PVC</t>
  </si>
  <si>
    <t>كلين اوت 4" PVC</t>
  </si>
  <si>
    <t>Clean Out 4" PVC</t>
  </si>
  <si>
    <t>كلين اوت 6" PVC</t>
  </si>
  <si>
    <t>Clean Out 6" PVC</t>
  </si>
  <si>
    <t>صوندة ماء "2 شفاف ابو التيل مسلح</t>
  </si>
  <si>
    <t xml:space="preserve">Clear Armor Hose Water 2" </t>
  </si>
  <si>
    <t>صوندة ماء "6 شفاف ابو التيل مسلح</t>
  </si>
  <si>
    <t xml:space="preserve">Clear Armor Hose Water 6" </t>
  </si>
  <si>
    <t>صوندة ماء 1/2 شفاف ابو التيل</t>
  </si>
  <si>
    <t>Clear Hose Water 1/2</t>
  </si>
  <si>
    <t>صوندة ماء "2 شفاف ابو التيل</t>
  </si>
  <si>
    <t xml:space="preserve">Clear Hose Water 2" </t>
  </si>
  <si>
    <t xml:space="preserve">حمالة ملابس دبل ستيل </t>
  </si>
  <si>
    <t>Cloth Holder Double Steel</t>
  </si>
  <si>
    <t xml:space="preserve">حمالة ملابس بوري </t>
  </si>
  <si>
    <t>Cloth Holder Pipe Steel</t>
  </si>
  <si>
    <t xml:space="preserve">حمالة ملابس ثلاثية ستيل </t>
  </si>
  <si>
    <t>Cloth Holder Triple Steel</t>
  </si>
  <si>
    <t>توصالة "4 PVC turki واشر</t>
  </si>
  <si>
    <t xml:space="preserve">Coupling PVC Washer Turki </t>
  </si>
  <si>
    <t>توصالة "6 PVC turki واشر</t>
  </si>
  <si>
    <t>Coupling PVC Washer Turki  6</t>
  </si>
  <si>
    <t>PPR1.25" توصالة</t>
  </si>
  <si>
    <t>Coupling   1.25" PPR</t>
  </si>
  <si>
    <t>توصالة "2.5 UPVC تركي واشر</t>
  </si>
  <si>
    <t>Coupling  2.5" UPVC Washer</t>
  </si>
  <si>
    <t>PVC 1.5" توصالة</t>
  </si>
  <si>
    <t>Coupling  PVC 1.5"</t>
  </si>
  <si>
    <t xml:space="preserve"> 1.25" توصالة حديد</t>
  </si>
  <si>
    <t xml:space="preserve">Coupling 1/2  Galvanis  </t>
  </si>
  <si>
    <t xml:space="preserve"> 1.5" توصالة كاز</t>
  </si>
  <si>
    <t xml:space="preserve">Coupling 1/2 Gazoil  </t>
  </si>
  <si>
    <t>توصالة 1/2 PPR</t>
  </si>
  <si>
    <t>Coupling 1/2 PPR</t>
  </si>
  <si>
    <t>تطوالة كاز سن داخلي+خارجي 6سم 1/2</t>
  </si>
  <si>
    <t xml:space="preserve">Coupling 1/2" Gaz Male&amp;Female 6cm </t>
  </si>
  <si>
    <t>توصالة زراعي 16ملم 50قدم</t>
  </si>
  <si>
    <t>Coupling 1"  Agricultura 32mm</t>
  </si>
  <si>
    <t xml:space="preserve"> 1" توصالة حديد</t>
  </si>
  <si>
    <t>Coupling 1"  Galvanis</t>
  </si>
  <si>
    <t xml:space="preserve"> 1" توصالة كاز</t>
  </si>
  <si>
    <t xml:space="preserve">Coupling 1" Gazoil   </t>
  </si>
  <si>
    <t>PPR 1" توصالة</t>
  </si>
  <si>
    <t>Coupling 1" PPR</t>
  </si>
  <si>
    <t xml:space="preserve">توصالة "1 UPVC </t>
  </si>
  <si>
    <t>Coupling 1" UPVC</t>
  </si>
  <si>
    <t xml:space="preserve"> توصالة  زراعي</t>
  </si>
  <si>
    <t>Coupling 1.25" hdpe agriculture</t>
  </si>
  <si>
    <t xml:space="preserve">توصالة "1.5 كلفنايز </t>
  </si>
  <si>
    <t xml:space="preserve">Coupling 1.5" Galvanis </t>
  </si>
  <si>
    <t xml:space="preserve">توصالة "1.5 PPR </t>
  </si>
  <si>
    <t>Coupling 1.5" PPR</t>
  </si>
  <si>
    <t xml:space="preserve">توصالة "2 حديد </t>
  </si>
  <si>
    <t>Coupling 2" Galvanis</t>
  </si>
  <si>
    <t xml:space="preserve">توصالة "2.5 حديد </t>
  </si>
  <si>
    <t>Coupling 2.5" Galvanis</t>
  </si>
  <si>
    <t>Coupling 2" hdpe agriculture</t>
  </si>
  <si>
    <t>توصالة "2 PPR</t>
  </si>
  <si>
    <t>Coupling 2" PPR</t>
  </si>
  <si>
    <t>توصالة "2.5 PVC</t>
  </si>
  <si>
    <t>Coupling  PVC 2.5"</t>
  </si>
  <si>
    <t xml:space="preserve">توصالة 3/4 حديد </t>
  </si>
  <si>
    <t>Coupling 3/4 Galvanis</t>
  </si>
  <si>
    <t>توصالة كاز 3/4</t>
  </si>
  <si>
    <t xml:space="preserve">Coupling 3/4 Gaz </t>
  </si>
  <si>
    <t>توصالة "3/4 PPR</t>
  </si>
  <si>
    <t>Coupling 3/4 PPR</t>
  </si>
  <si>
    <t xml:space="preserve">توصالة "3/4 UPVC </t>
  </si>
  <si>
    <t>Coupling 3/4" UPVC</t>
  </si>
  <si>
    <t xml:space="preserve">توصالة 2 UPVC </t>
  </si>
  <si>
    <t>Coupling 2" UPVC</t>
  </si>
  <si>
    <t xml:space="preserve">توصالة1/2 UPVC </t>
  </si>
  <si>
    <t>Coupling 1/2" UPVC</t>
  </si>
  <si>
    <t xml:space="preserve">توصالة  1.25    UPVC </t>
  </si>
  <si>
    <t>Coupling 1.25" UPVC</t>
  </si>
  <si>
    <t xml:space="preserve">توصالة  1.5    UPVC </t>
  </si>
  <si>
    <t>Coupling 1.5" UPVC</t>
  </si>
  <si>
    <t xml:space="preserve">توصالة 3 UPVC </t>
  </si>
  <si>
    <t>Coupling 3" UPVC Gray</t>
  </si>
  <si>
    <t xml:space="preserve">توصالة 3" كلفنايز </t>
  </si>
  <si>
    <t>Coupling 3"  Galvanis</t>
  </si>
  <si>
    <t>Coupling 3" hdpe agriculture</t>
  </si>
  <si>
    <t xml:space="preserve">توصالة "4 كلفنايز </t>
  </si>
  <si>
    <t>Coupling 4" Galvanis</t>
  </si>
  <si>
    <t>Coupling 4" hdpe agriculture</t>
  </si>
  <si>
    <t>توصالة 4" pvc</t>
  </si>
  <si>
    <t>Coupling 4" PVC</t>
  </si>
  <si>
    <t>توصالة 4" UPVC رصاصي</t>
  </si>
  <si>
    <t xml:space="preserve">Coupling 4" UPVC Gray </t>
  </si>
  <si>
    <t>Coupling 5" PVC turkey with washer</t>
  </si>
  <si>
    <t>توصالة  2.5" PVC تركي</t>
  </si>
  <si>
    <t>Coupling 2.5" PVC turkey with washer</t>
  </si>
  <si>
    <t xml:space="preserve">توصالة  6" PVC </t>
  </si>
  <si>
    <t>Coupling 6" PVC</t>
  </si>
  <si>
    <t>توصالة زراعي 1.5"</t>
  </si>
  <si>
    <t>Coupling Agricultural 1.5"</t>
  </si>
  <si>
    <t>توصالة زراعي 2"</t>
  </si>
  <si>
    <t>Coupling Agricultural 2"</t>
  </si>
  <si>
    <t>توصالة زراعي 2.5"</t>
  </si>
  <si>
    <t>Coupling Agricultural 2.5"</t>
  </si>
  <si>
    <t>قبغ شكلة حديد "2</t>
  </si>
  <si>
    <t>قبغ شكلة حديد "4</t>
  </si>
  <si>
    <t>كفر تواليت عادي</t>
  </si>
  <si>
    <t>Cover Western Toilet (Normal)</t>
  </si>
  <si>
    <t>كفر تواليت فيترا</t>
  </si>
  <si>
    <t>Cover Western Toilet Vitra 94003-001</t>
  </si>
  <si>
    <t xml:space="preserve">منهول بلاستيك 20*20سم </t>
  </si>
  <si>
    <t>Drain Plastic 20*20cm</t>
  </si>
  <si>
    <t xml:space="preserve">منهول بلاستك 15*15سم </t>
  </si>
  <si>
    <t>Drain Plastic 15*15cm Manhole</t>
  </si>
  <si>
    <t>عكس حريق 1" 45°</t>
  </si>
  <si>
    <t>Elbow  1" 45° Iron Fire</t>
  </si>
  <si>
    <t>عكس حريق 1" 45° طويل</t>
  </si>
  <si>
    <t>Elbow  1" 45° Iron Fire Long</t>
  </si>
  <si>
    <t>عكس حريق 1.5" 45°</t>
  </si>
  <si>
    <t>Elbow  1.5" 45° Iron Fire</t>
  </si>
  <si>
    <t>عكس حريق 2" 45°</t>
  </si>
  <si>
    <t>Elbow  2" 45° Iron Fire</t>
  </si>
  <si>
    <t>عكس حريق 3/4" 45°</t>
  </si>
  <si>
    <t>Elbow  3/4 45° Iron Fire</t>
  </si>
  <si>
    <t>عكس حريق 3/4" 90°</t>
  </si>
  <si>
    <t>Elbow  3/4 90° Iron Fire</t>
  </si>
  <si>
    <t>عكس حريق 1/2" 90°</t>
  </si>
  <si>
    <t>Elbow  1/2 90° Iron Fire</t>
  </si>
  <si>
    <t>عكس حريق 1/2" 45°</t>
  </si>
  <si>
    <t>Elbow  1/2 45° Iron Fire</t>
  </si>
  <si>
    <t>تقسيم تي حريق 1/2"</t>
  </si>
  <si>
    <t>Split T  Gazoil 1\2  Iron Fire</t>
  </si>
  <si>
    <t>تقسيم تي حريق 3/4"</t>
  </si>
  <si>
    <t>Split T  Gazoil 3\4  Iron Fire</t>
  </si>
  <si>
    <t>تقسيم تي حريق 1"</t>
  </si>
  <si>
    <t>Split T  Gazoil 1 Iron Fire</t>
  </si>
  <si>
    <t>توصالة كاز 1/2" حريق</t>
  </si>
  <si>
    <t>Coupling Gazoil 1/2  Iron Fire</t>
  </si>
  <si>
    <t>توصالة كاز 1" حريق</t>
  </si>
  <si>
    <t>Coupling Gazoil 1  Iron Fire</t>
  </si>
  <si>
    <t>توصالة كاز 3/4" حريق</t>
  </si>
  <si>
    <t>Coupling Gazoil 3/4  Iron Fire</t>
  </si>
  <si>
    <t>مصغرة كاز  3/4* 1/2 حريق</t>
  </si>
  <si>
    <t>Reducer Gazoil  1/2*3/4  Iron Fire</t>
  </si>
  <si>
    <t>عكس حريق 1" 90°</t>
  </si>
  <si>
    <t>Elbow  1" 90° Iron Fire</t>
  </si>
  <si>
    <t xml:space="preserve">عكس "4 °45 PVC </t>
  </si>
  <si>
    <t>Elbow 45  4" PVC</t>
  </si>
  <si>
    <t xml:space="preserve">عكس "6 °45 PVC </t>
  </si>
  <si>
    <t>Elbow  45°  6" PVC</t>
  </si>
  <si>
    <t>عكس °90  "2.5 PVC</t>
  </si>
  <si>
    <t>Elbow 90° 2.5" PVC</t>
  </si>
  <si>
    <t xml:space="preserve">عكس 90   4 انج </t>
  </si>
  <si>
    <t>Elbow 90° 4" PVC</t>
  </si>
  <si>
    <t>عكس °90  "6 PVC</t>
  </si>
  <si>
    <t>Elbow  90°  6" PVC</t>
  </si>
  <si>
    <t>عكس "3.5 PVC 45</t>
  </si>
  <si>
    <t>Elbow 3.5" 45 PVC</t>
  </si>
  <si>
    <t xml:space="preserve">عكس "4 90 كلفنايز صنع محلي </t>
  </si>
  <si>
    <t>Elbow 4" 90 Galvanis</t>
  </si>
  <si>
    <t>عكس  "4 °90 PVC طويل</t>
  </si>
  <si>
    <t>Elbow 4" 90° PVC Long</t>
  </si>
  <si>
    <t xml:space="preserve">عكس  "3/4 °45 UPVC </t>
  </si>
  <si>
    <t>Elbow 45 3/4 UPVC</t>
  </si>
  <si>
    <t xml:space="preserve">عكس "1 °45  كلفنايز </t>
  </si>
  <si>
    <t>Elbow 45°  1" Galvanis</t>
  </si>
  <si>
    <t xml:space="preserve">عكسPVC "1.5  °45  تركي </t>
  </si>
  <si>
    <t xml:space="preserve">Elbow 45°  1.5" Turki </t>
  </si>
  <si>
    <t xml:space="preserve">عكسPVC "2.5  °45  تركي </t>
  </si>
  <si>
    <t xml:space="preserve">Elbow 45°  2.5" Turki </t>
  </si>
  <si>
    <t>PPR "3/4  °45 عكس</t>
  </si>
  <si>
    <t>Elbow 45°  3/4 PPR</t>
  </si>
  <si>
    <t xml:space="preserve">عكس كاز "3/4  °45 </t>
  </si>
  <si>
    <t xml:space="preserve">Elbow 45° 1/2" Gazoil </t>
  </si>
  <si>
    <t>PPR "1.5  °45 عكس</t>
  </si>
  <si>
    <t>Elbow 45° 1" PPR</t>
  </si>
  <si>
    <t>UPVC "1  °45 عكس</t>
  </si>
  <si>
    <t>Elbow 45° 1" UPVC</t>
  </si>
  <si>
    <t>UPVC "1.25  °45 عكس</t>
  </si>
  <si>
    <t>Elbow 45° 1.25" UPVC</t>
  </si>
  <si>
    <t>Elbow 45° 1.5" PPR</t>
  </si>
  <si>
    <t xml:space="preserve">عكس "1.5 °45 PVC </t>
  </si>
  <si>
    <t>Elbow 45° 1.5" PVC</t>
  </si>
  <si>
    <t>عكس "2 °45 PVC ابيض</t>
  </si>
  <si>
    <t>Elbow 45° 2" PPR white</t>
  </si>
  <si>
    <t>UPVC "2  °45 عكس</t>
  </si>
  <si>
    <t>Elbow 45° 2" UPVC</t>
  </si>
  <si>
    <t>PPR "2  °45 عكس</t>
  </si>
  <si>
    <t>Elbow 45° 2.5" PPR</t>
  </si>
  <si>
    <t>Elbow 45° 2.5" PVC</t>
  </si>
  <si>
    <t xml:space="preserve">رصاصي UPVC "3  °45 عكس </t>
  </si>
  <si>
    <t>Elbow 45° 3" UPVC GRAY</t>
  </si>
  <si>
    <t>عكس 45 "4 PVC turki واشر</t>
  </si>
  <si>
    <t xml:space="preserve">Elbow 45° PVC Washer Turki </t>
  </si>
  <si>
    <t>عكس "1/2  90 كلفنايز</t>
  </si>
  <si>
    <t>Elbow 90 1/2" Galvanis</t>
  </si>
  <si>
    <t>UPVC "3/4  °90 عكس</t>
  </si>
  <si>
    <t>Elbow 90 3/4 UPVC</t>
  </si>
  <si>
    <t>UPVC "4  °90 عكس</t>
  </si>
  <si>
    <t xml:space="preserve">Elbow 90 4" UPVC Gray </t>
  </si>
  <si>
    <t xml:space="preserve">عكس "1 °90  كلفنايس </t>
  </si>
  <si>
    <t>Elbow 90°  1" Galvanis</t>
  </si>
  <si>
    <t xml:space="preserve">عكس "1.25 °90  كلفنايس </t>
  </si>
  <si>
    <t>Elbow 90°  1.25" Galvanis</t>
  </si>
  <si>
    <t>PPR "1.25  °90 عكس</t>
  </si>
  <si>
    <t>Elbow 90°  1.25" PPR</t>
  </si>
  <si>
    <t xml:space="preserve">عكس "1.5 °90  كلفنايس </t>
  </si>
  <si>
    <t>Elbow 90°  1.5" Galvanis</t>
  </si>
  <si>
    <t>PPR "2.5  °90 عكس</t>
  </si>
  <si>
    <t>Elbow 90°  2.5" PPR</t>
  </si>
  <si>
    <t>عكس 90 "2.5 PVC تركي واشر</t>
  </si>
  <si>
    <t xml:space="preserve">Elbow 90°  2.5" Turki </t>
  </si>
  <si>
    <t xml:space="preserve">عكس  °90 3/4 كلفنايز  </t>
  </si>
  <si>
    <t>Elbow 90°  3/4 Galvanis</t>
  </si>
  <si>
    <t xml:space="preserve">عكس  °90 "3 كلفنايز  </t>
  </si>
  <si>
    <t>Elbow 90°  3" Galvanis</t>
  </si>
  <si>
    <t xml:space="preserve">عكس °90  "4 كلفنايز </t>
  </si>
  <si>
    <t>Elbow 90° 4" Galvanis</t>
  </si>
  <si>
    <t>عكس 90 "6 PVC تركي واشر</t>
  </si>
  <si>
    <t xml:space="preserve">Elbow 90°  6" Turki </t>
  </si>
  <si>
    <t>عكس 45 "6 PVC تركي واشر</t>
  </si>
  <si>
    <t xml:space="preserve">Elbow 45°  6" Turki </t>
  </si>
  <si>
    <t>عكس 90° 1/2 PPR</t>
  </si>
  <si>
    <t>Elbow 90° 1/2 PPR</t>
  </si>
  <si>
    <t>UPVC "1/2  °90 عكس</t>
  </si>
  <si>
    <t>Elbow 90° 1/2 UPVC</t>
  </si>
  <si>
    <t xml:space="preserve">عكس °90  "1/2 كلفنايز </t>
  </si>
  <si>
    <t xml:space="preserve">Elbow 90° 1/2" Gazoil </t>
  </si>
  <si>
    <t>UPVC "1.25  °90 عكس</t>
  </si>
  <si>
    <t>Elbow 90° 1*25 UPVC</t>
  </si>
  <si>
    <t>عكس  "1 °90  زراعي</t>
  </si>
  <si>
    <t xml:space="preserve">Elbow 90° 1" Agricultural </t>
  </si>
  <si>
    <t>عكس "1 °90  كاز</t>
  </si>
  <si>
    <t xml:space="preserve">Elbow 90° 1" Gazoil </t>
  </si>
  <si>
    <t>عكس 90° 1 PPR</t>
  </si>
  <si>
    <t>Elbow 90° 1" PPR</t>
  </si>
  <si>
    <t>UPVC "1  °90 عكس</t>
  </si>
  <si>
    <t>Elbow 90° 1" UPVC</t>
  </si>
  <si>
    <t>عكس °90 1.25 زراعي</t>
  </si>
  <si>
    <t xml:space="preserve">Elbow 90° 1.25" Agricultural </t>
  </si>
  <si>
    <t>عكس °90 1.5 زراعي</t>
  </si>
  <si>
    <t xml:space="preserve">Elbow 90° 1.5" Agricultural </t>
  </si>
  <si>
    <t>عكس 90° 1.5 PPR</t>
  </si>
  <si>
    <t>Elbow 90° 1.5" PPR</t>
  </si>
  <si>
    <t xml:space="preserve">عكس "1.5 °90 PVC </t>
  </si>
  <si>
    <t>Elbow 90° 1.5" PVC</t>
  </si>
  <si>
    <t>عكس 90 "1.5 PVC تركي واشر</t>
  </si>
  <si>
    <t xml:space="preserve">Elbow 90° 1.5" Turki </t>
  </si>
  <si>
    <t xml:space="preserve">عكس "1.5 °90 UPVC </t>
  </si>
  <si>
    <t>Elbow 90° 1.5" UPVC</t>
  </si>
  <si>
    <t>عكس "2 °90 UPVC رصاصي</t>
  </si>
  <si>
    <t>Elbow 90° 2" UPVC Gray</t>
  </si>
  <si>
    <t xml:space="preserve"> PVC 6" 90° عكس</t>
  </si>
  <si>
    <t>Elbow 90° 6" PVC</t>
  </si>
  <si>
    <t>عكس  "2 °90  زراعي</t>
  </si>
  <si>
    <t xml:space="preserve">Elbow 90° 2" Agricultural </t>
  </si>
  <si>
    <t>عكس °90 "2 كلفنايز</t>
  </si>
  <si>
    <t xml:space="preserve">Elbow 90° 2" Galvanis </t>
  </si>
  <si>
    <t>عكس °90 "2 كاز</t>
  </si>
  <si>
    <t xml:space="preserve">Elbow 90° 2" Gazoil </t>
  </si>
  <si>
    <t>عكس °90 "2 PPR</t>
  </si>
  <si>
    <t xml:space="preserve"> Elbow 90° 2" PPR</t>
  </si>
  <si>
    <t>عكس °90 "2 UPVC</t>
  </si>
  <si>
    <t>Elbow 90° 2" UPVC</t>
  </si>
  <si>
    <t>عكس °90 2.5 كلفنايز</t>
  </si>
  <si>
    <t>Elbow 90° 2.5" Galvanis</t>
  </si>
  <si>
    <t>عكس "2.5 °90 UPVC رصاصي</t>
  </si>
  <si>
    <t>Elbow 90° 2.5" UPVC Gray</t>
  </si>
  <si>
    <t>عكس °90 "3/4 PPR</t>
  </si>
  <si>
    <t>Elbow 90° 3/4 PPR</t>
  </si>
  <si>
    <t>عكس °90 "3/4 كاز</t>
  </si>
  <si>
    <t xml:space="preserve">Elbow 90° 3/4" Gazoil </t>
  </si>
  <si>
    <t>عكس 90  3" زراعي</t>
  </si>
  <si>
    <t>Elbow 90° 3"  hdpe agriculture</t>
  </si>
  <si>
    <t>عكس °90 "3 UPVC</t>
  </si>
  <si>
    <t>Elbow 90° 3" UPVC GRAY</t>
  </si>
  <si>
    <t>عكس 90 4" زراعي</t>
  </si>
  <si>
    <t>Elbow 90° 4"  hdpe agriculture</t>
  </si>
  <si>
    <t>عكس 90 "4 PVC turki واشر</t>
  </si>
  <si>
    <t xml:space="preserve">Elbow 90° PVC Washer Turki </t>
  </si>
  <si>
    <t>عكس 90   2.5" زراعي</t>
  </si>
  <si>
    <t>Elbow Agricultural 2.5" 90°</t>
  </si>
  <si>
    <t>عكس °45 "3/4 كاز اسود</t>
  </si>
  <si>
    <t>Elbow Gazoil  45° 3/4 Black</t>
  </si>
  <si>
    <t xml:space="preserve">عكس هواء 12ملم </t>
  </si>
  <si>
    <t>Elbow Valve Air 12mm</t>
  </si>
  <si>
    <t xml:space="preserve"> سداد 1.25" زراعي</t>
  </si>
  <si>
    <t>End Cap 1.25" hdpe agriculture</t>
  </si>
  <si>
    <t xml:space="preserve"> سداد  1.5" زراعي</t>
  </si>
  <si>
    <t>End Cap 1.5" hdpe agriculture</t>
  </si>
  <si>
    <t xml:space="preserve"> سداد  2" زراعي</t>
  </si>
  <si>
    <t>End Cap 2" hdpe agriculture</t>
  </si>
  <si>
    <t xml:space="preserve"> سداد 3" زراعي</t>
  </si>
  <si>
    <t>End Cap 3" hdpe agriculture</t>
  </si>
  <si>
    <t xml:space="preserve"> سداد 3"  زراعي</t>
  </si>
  <si>
    <t>End Cap 4" hdpe agriculture</t>
  </si>
  <si>
    <t xml:space="preserve">قطع وصل سن داخلي  "1.5 كلفنايز </t>
  </si>
  <si>
    <t>Female  Union 1.5" Galvanis</t>
  </si>
  <si>
    <t>قطع وصل سن داخلي  "2 كلفنايز</t>
  </si>
  <si>
    <t xml:space="preserve">Female  Union 2" Galvanis </t>
  </si>
  <si>
    <t>مصغرة فنجان سن داخلي +سن داخلي كلفنايز1/2*1/2</t>
  </si>
  <si>
    <t>Female + Male Reducer Galvanis 1/2*1/2</t>
  </si>
  <si>
    <t>مصغرة فنجان سن داخلي +سن داخلي كلفنايز2*2</t>
  </si>
  <si>
    <t>Female + Male Reducer Galvanis 2*2</t>
  </si>
  <si>
    <t>مصغرة فنجان سن داخلي +سن داخلي كلفنايز3/4*3/4</t>
  </si>
  <si>
    <t>Female + Male Reducer Galvanis 3/4*3/4</t>
  </si>
  <si>
    <t xml:space="preserve">ادبتر سن داخلي "1.25 PPR </t>
  </si>
  <si>
    <t>Female adpeter 1.25" PPR</t>
  </si>
  <si>
    <t>ادبتر سن داخلي 2.5" زراعي</t>
  </si>
  <si>
    <t>Female adpeter Agricultura 2.5"</t>
  </si>
  <si>
    <t>ادبتر سن داخلي 4" زراعي</t>
  </si>
  <si>
    <t>Female adpeter Agricultura 4"</t>
  </si>
  <si>
    <t>ادبتر سن داخلي "2 PPR</t>
  </si>
  <si>
    <t>Female Adpter  2" PPR</t>
  </si>
  <si>
    <t>ادبتر سن داخلي "1 PPR</t>
  </si>
  <si>
    <t>Female Adpter 1"  PPR</t>
  </si>
  <si>
    <t>ادبتر سن داخلي "1*3/4 PPR+حديد</t>
  </si>
  <si>
    <t>Female Adpter 1"*3/4 PPR+Iron</t>
  </si>
  <si>
    <t>ادبتر سن داخلي 1.5</t>
  </si>
  <si>
    <t xml:space="preserve">Female Adapter 1.5" Upvc </t>
  </si>
  <si>
    <t>ادبتر سن داخلي "1 UPVC</t>
  </si>
  <si>
    <t>Female Adpter 1" UPVC</t>
  </si>
  <si>
    <t>ادبتر سن داخلي "4" * 1.5 UPVC</t>
  </si>
  <si>
    <t>Female Adpter 4" * 1.5 UPVC</t>
  </si>
  <si>
    <t>ادبتر سن داخلي 3/4 * 1/2" PPR</t>
  </si>
  <si>
    <t>Female Adpter 3/4 * 1/2  PPR</t>
  </si>
  <si>
    <t>ادبتر سن داخلي 3/4 *3/4 PPR</t>
  </si>
  <si>
    <t>Female Adpter 3/4 * 3/4  PPR</t>
  </si>
  <si>
    <t>ادبتر سن داخلي 3/4 PPR</t>
  </si>
  <si>
    <t>Female Adpter 3/4  PPR</t>
  </si>
  <si>
    <t>كب كلفنايس سن داخلي "1</t>
  </si>
  <si>
    <t>Female Cap 1" Galvanis</t>
  </si>
  <si>
    <t>كب كلفنايس سن داخلي "1.5</t>
  </si>
  <si>
    <t>Female Cap 1.5" Galvanis</t>
  </si>
  <si>
    <t>سداد سن داخلي "2 كلفنايز</t>
  </si>
  <si>
    <t xml:space="preserve">Female Cap 2" Galvanis </t>
  </si>
  <si>
    <t>كب كلفنايس سن داخلي 3/4</t>
  </si>
  <si>
    <t>Female Cap 3/4  Galvanis</t>
  </si>
  <si>
    <t xml:space="preserve">سداد حديد "3 سن داخلي </t>
  </si>
  <si>
    <t xml:space="preserve">Female Cap 3" Galvanis </t>
  </si>
  <si>
    <t xml:space="preserve">سداد كلفنايز "4 سن داخلي </t>
  </si>
  <si>
    <t xml:space="preserve">Female Cap 4"  Galvanis </t>
  </si>
  <si>
    <t xml:space="preserve">عكس سن داخلي 1/2*25ملم  PPR اخضر </t>
  </si>
  <si>
    <t>Female Elbow 90 1/2*25mm PPR Green</t>
  </si>
  <si>
    <t xml:space="preserve">عكس سن داخلي 3/4*1ملم PPR اخضر </t>
  </si>
  <si>
    <t>Female Elbow 90 1*3/4mm PPR Green</t>
  </si>
  <si>
    <t>عكس "1 90 سن داخلي PPR</t>
  </si>
  <si>
    <t xml:space="preserve">Female Elbow 90 1" PPR </t>
  </si>
  <si>
    <t>عكس "1/2" *1/2" 90 سن داخلي PPR</t>
  </si>
  <si>
    <t>Female Elbow 90° 1/2 * 1/2" PPR</t>
  </si>
  <si>
    <t>عكس "3/4" *3/4" 90 سن داخلي PPR</t>
  </si>
  <si>
    <t>Female Elbow 90° 3/4 * 3/4" PPR</t>
  </si>
  <si>
    <t>عكس سن داخلي 3/4 °90 PPR</t>
  </si>
  <si>
    <t>Female Elbow 90° 3/4 PPR</t>
  </si>
  <si>
    <t xml:space="preserve">قطع وصل 1/2 حديد +PPR سن داخلي    </t>
  </si>
  <si>
    <t xml:space="preserve"> Female Iron Union 1/2 PPR</t>
  </si>
  <si>
    <t xml:space="preserve">قطع وصل سن داخلي "1 حديد +PPR </t>
  </si>
  <si>
    <t>Female Iron Union 1" PPR</t>
  </si>
  <si>
    <t xml:space="preserve">قطع وصل "2حديد +PPR سن داخلي    </t>
  </si>
  <si>
    <t>Female Iron Union 2" PPR</t>
  </si>
  <si>
    <t xml:space="preserve">شكلة "2 سن خارجي نثية </t>
  </si>
  <si>
    <t>Female Iron union Shakil 2"</t>
  </si>
  <si>
    <t xml:space="preserve">شكلة "2.5 سن خارجي نثية </t>
  </si>
  <si>
    <t>Female Iron union Shakil 2.5"</t>
  </si>
  <si>
    <t>مصغرة سن داخلي 1"* 1.5" كلفنايز</t>
  </si>
  <si>
    <t xml:space="preserve"> Female Reducer 1"*1.5" Galvanis</t>
  </si>
  <si>
    <t>مصغرة سن داخلي 1"* 1.25" كلفنايز</t>
  </si>
  <si>
    <t xml:space="preserve"> Female Reducer 1"*1.25" Galvanis</t>
  </si>
  <si>
    <t>مصغرة سن داخلي 2"* 1.5" كلفنايز</t>
  </si>
  <si>
    <t xml:space="preserve"> Female Reducer 2"*1.5" Galvanis</t>
  </si>
  <si>
    <t>مصغرة سن داخلي 0.5"* 1.5" كلفنايز</t>
  </si>
  <si>
    <t xml:space="preserve"> Female Reducer 1.5"*0.5" Galvanis</t>
  </si>
  <si>
    <t>مصغرة سن داخلي 3/4" * 1" كلفنايز</t>
  </si>
  <si>
    <t xml:space="preserve"> Female Reducer 1"*3/4 Galvanis</t>
  </si>
  <si>
    <t>مصغرة سن داخلي 3" * 1" كلفنايز</t>
  </si>
  <si>
    <t>Female Reducer 1"*3" Galvanis</t>
  </si>
  <si>
    <t>مصغرة سن داخلي 2.5" * 1.5" كلفنايز</t>
  </si>
  <si>
    <t>Female Reducer 1.5"*2.5"  Galvanis</t>
  </si>
  <si>
    <t>مصغرة سن داخلي 3" * 2" كلفنايز</t>
  </si>
  <si>
    <t>Female Reducer 2" 3" Galvanis</t>
  </si>
  <si>
    <t>مصغرة سن داخلي 1.25" * 3/4" كلفنايز</t>
  </si>
  <si>
    <t>Female Reducer 3/4*1.25" Galvanis</t>
  </si>
  <si>
    <t>تقسيم T سن داخلي 1/2*1/2 PPR</t>
  </si>
  <si>
    <t>Female Split T 1/2*1/2 PPR</t>
  </si>
  <si>
    <t>تقسيم تي سن داخلي  1/2*3/4</t>
  </si>
  <si>
    <t xml:space="preserve">Female Split T 1/2*3/4 PPR </t>
  </si>
  <si>
    <t>تقسيم تي "1*32ملم سن داخلي PPR</t>
  </si>
  <si>
    <t xml:space="preserve">Female Split T 1"*32mm PPR </t>
  </si>
  <si>
    <t xml:space="preserve">تقسيم T "1 ابيض سن داخلي </t>
  </si>
  <si>
    <t>Female Split T 1" PPR</t>
  </si>
  <si>
    <t>تقسيم تي 3/4*32ملم سن داخلي PPR</t>
  </si>
  <si>
    <t xml:space="preserve">Female Split T 3/4 *32mm PPR </t>
  </si>
  <si>
    <t>تقسيم تي سن داخلي  3/4</t>
  </si>
  <si>
    <t xml:space="preserve">Female Split T 3/4 PPR </t>
  </si>
  <si>
    <t xml:space="preserve">قطع وصل سن داخلي  "1.5 PPR+كلفنايز </t>
  </si>
  <si>
    <t>Female Union 1.5" PPR+Galvanis</t>
  </si>
  <si>
    <t>قطع وصل سن داخلي حديد+  "1.25 PPR</t>
  </si>
  <si>
    <t>Female Union Iron +PPR 1.25"  40mm</t>
  </si>
  <si>
    <t>قطع وصل سن داخلي 3/4</t>
  </si>
  <si>
    <t>Female Union Iron+PPR 3/4</t>
  </si>
  <si>
    <t xml:space="preserve">شكلة حديد ثنية "3 سن داخلي </t>
  </si>
  <si>
    <t>Female Uonion 3" Shakil</t>
  </si>
  <si>
    <t xml:space="preserve">شكلة حديد ثنية "4 سن داخلي </t>
  </si>
  <si>
    <t>Female Uonion 4" Shakil</t>
  </si>
  <si>
    <t>توصالة ستيل  سبرنك  "1/2 سن خارجي</t>
  </si>
  <si>
    <t xml:space="preserve">Festo Connector Steel  1/2" </t>
  </si>
  <si>
    <t xml:space="preserve"> فلتر ماء UV 505</t>
  </si>
  <si>
    <t>Filter Water UV 505</t>
  </si>
  <si>
    <t xml:space="preserve"> فلنجة  حديد 2.5"</t>
  </si>
  <si>
    <t>Flange Adaptor 2.5" Galvanize</t>
  </si>
  <si>
    <t xml:space="preserve"> فلنجة  زراعي</t>
  </si>
  <si>
    <t>Flange Adaptor 2.5" hdpe agriculture</t>
  </si>
  <si>
    <t xml:space="preserve"> فلنجة  حديد 3"</t>
  </si>
  <si>
    <t>Flange Adaptor 3" Galvanize</t>
  </si>
  <si>
    <t>Flange Adaptor 3" hdpe agriculture</t>
  </si>
  <si>
    <t xml:space="preserve"> فلنجة  حديد 4"</t>
  </si>
  <si>
    <t>Flange Adaptor 4" Galvanize</t>
  </si>
  <si>
    <t xml:space="preserve">طوافة  كهربائية 10متر   Fluip Level </t>
  </si>
  <si>
    <t>Float Switch Cable type Fluip Level Controller 10m</t>
  </si>
  <si>
    <t>طوافة غطاس كهربائي 20متر TECNO</t>
  </si>
  <si>
    <t>Float Switch Cable type Water Level Control 20m</t>
  </si>
  <si>
    <t xml:space="preserve">طوافة "2 ستيل لتانكي ماء </t>
  </si>
  <si>
    <t>Float Switch Fluip  2" For Tank Water</t>
  </si>
  <si>
    <t>طوافة ستيل "1/2</t>
  </si>
  <si>
    <t>Float Switch Fluip 1/2 For Tank Water</t>
  </si>
  <si>
    <t>طوافة ستيل "1.5</t>
  </si>
  <si>
    <t>Float Switch Fluip 1.5" For Tank Water</t>
  </si>
  <si>
    <t>سستم شور كامل نوعية رامادا</t>
  </si>
  <si>
    <t>Full Shower System RAMADA</t>
  </si>
  <si>
    <t xml:space="preserve"> فلنجة مغلون حديد </t>
  </si>
  <si>
    <t>Galvanized Flange 3" for hdpe agriculture</t>
  </si>
  <si>
    <t>صوندة حديقة 1/2 ايس</t>
  </si>
  <si>
    <t>Garden Hose 1/2 50Ft ACE</t>
  </si>
  <si>
    <t>بوابة دكت"4 كلفنايس صنع محلي</t>
  </si>
  <si>
    <t>Gate Duct 4" Galvanis Flex</t>
  </si>
  <si>
    <t>كيج ضغط متنوع</t>
  </si>
  <si>
    <t xml:space="preserve">Guage different types  </t>
  </si>
  <si>
    <t xml:space="preserve">جام شور AKD </t>
  </si>
  <si>
    <t>Glass Shower 6mm AKD 90*90 180cm P0005</t>
  </si>
  <si>
    <t xml:space="preserve">كيج كومبريسر هواء 25بار حجم كبير </t>
  </si>
  <si>
    <t>Guage Compresor 25Par</t>
  </si>
  <si>
    <t>قبغ جانبي كيتر بلاستيك</t>
  </si>
  <si>
    <t>Gutter Aspects Plastic</t>
  </si>
  <si>
    <t>كيتر بلاستيك مع قبغ 50*14سم بدون فتحة +كفر</t>
  </si>
  <si>
    <t>Gutter Plastic  50*13cm With Cover No slot</t>
  </si>
  <si>
    <t>كيتر بلاستيك 50*13سم مع فتحة +كفر</t>
  </si>
  <si>
    <t>Gutter Plastic 50*13cm With slot+Cover</t>
  </si>
  <si>
    <t>كيتر بلاستيك 50*20سم  مع كفر ستيل بدون فتحة</t>
  </si>
  <si>
    <t>Gutter Plastic 50*20cm Cover Steel No Slot</t>
  </si>
  <si>
    <t xml:space="preserve">ساقية ستيل تصريف عرض 7.5سم طول 40سم </t>
  </si>
  <si>
    <t>Gutter Steel 7.5cm *40cm</t>
  </si>
  <si>
    <t>مسدس غسل سيارات (يدة)</t>
  </si>
  <si>
    <t>Handle Pump Wash</t>
  </si>
  <si>
    <t>راس شطافة تواليت غربي فيترا 311463</t>
  </si>
  <si>
    <t>Head Bath Bidet Sprayer Vitra 311463</t>
  </si>
  <si>
    <t>صوندة 13ملم كاز او هواء او هيدروليك (كتان)</t>
  </si>
  <si>
    <t>Hose 1/2 13mm Air,Gas,Hydroulic</t>
  </si>
  <si>
    <t>صوندة  زراعي "1</t>
  </si>
  <si>
    <t xml:space="preserve">Hose 1" Agricultural </t>
  </si>
  <si>
    <t xml:space="preserve">صوندة 4ملم </t>
  </si>
  <si>
    <t>Hose 4mm</t>
  </si>
  <si>
    <t>صوندة زراعي 2.5"</t>
  </si>
  <si>
    <t>Hose Agricultural 2.5"</t>
  </si>
  <si>
    <t>صوندة زراعي 3"</t>
  </si>
  <si>
    <t>Hose Agricultural 3"</t>
  </si>
  <si>
    <t xml:space="preserve">صوندة سحب مياه ثقيلة 1.5 </t>
  </si>
  <si>
    <t>Hose Black Water  1.5</t>
  </si>
  <si>
    <t>Mtr</t>
  </si>
  <si>
    <t>صوندة سحب مياه ثقيلة 6"</t>
  </si>
  <si>
    <t>Hose Black Water  6"</t>
  </si>
  <si>
    <t>صوندة سحب مياه ثقيلة8"</t>
  </si>
  <si>
    <t>Hose Black Water  8"</t>
  </si>
  <si>
    <t xml:space="preserve">صوندة سحب مياه ثقيلة "2  </t>
  </si>
  <si>
    <t>Hose Black Water  2"</t>
  </si>
  <si>
    <t xml:space="preserve">صوندة سحب مياه ثقيلة "4  </t>
  </si>
  <si>
    <t>Hose Black Water  4"</t>
  </si>
  <si>
    <t>صوندة شفاف 12ملم تستعمل للكيج تانكي ماء</t>
  </si>
  <si>
    <t xml:space="preserve">Hose Clear 12mm </t>
  </si>
  <si>
    <t>صوندة تصريف 1.5" قطر 11.5سم يم السنك</t>
  </si>
  <si>
    <t>Hose Drain Wash Bain 1.5"</t>
  </si>
  <si>
    <t xml:space="preserve">صوندة تصريف مغسلة </t>
  </si>
  <si>
    <t>Hose Drain Wash Basin</t>
  </si>
  <si>
    <t>صوندة تصريف "1.5 عكس لقاعدة شور 90*90سم</t>
  </si>
  <si>
    <t>Hose Drain 1.5" Elbow For Shower 90*90</t>
  </si>
  <si>
    <t xml:space="preserve">صوندة تصريف مغسلة 32ملم </t>
  </si>
  <si>
    <t>Hose Drain Wash Basin Vitra 32mm</t>
  </si>
  <si>
    <t>صوندة كاز 1/2" 13</t>
  </si>
  <si>
    <t xml:space="preserve">Hose Gas 1/2" </t>
  </si>
  <si>
    <t>زبانة صوندة هواء "1/2  12ملم</t>
  </si>
  <si>
    <t>Hose Nipple Air Elbow 1/2*12mm</t>
  </si>
  <si>
    <t xml:space="preserve">صوندة شور </t>
  </si>
  <si>
    <t>Hose Shower Ilyapy</t>
  </si>
  <si>
    <t>صوندة ستيل شور</t>
  </si>
  <si>
    <t>Hose Steel Shower</t>
  </si>
  <si>
    <t>صوندة تواليت غربي 60سم</t>
  </si>
  <si>
    <t>Hose Toilet 60*1/2cm</t>
  </si>
  <si>
    <t>صوندة فلكس للمبولة 3/4</t>
  </si>
  <si>
    <t xml:space="preserve">Hose Urinal 3/4 </t>
  </si>
  <si>
    <t>صوندة خلاط مغسلة</t>
  </si>
  <si>
    <t>Hose Wash Basin 60cm 3/8  205762</t>
  </si>
  <si>
    <t xml:space="preserve">صوندة غسالة مزدوجة مع خرطوم </t>
  </si>
  <si>
    <t>Hose Washer Machine</t>
  </si>
  <si>
    <t xml:space="preserve">صوندة ماء "1 </t>
  </si>
  <si>
    <t>Hose Water 1"</t>
  </si>
  <si>
    <t xml:space="preserve">صوندة ماء "1.5 ازرق 25 متر </t>
  </si>
  <si>
    <t>Hose Water 1.5" Blue 25m</t>
  </si>
  <si>
    <t xml:space="preserve">صوندة نزاحية "3 شفاف </t>
  </si>
  <si>
    <t>Hose Black Water Clear 3"</t>
  </si>
  <si>
    <t xml:space="preserve"> ادبتر هواء  1/2*1/4</t>
  </si>
  <si>
    <t xml:space="preserve">Iron Air Adpter 1/4*1/2 </t>
  </si>
  <si>
    <t>قفيص صوندة ماء 3"</t>
  </si>
  <si>
    <t>Iron Clamp Hose Water 3"</t>
  </si>
  <si>
    <t>قفيص صوندة ماء 4"</t>
  </si>
  <si>
    <t>Iron Clamp Hose Water 4"</t>
  </si>
  <si>
    <t>توصالة صوندة ماء "2 حديد</t>
  </si>
  <si>
    <t>Iron Coupling Hose 2"</t>
  </si>
  <si>
    <t>قبغ كيتر اهين 29*49 سمك 3.5سم</t>
  </si>
  <si>
    <t>Iron Cover Getter Ahin 29*49cm 3.5cm</t>
  </si>
  <si>
    <t xml:space="preserve">منهول اهين مع كفر قياس داخلي 75*41 </t>
  </si>
  <si>
    <t xml:space="preserve">Iron Manhole Ahin With Cover 75*41cm </t>
  </si>
  <si>
    <t>كلوب فلتر ماء UV</t>
  </si>
  <si>
    <t>Lamp Filter Water UV 85cm</t>
  </si>
  <si>
    <t>حمالة صابون سائل  بلاستك</t>
  </si>
  <si>
    <t>Liquid Soap Holder Plastic</t>
  </si>
  <si>
    <t>حمالة صابون سائل ستيل</t>
  </si>
  <si>
    <t xml:space="preserve">Liquid Soap Holder Steel  </t>
  </si>
  <si>
    <t>قفل لقفيص صوندة "1.5 &amp;"2 (مفتاح حرف T)</t>
  </si>
  <si>
    <t>Lock For Clamp Hose Water 1.5"&amp;2"</t>
  </si>
  <si>
    <t xml:space="preserve">خلاط سينك سبرينك طويل </t>
  </si>
  <si>
    <t xml:space="preserve">Long Spring Mixer Sink </t>
  </si>
  <si>
    <t xml:space="preserve"> 1"  ادبتر سن خارجي  زراعي  </t>
  </si>
  <si>
    <t xml:space="preserve"> Male Adapter Agricultura 1"</t>
  </si>
  <si>
    <t xml:space="preserve"> 3/4"  ادبتر سن خارجي  زراعي  </t>
  </si>
  <si>
    <t>Male Adapter Agricultura 3/4"</t>
  </si>
  <si>
    <t xml:space="preserve"> UPVC 2"  ادبتر سن خارجي  </t>
  </si>
  <si>
    <t>Male Adpeter 2" UPVC</t>
  </si>
  <si>
    <t xml:space="preserve">1.5"  ادبتر سن خارجي  زراعي  </t>
  </si>
  <si>
    <t>male Adpeter Agricultura 1.5"</t>
  </si>
  <si>
    <t xml:space="preserve">2"  ادبتر سن خارجي  زراعي  </t>
  </si>
  <si>
    <t>male Adpeter Agricultura 2"</t>
  </si>
  <si>
    <t xml:space="preserve">4"  ادبتر سن خارجي  زراعي  </t>
  </si>
  <si>
    <t>male Adpeter Agricultura 4"</t>
  </si>
  <si>
    <t>ادبتر سن خارجي "1 PPR</t>
  </si>
  <si>
    <t>Male Adpter 1"  PPR</t>
  </si>
  <si>
    <t>ادبتر سن خارجي "1.25 PPR</t>
  </si>
  <si>
    <t>Male Adpter 1.25"  PPR</t>
  </si>
  <si>
    <t>ادبتر سن خارجي "1.5 PPR</t>
  </si>
  <si>
    <t>Male Adpter 1.5"  PPR</t>
  </si>
  <si>
    <t>ادبتر سن خارجي "2 يربط على تانكي ماء لربط قفل حديد</t>
  </si>
  <si>
    <t xml:space="preserve">Male Adpter 2" For Tank Water </t>
  </si>
  <si>
    <t>ادبتر سن خارجي "2 PPR</t>
  </si>
  <si>
    <t xml:space="preserve">Male Adpter 2" PPR </t>
  </si>
  <si>
    <t>ادبتر سن خارجي 3/4 PPR</t>
  </si>
  <si>
    <t>Male Adpter 3/4 * 3/4  PPR</t>
  </si>
  <si>
    <t>Male Adpter 3/4 *1/2   PPR</t>
  </si>
  <si>
    <t>ادبتر 1" سن خارجي UPVC</t>
  </si>
  <si>
    <t xml:space="preserve">Male Adpter 1" UPVC Gray </t>
  </si>
  <si>
    <t>ادبتر 1/2" سن خارجي UPVC</t>
  </si>
  <si>
    <t xml:space="preserve">Male Adpter 1/2" UPVC Gray </t>
  </si>
  <si>
    <t>ادبتر 1.25" سن خارجي UPVC</t>
  </si>
  <si>
    <t xml:space="preserve">Male Adpter 1.25" UPVC Gray </t>
  </si>
  <si>
    <t>ادبتر 1.5" سن خارجي UPVC</t>
  </si>
  <si>
    <t xml:space="preserve">Male Adpter 1.5" UPVC Gray </t>
  </si>
  <si>
    <t>ادبتر 4" سن خارجي UPVC</t>
  </si>
  <si>
    <t xml:space="preserve">Male Adpter 4" UPVC Gray </t>
  </si>
  <si>
    <t>ادبتر سن خارجي زراعي "2.5</t>
  </si>
  <si>
    <t>Male Adpter Agricultural 2.5"</t>
  </si>
  <si>
    <t>سداد سن خارجي 1/2 كلفنايز</t>
  </si>
  <si>
    <t xml:space="preserve">Male Cap 1/2  Galvanis   </t>
  </si>
  <si>
    <t xml:space="preserve">سداد1/2 " كاز حديد </t>
  </si>
  <si>
    <t>Male Cap 1/2 " Gazoil</t>
  </si>
  <si>
    <t>سداد 1/2 PPR</t>
  </si>
  <si>
    <t xml:space="preserve">Male Cap 1/2 PPR </t>
  </si>
  <si>
    <t>سداد 3/4 PPR</t>
  </si>
  <si>
    <t xml:space="preserve">Male Cap 3/4 PPR </t>
  </si>
  <si>
    <t>سداد 1 PPR</t>
  </si>
  <si>
    <t xml:space="preserve">Male Cap 1 PPR </t>
  </si>
  <si>
    <t>سداد 1 كاز</t>
  </si>
  <si>
    <t xml:space="preserve">Cap 1 Gazoil </t>
  </si>
  <si>
    <t>سداد سن خارجي 1" حديد</t>
  </si>
  <si>
    <t xml:space="preserve">Male Cap 1"  Galvanis  </t>
  </si>
  <si>
    <t>سداد سن خارجي 1.5" حديد</t>
  </si>
  <si>
    <t xml:space="preserve">Male Cap 1.5"  Galvanis </t>
  </si>
  <si>
    <t>سداد سن خارجي 2" كاز</t>
  </si>
  <si>
    <t>Male Cap 2 " Gazoil</t>
  </si>
  <si>
    <t>سداد سن خارجي "2 حديد</t>
  </si>
  <si>
    <t>Male Cap 2" Galvanis</t>
  </si>
  <si>
    <t xml:space="preserve">كب 3/4 كلفنايز </t>
  </si>
  <si>
    <t xml:space="preserve">Male Cap 3/4  Galvanis </t>
  </si>
  <si>
    <t xml:space="preserve">سداد حديد "3 سن خارجي </t>
  </si>
  <si>
    <t xml:space="preserve">Male Cap 3" Galvanis </t>
  </si>
  <si>
    <t xml:space="preserve">سداد حديد "4 سن خارجي </t>
  </si>
  <si>
    <t xml:space="preserve">Male Cap 4" Galvanis </t>
  </si>
  <si>
    <t>سبيل عكس "1/2 كلفنايز</t>
  </si>
  <si>
    <t xml:space="preserve">Male Elbow 1/2" Galvanis  </t>
  </si>
  <si>
    <t>سبيل عكس "1 كلفنايز</t>
  </si>
  <si>
    <t xml:space="preserve">Male Elbow 1" Galvanis  </t>
  </si>
  <si>
    <t>سبيل عكس "1.5 كلفنايز</t>
  </si>
  <si>
    <t xml:space="preserve">Male Elbow 1.5" Galvanis  </t>
  </si>
  <si>
    <t>سبيل عكس "2 كلفنايز</t>
  </si>
  <si>
    <t xml:space="preserve">Male Elbow 2" Galvanis  </t>
  </si>
  <si>
    <t>سبيل عكس "2.5 كلفنايز</t>
  </si>
  <si>
    <t xml:space="preserve">Male Elbow 2.5" Galvanis  </t>
  </si>
  <si>
    <t>سبيل عكس "3/4 كلفنايز</t>
  </si>
  <si>
    <t xml:space="preserve">Male Elbow 3/4" Galvanis  </t>
  </si>
  <si>
    <t>سبيل عكس "3 كلفنايز</t>
  </si>
  <si>
    <t xml:space="preserve">Male Elbow 3" Galvanis  </t>
  </si>
  <si>
    <t>عكس سن خارجي 3/4 90 PPR</t>
  </si>
  <si>
    <t xml:space="preserve">Male Elbow 90 3/4 PPR </t>
  </si>
  <si>
    <t>قطع وصل "1 سن خارجي حديد+PPR</t>
  </si>
  <si>
    <t>Male Iron Union 1" PPR</t>
  </si>
  <si>
    <t>قطع وصل سن خارجي حديد +PPR "2</t>
  </si>
  <si>
    <t>Male Iron Union 2" PPR</t>
  </si>
  <si>
    <t xml:space="preserve">شكلة "2 سن خارجي فحل </t>
  </si>
  <si>
    <t>Male Iron union Shakil 2"</t>
  </si>
  <si>
    <t>مصغرة سن خارجي 1* 1.25 كلفنايز</t>
  </si>
  <si>
    <t>Male Reducer 1"*1.25" Galvanis</t>
  </si>
  <si>
    <t>مصغرة سن خارجي 1* 1 كلفنايز</t>
  </si>
  <si>
    <t>Male Reducer 1"*1" Galvanis</t>
  </si>
  <si>
    <t>مصغرة سن خارجي 1/4* 1/2 كاز (زبانة)</t>
  </si>
  <si>
    <t>Male Reducer 1/2"*1/4" Gazoil (nipple)</t>
  </si>
  <si>
    <t>مصغرة سن خارجي 1 * 1/2 كاز (زبانة)</t>
  </si>
  <si>
    <t>Male Reducer 1/2"*1" Gazoil (nipple)</t>
  </si>
  <si>
    <t>مصغرة سن خارجي 1 * 1.5 كاز (زبانة)</t>
  </si>
  <si>
    <t>Male Reducer 1.5"*1" Gazoil (nipple)</t>
  </si>
  <si>
    <t xml:space="preserve">مصغرة  1.25 * 1.5 كاز </t>
  </si>
  <si>
    <t xml:space="preserve">Reducer 1.5"*1.25" Gazoil </t>
  </si>
  <si>
    <t>مصغرة سن خارجي 12ملم * 1/2 كاز (زبانة)</t>
  </si>
  <si>
    <t>Male Reducer 1/2"*12mm Gazoil (nipple)</t>
  </si>
  <si>
    <t>مصغرة سن خارجي 3/4 * 1 كاز (زبانة)</t>
  </si>
  <si>
    <t>Male Reducer 1"*3/4 Gazoil (nipple)</t>
  </si>
  <si>
    <t>مصغرة سن خارجي 1/2 * 3/4 كاز (زبانة)</t>
  </si>
  <si>
    <t>Male Reducer 3/4"*1/2 Gazoil (nipple)</t>
  </si>
  <si>
    <t>قطع وصل حديد سن خارجي 1/2"</t>
  </si>
  <si>
    <t>Male Union 1/2 Galvanis</t>
  </si>
  <si>
    <t>شكلة سن خارجي حديد 4" فحل</t>
  </si>
  <si>
    <t>Male Union 4" Galvnais Shakel</t>
  </si>
  <si>
    <t>قطع وصل سن خارجي حديد+  "1.25 PPR</t>
  </si>
  <si>
    <t>male Union Iron +PPR 1.25"  40mm</t>
  </si>
  <si>
    <t xml:space="preserve">قطع وصل سن خارجي 3/4 </t>
  </si>
  <si>
    <t>Male Union Iron+PPR 3/4</t>
  </si>
  <si>
    <t>شكلة سن خارجي وداخلي حديد 4" فحل ونثية</t>
  </si>
  <si>
    <t>Male+Female Union 4" Galvnais Shakel</t>
  </si>
  <si>
    <t xml:space="preserve">تطوالة سن خارجي+داخلي10+15+20ملم </t>
  </si>
  <si>
    <t>Male+Female Weld Nipple 10+15+20mm</t>
  </si>
  <si>
    <t xml:space="preserve">خلاط شور اوليفيان التحميل من الاسفل </t>
  </si>
  <si>
    <t>Mixer Shower Olivan</t>
  </si>
  <si>
    <t>خلاط شور فيترا  A42444EXP</t>
  </si>
  <si>
    <t>Mixer Shower Vitra A42444EXP</t>
  </si>
  <si>
    <t>خلاط مغسلة فيترا  A42441EXP</t>
  </si>
  <si>
    <t>Mixer Wash Basin Vitra A42441EXP</t>
  </si>
  <si>
    <t>خلاط تواليت غربي A42445EXP</t>
  </si>
  <si>
    <t>Mixer Western Toilet Vitra A42445EXP</t>
  </si>
  <si>
    <t>زبانة كاز (فلتر وتر سبريتر) 1/2*30 مع واشر</t>
  </si>
  <si>
    <t xml:space="preserve">Nipple 1/2 *30 Gazoil  With Washer </t>
  </si>
  <si>
    <t xml:space="preserve">زبانة كاز1/2 لفلتر واتر سبريتر </t>
  </si>
  <si>
    <t>Nipple 1/2 Gaz  For Filter</t>
  </si>
  <si>
    <t xml:space="preserve">زبانة كاز1/2" كلفنايز </t>
  </si>
  <si>
    <t xml:space="preserve">Nipple 1/2 Galvanis </t>
  </si>
  <si>
    <t>زبانة هواء 1/4 كلفنايز</t>
  </si>
  <si>
    <t>Nipple 1/4 Air Galvanis</t>
  </si>
  <si>
    <t xml:space="preserve">  زبانة  1/4" كلفنايز</t>
  </si>
  <si>
    <t xml:space="preserve">  زبانة  1" كلفنايز</t>
  </si>
  <si>
    <t>Nipple 1" Galvanis</t>
  </si>
  <si>
    <t xml:space="preserve">  زبانة  1" كاز</t>
  </si>
  <si>
    <t>Nipple 1" Gazoil</t>
  </si>
  <si>
    <t xml:space="preserve">  زبانة "1.25 كلفنايز  </t>
  </si>
  <si>
    <t>Nipple 1.25" Galvanis</t>
  </si>
  <si>
    <t xml:space="preserve">  زبانة "1.5 كلفنايز  </t>
  </si>
  <si>
    <t>Nipple 1.5" Galvanis</t>
  </si>
  <si>
    <t xml:space="preserve">  زبانة "2 كلفنايز  </t>
  </si>
  <si>
    <t>Nipple 2" Galvanis</t>
  </si>
  <si>
    <t>زبانة 2" كاز</t>
  </si>
  <si>
    <t>Nipple 2" Gazoil</t>
  </si>
  <si>
    <t xml:space="preserve">زبانة بلاستيك "2 سن خارجي </t>
  </si>
  <si>
    <t>Nipple 2" UPVC</t>
  </si>
  <si>
    <t>زبانة بلاستك 4"</t>
  </si>
  <si>
    <t>Nipple 4" UPVC Gray</t>
  </si>
  <si>
    <t>زبانة بلاستك 1/2"</t>
  </si>
  <si>
    <t>Nipple 1/2" UPVC Gray</t>
  </si>
  <si>
    <t>زبانة  2.5" كلفنايز</t>
  </si>
  <si>
    <t>Nipple 2.5" Galvanis</t>
  </si>
  <si>
    <t>زبانة  3/4" كاز</t>
  </si>
  <si>
    <t xml:space="preserve">Nipple 3/4 Gazoil </t>
  </si>
  <si>
    <t>زبانة  3/4" كلفنايز</t>
  </si>
  <si>
    <t>Nipple 3/4 Galvanis</t>
  </si>
  <si>
    <t>زبانة 1/5 * 3/8" كاز</t>
  </si>
  <si>
    <t xml:space="preserve">Nipple 3/8*1/5 Gazoil </t>
  </si>
  <si>
    <t>زبانة  3" كلفنايز</t>
  </si>
  <si>
    <t>Nipple 3" Galvanis</t>
  </si>
  <si>
    <t>زبانة  4" كلفنايز</t>
  </si>
  <si>
    <t>Nipple 4" Galvanis</t>
  </si>
  <si>
    <t>نت10ملم</t>
  </si>
  <si>
    <t>Nut 10mm</t>
  </si>
  <si>
    <t xml:space="preserve">زيت بويا يستخدم لسن البواري </t>
  </si>
  <si>
    <t>oil seal</t>
  </si>
  <si>
    <t xml:space="preserve">توصالة برتقالي 315ملم PVC  واشر </t>
  </si>
  <si>
    <t>Orange Coupling 315mm PVC Washer</t>
  </si>
  <si>
    <t>حنفية ستيل اصلي"1</t>
  </si>
  <si>
    <t>Outdoor Faucet 1"</t>
  </si>
  <si>
    <t>حنفية ستيل اصلي 3/4</t>
  </si>
  <si>
    <t>Outdoor Faucet 3/4</t>
  </si>
  <si>
    <t xml:space="preserve">كلي 2.5" PVC  </t>
  </si>
  <si>
    <t>P trap  2.5" PVC</t>
  </si>
  <si>
    <t xml:space="preserve">كلي 2.5" PVC تركي  </t>
  </si>
  <si>
    <t xml:space="preserve">P trap  2.5" Turki </t>
  </si>
  <si>
    <t xml:space="preserve">كلي 4" PVC تركي  </t>
  </si>
  <si>
    <t xml:space="preserve">P trap  4" Turki </t>
  </si>
  <si>
    <t xml:space="preserve">كلي 1.5" PVC   </t>
  </si>
  <si>
    <t>P trap 1.5" PVC</t>
  </si>
  <si>
    <t xml:space="preserve">كلي 4" PVC </t>
  </si>
  <si>
    <t>P trap 4" PVC</t>
  </si>
  <si>
    <t xml:space="preserve">حمالة كلينكس تواليت نوعية </t>
  </si>
  <si>
    <t>Paper Toilet Roller Holder Steel</t>
  </si>
  <si>
    <t xml:space="preserve">حبوب فلتر اسود واصفر </t>
  </si>
  <si>
    <t>Pills Filter Water Black+Yellow</t>
  </si>
  <si>
    <t>بوري 1/2 PPR</t>
  </si>
  <si>
    <t>Pipe 1/2 PPR</t>
  </si>
  <si>
    <t>بوري "1/2 كلفنايز</t>
  </si>
  <si>
    <t xml:space="preserve">Pipe 1/2" Galvanis </t>
  </si>
  <si>
    <t>بوري "1 كلفنايز</t>
  </si>
  <si>
    <t xml:space="preserve">Pipe 1" Galvanis </t>
  </si>
  <si>
    <t>بوري "1 PPR</t>
  </si>
  <si>
    <t>Pipe 1" PPR</t>
  </si>
  <si>
    <t>بوري "1 UPVC</t>
  </si>
  <si>
    <t>Pipe 1" UPVC 32mm</t>
  </si>
  <si>
    <t xml:space="preserve">بوري "1.25 ppr </t>
  </si>
  <si>
    <t>Pipe 1.25"  ppr</t>
  </si>
  <si>
    <t>Pipe 1.25"  ppr wavin pilsa</t>
  </si>
  <si>
    <t>بوري زراعي 1.25"</t>
  </si>
  <si>
    <t>Pipe 1.25" hdpe agriculture pn16</t>
  </si>
  <si>
    <t xml:space="preserve">بوري "1.5 PVCU </t>
  </si>
  <si>
    <t>Pipe 1.5"  UPVC</t>
  </si>
  <si>
    <t>بوري  "1.5 كلفنايز</t>
  </si>
  <si>
    <t>Pipe 1.5" Galvanis</t>
  </si>
  <si>
    <t>بوري زراعي</t>
  </si>
  <si>
    <t>Pipe 1.5" hdpe agriculture pn16</t>
  </si>
  <si>
    <t>بوري  "1.5 PPR</t>
  </si>
  <si>
    <t>Pipe 1.5" PPR</t>
  </si>
  <si>
    <t>بوري  "1.5 PVC</t>
  </si>
  <si>
    <t>Pipe 1.5" PVC</t>
  </si>
  <si>
    <t>بوري "16 PVC</t>
  </si>
  <si>
    <t>Pipe 16" PVC</t>
  </si>
  <si>
    <t xml:space="preserve">بوري "2 PVC </t>
  </si>
  <si>
    <t>Pipe 2"  PVC</t>
  </si>
  <si>
    <t xml:space="preserve">بوري "2 UPVC </t>
  </si>
  <si>
    <t>Pipe 2"  UPVC</t>
  </si>
  <si>
    <t>بوري "2 كلفنايز</t>
  </si>
  <si>
    <t xml:space="preserve">Pipe 2" Galvanis </t>
  </si>
  <si>
    <t>Pipe 2" hdpe agriculture pn16</t>
  </si>
  <si>
    <t xml:space="preserve">بوري "2 ppr </t>
  </si>
  <si>
    <t>Pipe 2" PPR</t>
  </si>
  <si>
    <t xml:space="preserve">بوري 2.5" PPR </t>
  </si>
  <si>
    <t>Pipe 2.5"  PPR</t>
  </si>
  <si>
    <t xml:space="preserve">بوري "2.5 UPVC تركي واشر </t>
  </si>
  <si>
    <t>Pipe 2.5"  UPVC</t>
  </si>
  <si>
    <t>بوري "2.5 كلفنايز</t>
  </si>
  <si>
    <t>Pipe 2.5" Galvanize</t>
  </si>
  <si>
    <t>Pipe 2.5"  hdpe agriculture</t>
  </si>
  <si>
    <t xml:space="preserve">بوري "2.5 PVC </t>
  </si>
  <si>
    <t>Pipe 2.5" PVC</t>
  </si>
  <si>
    <t xml:space="preserve">بوري 3/4 كلفنايز </t>
  </si>
  <si>
    <t>Pipe 3/4 Galvanis 6mt</t>
  </si>
  <si>
    <t xml:space="preserve">بوري 3/4" PPR </t>
  </si>
  <si>
    <t>Pipe 3/4 PPR</t>
  </si>
  <si>
    <t xml:space="preserve">بوري 3/4" UPVC </t>
  </si>
  <si>
    <t>Pipe 3/4 UPVC</t>
  </si>
  <si>
    <t>Pipe 3"  hdpe agriculture pn10</t>
  </si>
  <si>
    <t xml:space="preserve">بوري "3 PVCU </t>
  </si>
  <si>
    <t>Pipe 3"  UPVC</t>
  </si>
  <si>
    <t xml:space="preserve">بوري "3 كلفنايز </t>
  </si>
  <si>
    <t xml:space="preserve">Pipe 3" Calvanis  </t>
  </si>
  <si>
    <t>Pipe 3" hdpe agriculture pn16</t>
  </si>
  <si>
    <t>بوري "3 PVC</t>
  </si>
  <si>
    <t xml:space="preserve">Pipe 3" PVC </t>
  </si>
  <si>
    <t>بوري "3 UPVC تركي</t>
  </si>
  <si>
    <t xml:space="preserve">Pipe 3" PVC Turki </t>
  </si>
  <si>
    <t>بوري "2.5 UPVC تركي</t>
  </si>
  <si>
    <t xml:space="preserve">Pipe 2.5" PVC Turki </t>
  </si>
  <si>
    <t>Pipe 4"  hdpe agriculture pn10</t>
  </si>
  <si>
    <t xml:space="preserve">بوري "4 كلفنايز سن خارجي صفحتين </t>
  </si>
  <si>
    <t xml:space="preserve">Pipe 4" Galvanis </t>
  </si>
  <si>
    <t>بوري "4 PVC</t>
  </si>
  <si>
    <t>Pipe 4" PVC</t>
  </si>
  <si>
    <t>بوري "4 PVC turki واشر</t>
  </si>
  <si>
    <t>Pipe 4" PVC Washer Turki</t>
  </si>
  <si>
    <t>بوري "5 PVC turki واشر</t>
  </si>
  <si>
    <t xml:space="preserve">Pipe 5" trurkey with Washer </t>
  </si>
  <si>
    <t>بوري "6 PVC</t>
  </si>
  <si>
    <t>Pipe 6"PVC</t>
  </si>
  <si>
    <t>عبور 1/2 PPR</t>
  </si>
  <si>
    <t xml:space="preserve"> Pipe Bend 1/2 PPR</t>
  </si>
  <si>
    <t>عبور "1 PPR</t>
  </si>
  <si>
    <t>Pipe Bend 1" PPR</t>
  </si>
  <si>
    <t>عبور 1.25 PPR</t>
  </si>
  <si>
    <t>Pipe Bend 1.25 PPR</t>
  </si>
  <si>
    <t>عبور 3/4" PPR</t>
  </si>
  <si>
    <t>Pipe Bend 3/4 PPR</t>
  </si>
  <si>
    <t xml:space="preserve">قفيص حديد بوري"1 دائري </t>
  </si>
  <si>
    <t>Pipe Circular Iron Clamp 1"</t>
  </si>
  <si>
    <t xml:space="preserve">قفيص حديد بوري"1.5 دائري </t>
  </si>
  <si>
    <t>Pipe Circular Iron Clamp 1.5"</t>
  </si>
  <si>
    <t xml:space="preserve">قفيص حديد بوري"1.25 دائري </t>
  </si>
  <si>
    <t>Pipe Circular Iron Clamp 1.25"</t>
  </si>
  <si>
    <t xml:space="preserve">قفيص حديد بوري"2 دائري </t>
  </si>
  <si>
    <t>Pipe Circular Iron Clamp 2"</t>
  </si>
  <si>
    <t xml:space="preserve">قفيص حديد بوري"2.5 دائري </t>
  </si>
  <si>
    <t>Pipe Circular iron Clamp 2.5"</t>
  </si>
  <si>
    <t xml:space="preserve">قفيص حديد بوري"3 دائري </t>
  </si>
  <si>
    <t>Pipe Circular Iron Clamp 3"</t>
  </si>
  <si>
    <t>قفيص حديد بوري"4 دائري</t>
  </si>
  <si>
    <t>Pipe Circular Iron Clamp 4"</t>
  </si>
  <si>
    <t>قفيص بوري حديد دائري "6</t>
  </si>
  <si>
    <t>Pipe Circular Iron Clamp 6" With Rubber</t>
  </si>
  <si>
    <t>بوري ضغط عالي رصاصي PVC سمك 8.5ملم قطر خارجي 3.15سم 6متر</t>
  </si>
  <si>
    <t>Pipe High Pressure PVC 6mt 12"</t>
  </si>
  <si>
    <t xml:space="preserve"> 3/4"  بوري بلاستك شفاف   </t>
  </si>
  <si>
    <t>Pipe plastic transparent 3/4"</t>
  </si>
  <si>
    <t>بوري 3/4 PPR حراري اسود</t>
  </si>
  <si>
    <t>Pipe PPR 3/4 Thermal</t>
  </si>
  <si>
    <t>بوري شور</t>
  </si>
  <si>
    <t>Pipe Shower Panel</t>
  </si>
  <si>
    <t>بوري "4 UPVC</t>
  </si>
  <si>
    <t>Pipe UPVC 4" 110mm</t>
  </si>
  <si>
    <t xml:space="preserve">بستن تواليت </t>
  </si>
  <si>
    <t xml:space="preserve">Piston Toilet </t>
  </si>
  <si>
    <t xml:space="preserve">كلي تواليت غربي نوع فيترا </t>
  </si>
  <si>
    <t>P-Trap Waste Pipe Toilet Vitra</t>
  </si>
  <si>
    <t>بستن تواليت فيترا</t>
  </si>
  <si>
    <t>Piston Toilet Vetra</t>
  </si>
  <si>
    <t>قفيص بلاستيك "2</t>
  </si>
  <si>
    <t>Plastic Clamp 2"</t>
  </si>
  <si>
    <t>قفيص بلاستيك "2.5</t>
  </si>
  <si>
    <t>Plastic Clamp 2.5"</t>
  </si>
  <si>
    <t>قفيص بلاستيك "4</t>
  </si>
  <si>
    <t>Plastic Clamp 4"</t>
  </si>
  <si>
    <t>قاعدة كلاصات 180سي سي فالكون</t>
  </si>
  <si>
    <t>Plastic Cup Dispenser White Base</t>
  </si>
  <si>
    <t xml:space="preserve">مرشة ماء اصلي </t>
  </si>
  <si>
    <t>Plastic Water Sprinkler</t>
  </si>
  <si>
    <t xml:space="preserve">اوتماتيك ماء (بوستر) </t>
  </si>
  <si>
    <t xml:space="preserve">Poster Water Pump  </t>
  </si>
  <si>
    <t xml:space="preserve">تانكي احمر ضغط 100لتر 10بار </t>
  </si>
  <si>
    <t>Pressure Water Tank Red 100L YE COIL</t>
  </si>
  <si>
    <t xml:space="preserve">تانكي احمر ضغط 200لتر 10بار </t>
  </si>
  <si>
    <t>Pressure Water Tank Red 200L YE COIL</t>
  </si>
  <si>
    <t xml:space="preserve">ماطور غسل 160HPC FASA </t>
  </si>
  <si>
    <t>Pump Washer 160 HPC Ikon 245Ewbar 2200W</t>
  </si>
  <si>
    <t xml:space="preserve">ماطور ماء بنتاكس +اوتماتيك ماء ليو PS-04B(بوستر) </t>
  </si>
  <si>
    <t>Pump Water Pentax CM164101+Automatic  leo PS-04B</t>
  </si>
  <si>
    <t xml:space="preserve">ماطور ويلو الماني </t>
  </si>
  <si>
    <t xml:space="preserve">Pump With Poster Wilo </t>
  </si>
  <si>
    <t xml:space="preserve"> تقسيم تي زراعي</t>
  </si>
  <si>
    <t>Reduced Split T 3" * 3" * 2"  hdpe agriculture</t>
  </si>
  <si>
    <t>مصغرة 1/2*3/4 PPR</t>
  </si>
  <si>
    <t>Reducer 1/2*3/4 PPR</t>
  </si>
  <si>
    <t>زبانة سلفر مصغرة "1*1/2 كاز</t>
  </si>
  <si>
    <t>Reducer 1"*1/2 Gaz</t>
  </si>
  <si>
    <t>مصغرة  1.5 * 1 كلفنايز</t>
  </si>
  <si>
    <t>Reducer 1"*1.5" Galvanis</t>
  </si>
  <si>
    <t>مصغرة  1 * 3/4 كلفنايز</t>
  </si>
  <si>
    <t>Reducer 1"*3/4 Galvanis</t>
  </si>
  <si>
    <t>مصغرة  1 * 3/4 PPR</t>
  </si>
  <si>
    <t>Reducer 1"*3/4 PPR</t>
  </si>
  <si>
    <t>مصغرة  1.25 * 1 PPR</t>
  </si>
  <si>
    <t>Reducer 1.25"*1 PPR</t>
  </si>
  <si>
    <t>مصغرة  1.25 * 1.5 PPR</t>
  </si>
  <si>
    <t>Reducer 1.25"*1.5"PPR</t>
  </si>
  <si>
    <t>مصغرة  1.25 * 3/4 PPR</t>
  </si>
  <si>
    <t>Reducer 1.25"*3/4 PPR</t>
  </si>
  <si>
    <t>مصغرة "1.5 *1"PPR</t>
  </si>
  <si>
    <t>Reducer 1.5"*1" PPR</t>
  </si>
  <si>
    <t xml:space="preserve">مصغرة "1.25 *1.5"  UPVC   </t>
  </si>
  <si>
    <t>Reducer 1.5"*1.25" UPVC</t>
  </si>
  <si>
    <t xml:space="preserve">مصغرة "1 *3/4"  UPVC   </t>
  </si>
  <si>
    <t>Reducer 1"*3/4" UPVC</t>
  </si>
  <si>
    <t>مصغرة  2 * 1.5 PPR</t>
  </si>
  <si>
    <t>Reducer 1.5"*2" PPR</t>
  </si>
  <si>
    <t>مصغرة  2.5 * 1.5 PVC</t>
  </si>
  <si>
    <t>Reducer 1.5"*2.5" PVC</t>
  </si>
  <si>
    <t xml:space="preserve"> مصغر  زراعي 2" *1.25"</t>
  </si>
  <si>
    <t>Reducer 2" * 1.25"  hdpe agriculture</t>
  </si>
  <si>
    <t xml:space="preserve">مصغرة "1.5 *3/4"  PPR   </t>
  </si>
  <si>
    <t>Reducer 1.5"*3/4 PPR</t>
  </si>
  <si>
    <t xml:space="preserve"> مصغر  زراعي 2" *1.5"</t>
  </si>
  <si>
    <t>Reducer 2" * 1.5"  hdpe agriculture</t>
  </si>
  <si>
    <t>مصغرة "2 *1"PPR</t>
  </si>
  <si>
    <t>Reducer 2"*1" PPR</t>
  </si>
  <si>
    <t>مصغرة "2 *1.25"PPR</t>
  </si>
  <si>
    <t>Reducer 2"*1.25" PPR</t>
  </si>
  <si>
    <t>مصغرة  "2*"1 كلفنايز</t>
  </si>
  <si>
    <t>Reducer 2"*1" Galvanis</t>
  </si>
  <si>
    <t>مصغرة " 1.25 * "1.5 كلفنايز</t>
  </si>
  <si>
    <t>Reducer 1.5"*1.25" Galvanis</t>
  </si>
  <si>
    <t>مصغرة  "1/2*"3/4 كلفنايز</t>
  </si>
  <si>
    <t>Reducer 1/2"*3/4" Galvanis</t>
  </si>
  <si>
    <t>مصغرة "1/2*"3/4 كاز</t>
  </si>
  <si>
    <t>Reducer 1/2"*3/4" Gazoil</t>
  </si>
  <si>
    <t>مصغرة "2*"1.5 كلفنايز</t>
  </si>
  <si>
    <t>Reducer 2"*1.5" Galvanis</t>
  </si>
  <si>
    <t xml:space="preserve">مصغرة "2 *1.5"  PVC   </t>
  </si>
  <si>
    <t>Reducer 2"*1.5" PVC</t>
  </si>
  <si>
    <t xml:space="preserve">مصغرة "2 *1.5"  UPVC   </t>
  </si>
  <si>
    <t>Reducer 2"*1.5" UPVC</t>
  </si>
  <si>
    <t xml:space="preserve">مصغرة "2.5 *1.5"  UPVC   </t>
  </si>
  <si>
    <t>Reducer 2.5"*1.5" UPVC</t>
  </si>
  <si>
    <t>مصغرة 3/4*"2 PPR</t>
  </si>
  <si>
    <t>Reducer 2"*3/4 PPR</t>
  </si>
  <si>
    <t>مصغرة "2.5*"2 PPR</t>
  </si>
  <si>
    <t>Reducer 2.5"*2" PPR</t>
  </si>
  <si>
    <t xml:space="preserve">مصغرة "2.5 * 2"  UPVC   </t>
  </si>
  <si>
    <t>Reducer 2.5"*2" UPVC</t>
  </si>
  <si>
    <t xml:space="preserve">مصغرة كلفنايز  "2.5*"2 </t>
  </si>
  <si>
    <t>Reducer 2.5" 2"Galvanis</t>
  </si>
  <si>
    <t>مصغرة "2*"3 كلفنايز</t>
  </si>
  <si>
    <t>Reducer 3"*2" Galvanis</t>
  </si>
  <si>
    <t xml:space="preserve"> مصغر  زراعي 3" * 2"</t>
  </si>
  <si>
    <t>Reducer 3" * 2"  hdpe agriculture</t>
  </si>
  <si>
    <t xml:space="preserve"> مصغر  زراعي 3" *  2.5"</t>
  </si>
  <si>
    <t>Reducer 3" * 2.5"  hdpe agriculture</t>
  </si>
  <si>
    <t xml:space="preserve">مصغرة "3 * 2"  UPVC   </t>
  </si>
  <si>
    <t>Reducer 3"*2" UPVC</t>
  </si>
  <si>
    <t>مصغرة "1.25 * "3/4 كلفنايز</t>
  </si>
  <si>
    <t>Reducer 1.25" * 3/4" Galvanis</t>
  </si>
  <si>
    <t xml:space="preserve"> مصغر  زراعي 4" *  2"</t>
  </si>
  <si>
    <t>Reducer 4" * 2"  hdpe agriculture</t>
  </si>
  <si>
    <t xml:space="preserve"> مصغر  زراعي 4" *  3"</t>
  </si>
  <si>
    <t>Reducer 4" * 3"  hdpe agriculture</t>
  </si>
  <si>
    <t>مصغرة "4*"1.5 PVC</t>
  </si>
  <si>
    <t>Reducer 4"*1.5" PVC</t>
  </si>
  <si>
    <t>مصغرة "4 * "1.5 PVC تركي</t>
  </si>
  <si>
    <t xml:space="preserve">Reducer 4"*1.5" Turki </t>
  </si>
  <si>
    <t xml:space="preserve">مصغرة فنجان "4*"2 كلفنايز  </t>
  </si>
  <si>
    <t xml:space="preserve">Reducer 4"*2" Galvanis </t>
  </si>
  <si>
    <t xml:space="preserve">مصغرة رصاصي فاتح PVC "4*"2 </t>
  </si>
  <si>
    <t>Reducer 4"*2" PVC</t>
  </si>
  <si>
    <t xml:space="preserve">مصغرة "4 * 2"  UPVC   </t>
  </si>
  <si>
    <t>Reducer 4"*2" UPVC</t>
  </si>
  <si>
    <t>مصغرة "4*"2.5 PVC</t>
  </si>
  <si>
    <t>Reducer 4"*2.5" PVC</t>
  </si>
  <si>
    <t>مصغرة "4 * "2.5 PVC تركي</t>
  </si>
  <si>
    <t xml:space="preserve">Reducer 4"*2.5" Turki </t>
  </si>
  <si>
    <t xml:space="preserve">مصغرة "4 * 2.5"  UPVC   </t>
  </si>
  <si>
    <t>Readucer 4"*2.5" UPVC</t>
  </si>
  <si>
    <t xml:space="preserve">عكس 16" 45 UPVC  </t>
  </si>
  <si>
    <t>Elbow 16" 45 UPVC</t>
  </si>
  <si>
    <t xml:space="preserve">توصالة 16"  UPVC  </t>
  </si>
  <si>
    <t>Coupling  16" UPVC</t>
  </si>
  <si>
    <t xml:space="preserve">بوري 16"  UPVC  </t>
  </si>
  <si>
    <t>Pipe 16" UPVC</t>
  </si>
  <si>
    <t xml:space="preserve">مصغرة "4 * 3"  UPVC   </t>
  </si>
  <si>
    <t>Reducer 4"*3" UPVC</t>
  </si>
  <si>
    <t>مصغرة "6*"4  PVC</t>
  </si>
  <si>
    <t>Reducer 6"*4" PVC</t>
  </si>
  <si>
    <t xml:space="preserve"> رصاصي UPVC 4"*6" مصغرة</t>
  </si>
  <si>
    <t>Reducer 6"*4" UPVC Gray</t>
  </si>
  <si>
    <t>بوشة مصغرة حديد "1*1/2</t>
  </si>
  <si>
    <t>Reducer Busher 1/2*1" Galvanis</t>
  </si>
  <si>
    <t>بوشة مصغرة 1/2*1/4 حديد</t>
  </si>
  <si>
    <t>Reducer Bushing 1/2*1/4 Galvanis</t>
  </si>
  <si>
    <t>بوشة مصغرة سن داخلي 1/2*3/8 20ملم</t>
  </si>
  <si>
    <t>Reducer Bushing 1/2*3/8 20mm</t>
  </si>
  <si>
    <t>بوشة مصغرة "1*1/2</t>
  </si>
  <si>
    <t>Reducer Bushing 1"*1/2 Galvanis</t>
  </si>
  <si>
    <t>بوشة حديد كاز مصغرة "1*1/2</t>
  </si>
  <si>
    <t>Reducer Bushing 1"*1/2 Gazoil</t>
  </si>
  <si>
    <t>بوشة مصغرة "1*"1 1/4 كلفنايز</t>
  </si>
  <si>
    <t>Reducer Bushing 1"*1.25" Galvanis</t>
  </si>
  <si>
    <t>بوشة مصغرة "2 *1" كلفنايز</t>
  </si>
  <si>
    <t>Reducer Bushing 1"*2" Galvanis</t>
  </si>
  <si>
    <t>بوشة مصغرة "1 *3/4" كلفنايز</t>
  </si>
  <si>
    <t>Reducer Bushing 1"*3/4 Galvanis</t>
  </si>
  <si>
    <t>بوشة مصغرة 1.25"*1/2 كلفنايز</t>
  </si>
  <si>
    <t>Reducer Bushing 1.25"*1/2 Galvanize</t>
  </si>
  <si>
    <t>بوشة مصغرة 1.5"*3/4 كلفنايز</t>
  </si>
  <si>
    <t>Reducer Bushing 1.5"*3/4 Galvanize</t>
  </si>
  <si>
    <t>بوشة مصغرة 1.5 "*1/4 كلفنايز</t>
  </si>
  <si>
    <t>Reducer Bushing 1.5"*1/4 Galvanize</t>
  </si>
  <si>
    <t>بوشة مصغرة 1.5 "*1 كلفنايز</t>
  </si>
  <si>
    <t>Reducer Bushing 1.5"*1 Galvanize</t>
  </si>
  <si>
    <t>بوشة مصغرة 1.25 "*3/4 كلفنايز</t>
  </si>
  <si>
    <t>Reducer Bushing 1.25"*3/4 Galvanize</t>
  </si>
  <si>
    <t>بوشة مصغرة 1.5 "*1/2 كلفنايز</t>
  </si>
  <si>
    <t>Reducer Bushing 1.5"*1/2 Galvanize</t>
  </si>
  <si>
    <t>بوشة مصغرة 2*1/2 كلفنايز</t>
  </si>
  <si>
    <t>Reducer Bushing 2*1/2" Galvanis</t>
  </si>
  <si>
    <t>بوشة مصغرة 2*1 كلفنايز</t>
  </si>
  <si>
    <t>Reducer Bushing 2*1" Galvanis</t>
  </si>
  <si>
    <t>بوشة مصغرة 2*1.25 كلفنايز</t>
  </si>
  <si>
    <t>Reducer Bushing 2*1.25" Galvanis</t>
  </si>
  <si>
    <t>بوشة مصغرة 2*3/4 كلفنايز</t>
  </si>
  <si>
    <t>Reducer Bushing 2*3/4" Galvanis</t>
  </si>
  <si>
    <t>بوشة مصغرة "2*"1.5 كلفنايز</t>
  </si>
  <si>
    <t>Reducer Bushing 2"*1.5" Galvanis</t>
  </si>
  <si>
    <t>بوشة مصغرة "2*"3 كلفنايز</t>
  </si>
  <si>
    <t>Reducer Bushing 2"*3" Galvanis</t>
  </si>
  <si>
    <t>بوشة مصغرة 2.5*1.5 كلفنايز</t>
  </si>
  <si>
    <t>Reducer Bushing 2.5*1.5" Galvanis</t>
  </si>
  <si>
    <t>بوشة مصغرة "2.5*"2 كلفنايز</t>
  </si>
  <si>
    <t>Reducer Bushing 2.5"*2" Galvanis</t>
  </si>
  <si>
    <t>بوشة مصغرة "2.5*"3 كلفنايز</t>
  </si>
  <si>
    <t>Reducer Bushing 2.5"*3" Galvanis</t>
  </si>
  <si>
    <t>بوشة مصغرة "2.5*"4 كلفنايز</t>
  </si>
  <si>
    <t>Reducer Bushing 2.5"*4" Galvanis</t>
  </si>
  <si>
    <t>بوشة مصغرة "3/4*"1/2 كلفنايز</t>
  </si>
  <si>
    <t>Reducer Bushing 3/4*1/2 Galvanis</t>
  </si>
  <si>
    <t>بوشة مصغرة "3/4*"1/2 كاز</t>
  </si>
  <si>
    <t xml:space="preserve">Reducer Bushing 3/4*1/2 Gazoil </t>
  </si>
  <si>
    <t xml:space="preserve"> بوشة مصغرة 10ملم*1/2 كاز</t>
  </si>
  <si>
    <t>Reducer Bushing Gazoil 10mm*1/2</t>
  </si>
  <si>
    <t xml:space="preserve">  مصغرة 3/4" *1/2 لحيم</t>
  </si>
  <si>
    <t>Reducer Gazoil 1/2*3/4 Welding</t>
  </si>
  <si>
    <t xml:space="preserve">  مصغرة 4" *2 زراعي</t>
  </si>
  <si>
    <t xml:space="preserve"> Reducers Agricultural 4"*2"</t>
  </si>
  <si>
    <t>ربل 1.5" PVC</t>
  </si>
  <si>
    <t>Rubber PVC 1.5"</t>
  </si>
  <si>
    <t xml:space="preserve">مقص بواري </t>
  </si>
  <si>
    <t xml:space="preserve">Scissors Pipe </t>
  </si>
  <si>
    <t>برغي 10ملم</t>
  </si>
  <si>
    <t>Screw 10mm 12cm</t>
  </si>
  <si>
    <t xml:space="preserve">قفيص حديد "1.5 نص دائري 2برغي </t>
  </si>
  <si>
    <t>Semi-Circular Pipe Clamp Iron 1.5"(2 Screw)</t>
  </si>
  <si>
    <t xml:space="preserve">قفيص حديد "1.25 نص دائري 2برغي </t>
  </si>
  <si>
    <t>Semi-Circular Pipe Clamp Iron 1.25"(2 Screw)</t>
  </si>
  <si>
    <t>قفيص حديد 2برغي 1/2 20ملم نصف دائري</t>
  </si>
  <si>
    <t>Semi-Circular Pipe Clamp Iron 1/2(2 Screw)</t>
  </si>
  <si>
    <t xml:space="preserve">قفيص حديد "2 نص دائري 2برغي </t>
  </si>
  <si>
    <t>Semi-Circular Pipe Clamp Iron 2"(2 Screw)</t>
  </si>
  <si>
    <t xml:space="preserve">قفيص حديد "3/4 نص دائري 2برغي </t>
  </si>
  <si>
    <t>Semi-Circular Pipe Clamp Iron 3/4(2 Screw)</t>
  </si>
  <si>
    <t xml:space="preserve">قفيص حديد "4 نص دائري 2برغي </t>
  </si>
  <si>
    <t>Semi-Circular Pipe Clamp Iron 4"(2 Screw)</t>
  </si>
  <si>
    <t xml:space="preserve">قفيص حديد "1 نص دائري 2برغي </t>
  </si>
  <si>
    <t>Semi-Circular Pipe Clamp Iron1"(2 Screw)</t>
  </si>
  <si>
    <t xml:space="preserve">قفيص حديد "2.5 نص دائري 2برغي </t>
  </si>
  <si>
    <t>semi-Circular Pipe Clamp Iron2.5"(2 Screw)</t>
  </si>
  <si>
    <t>حبل كتان اسباني</t>
  </si>
  <si>
    <t xml:space="preserve">Spanish linen rope ( shelik ) </t>
  </si>
  <si>
    <t>خلاط شور نوعية كيراسوس</t>
  </si>
  <si>
    <t xml:space="preserve">Shower Mixer </t>
  </si>
  <si>
    <t>خلاط شور فرة اماراتي</t>
  </si>
  <si>
    <t>shower mixer emarat sultan</t>
  </si>
  <si>
    <t xml:space="preserve">خلاط شور رامادا </t>
  </si>
  <si>
    <t>Shower Mixer Ramada</t>
  </si>
  <si>
    <t>شور سستم فيترا A45682EXP</t>
  </si>
  <si>
    <t>Shower System Vitra A4568EXP</t>
  </si>
  <si>
    <t xml:space="preserve">شور تلفون نوع عادي  </t>
  </si>
  <si>
    <t>shower telephon normal type</t>
  </si>
  <si>
    <t>شور تركي 90*90 سم فيترا</t>
  </si>
  <si>
    <t>Shower Turki 90*90cm Vitra</t>
  </si>
  <si>
    <t>سلايت شور فيترا A45693EXP</t>
  </si>
  <si>
    <t>Slight Shower Vitra A45693EXP</t>
  </si>
  <si>
    <t xml:space="preserve"> غطاس صغير مبردة فيكو 75واط </t>
  </si>
  <si>
    <t>Small Submersible Vico 75W 2.5mt</t>
  </si>
  <si>
    <t>ماطور غطاس صغير مع صوندة مرشة نوزل</t>
  </si>
  <si>
    <t>Small Water Submersible Garden Art</t>
  </si>
  <si>
    <t xml:space="preserve">حمالة صابون ستيل مشبك </t>
  </si>
  <si>
    <t xml:space="preserve">Soap Holder Steel </t>
  </si>
  <si>
    <t>قفل كهربائي 5-90درجة حرارة 0kg-10kg</t>
  </si>
  <si>
    <t>Solenoid Valve 1"  2W250-25 220V 25mm</t>
  </si>
  <si>
    <t>سيت لبة فلتر ماء تتكون من 3فلاتر</t>
  </si>
  <si>
    <t xml:space="preserve">Spare Filter Water 3filter </t>
  </si>
  <si>
    <t>صوندة تقسيم مبردة</t>
  </si>
  <si>
    <t>Split Hose Air Cooler Export</t>
  </si>
  <si>
    <t>تقسيم رباعي 4"</t>
  </si>
  <si>
    <t>Split Quadruple 4" PVC</t>
  </si>
  <si>
    <t>تقسيم تي 2.5" PPR</t>
  </si>
  <si>
    <t>Split T   2.5" PPR</t>
  </si>
  <si>
    <t>مجمع تصريف تقسيم تي مع عكس 90 داخل المجمع</t>
  </si>
  <si>
    <t>Split T  125mm * 75mm * 60mm *50mm floor drain  UPVC</t>
  </si>
  <si>
    <t>تقسيم تي 2.5" PVC</t>
  </si>
  <si>
    <t>Split T  2.5" PVC</t>
  </si>
  <si>
    <t>تقسيم تي 4" PVC</t>
  </si>
  <si>
    <t>Split T 4" PVC</t>
  </si>
  <si>
    <t>تقسيم تي 4" UPVC رصاصي</t>
  </si>
  <si>
    <t>Split T  4" UPVC GRAY</t>
  </si>
  <si>
    <t>تقسيم تي 1/2" كلفنايز</t>
  </si>
  <si>
    <t xml:space="preserve">Split T 1/2 Galvanis </t>
  </si>
  <si>
    <t>تقسيم تي 1/2 PPR</t>
  </si>
  <si>
    <t>Split T 1/2 PPR</t>
  </si>
  <si>
    <t xml:space="preserve">تقسيم تي"1 UPVC </t>
  </si>
  <si>
    <t>Split T 1"  UPVC</t>
  </si>
  <si>
    <t xml:space="preserve">تقسيم "واي 1 UPVC </t>
  </si>
  <si>
    <t>Split Y 1"  UPVC</t>
  </si>
  <si>
    <t>تقسيم تي 1"  PPR</t>
  </si>
  <si>
    <t>Split T 1" PPR</t>
  </si>
  <si>
    <t xml:space="preserve">PPR 1.25'' * 1.25'' * 1" تقسيم تي </t>
  </si>
  <si>
    <t>Split T 1.25 * 1.25 * 1 PPR</t>
  </si>
  <si>
    <t xml:space="preserve">PPR 1.25'' * 1.25'' * 3/4" تقسيم تي </t>
  </si>
  <si>
    <t>Split T 1.25 * 1.25 * 3/4 PPR</t>
  </si>
  <si>
    <t xml:space="preserve"> تقسيم تي 1.25" زراعي</t>
  </si>
  <si>
    <t>Split T 1.25"  hdpe agriculture</t>
  </si>
  <si>
    <t xml:space="preserve"> تقسيم تي 1.5" زراعي</t>
  </si>
  <si>
    <t>Split T 1.5"  hdpe agriculture</t>
  </si>
  <si>
    <t>PPR 1.25" T تقسيم</t>
  </si>
  <si>
    <t>Split T 1.25" PPR</t>
  </si>
  <si>
    <t>PPR 1.5" T تقسيم</t>
  </si>
  <si>
    <t>Split T 1.5" PPR</t>
  </si>
  <si>
    <t>PPR 2 * 3/4" T تقسيم</t>
  </si>
  <si>
    <t>Split T 2" * 3/4" PPR</t>
  </si>
  <si>
    <t xml:space="preserve"> تقسيم تي 2" زراعي </t>
  </si>
  <si>
    <t>Split T 2"  hdpe agriculture</t>
  </si>
  <si>
    <t>تقسيم تي حديد "2</t>
  </si>
  <si>
    <t>Split T 2" Galvanis</t>
  </si>
  <si>
    <t>PPR 2" T تقسيم</t>
  </si>
  <si>
    <t>Split T 2" PPR</t>
  </si>
  <si>
    <t>تقسيم تي"2 UPVC رصاصي</t>
  </si>
  <si>
    <t>Split T 2" UPVC Gray</t>
  </si>
  <si>
    <t>تقسيم تي"2 * 1" UPVC رصاصي</t>
  </si>
  <si>
    <t>Split T 2"1" UPVC Gray</t>
  </si>
  <si>
    <t>تقسيم تي  1.5" UPVC رصاصي</t>
  </si>
  <si>
    <t>Split T 1.5" UPVC Gray</t>
  </si>
  <si>
    <t>Split T 2.5" Quarter UPVC Gray</t>
  </si>
  <si>
    <t>تقسيم تي  2" UPVC رصاصي</t>
  </si>
  <si>
    <t>Split T 2" Quarter UPVC Gray</t>
  </si>
  <si>
    <t>تقسيم تي  1/2" UPVC رصاصي</t>
  </si>
  <si>
    <t>Split T 1/2" UPVC Gray</t>
  </si>
  <si>
    <t xml:space="preserve"> تقسيم تي 2.5" زراعي </t>
  </si>
  <si>
    <t xml:space="preserve">Split T 2.5" Agricultural </t>
  </si>
  <si>
    <t>تقسيم T كلفنايز 3/4</t>
  </si>
  <si>
    <t xml:space="preserve">Split T 3/4 Galvanis </t>
  </si>
  <si>
    <t xml:space="preserve">تقسيم تي كاز  3/4 </t>
  </si>
  <si>
    <t>Split T 3/4 Gazoil</t>
  </si>
  <si>
    <t>تقسيم تي 3/4  PPR</t>
  </si>
  <si>
    <t>Split T 3/4 PPR</t>
  </si>
  <si>
    <t>تقسيم تي 3/4  UPVC</t>
  </si>
  <si>
    <t>Split T 3/4 UPVC</t>
  </si>
  <si>
    <t xml:space="preserve"> تقسيم تي 3" زراعي</t>
  </si>
  <si>
    <t>Split T 3"  hdpe agriculture</t>
  </si>
  <si>
    <t xml:space="preserve">PPR 1'' * 1'' * 3/4" تقسيم تي </t>
  </si>
  <si>
    <t>Split T 32*32*25mm PPR</t>
  </si>
  <si>
    <t>تقسيم تي 4" * 1.5" PVC</t>
  </si>
  <si>
    <t>Split T 4" * 1.5 PVC</t>
  </si>
  <si>
    <t xml:space="preserve"> تقسيم تي 4" زراعي</t>
  </si>
  <si>
    <t>Split T 4"  hdpe agriculture</t>
  </si>
  <si>
    <t>PVC 6" T تقسيم</t>
  </si>
  <si>
    <t>Split T 6" PVC</t>
  </si>
  <si>
    <t>PVC 4" TR تقسيم</t>
  </si>
  <si>
    <t>Split TR  4" PVC</t>
  </si>
  <si>
    <t>PVC 6" TR تقسيم</t>
  </si>
  <si>
    <t>Split TR  6" PVC</t>
  </si>
  <si>
    <t>PVC 1.5" TR تقسيم</t>
  </si>
  <si>
    <t>Split TR 1.5" PVC</t>
  </si>
  <si>
    <t>PVC 2.5" TR تقسيم</t>
  </si>
  <si>
    <t>Split TR 2.5" PVC</t>
  </si>
  <si>
    <t>PVC 2.5"  تقسيم واي</t>
  </si>
  <si>
    <t>Split Y  2.5" PVC</t>
  </si>
  <si>
    <t>PVC 3"  تقسيم واي</t>
  </si>
  <si>
    <t>Split Y  3" PVC</t>
  </si>
  <si>
    <t>تقسيم واي "4 PVC</t>
  </si>
  <si>
    <t>Split Y  4" PVC</t>
  </si>
  <si>
    <t>تقسيم واي "6 PVC</t>
  </si>
  <si>
    <t>Split Y  6" PVC</t>
  </si>
  <si>
    <t>تقسيم واي "1.5 PVC</t>
  </si>
  <si>
    <t>Split Y 1.5" PVC</t>
  </si>
  <si>
    <t>تقسيم واي "4* 1.5 PVC</t>
  </si>
  <si>
    <t>Split Y reducer 4" * 1.5" PVC</t>
  </si>
  <si>
    <t>تقسيم شجرة 4" PVC</t>
  </si>
  <si>
    <t>Split Y Tree  4" PVC</t>
  </si>
  <si>
    <t>خلاط سينك سبرينك</t>
  </si>
  <si>
    <t>Spring Mixer Sink EMPERO</t>
  </si>
  <si>
    <t xml:space="preserve">راس دوش مربع </t>
  </si>
  <si>
    <t xml:space="preserve">Square Shower Head 20*20cm </t>
  </si>
  <si>
    <t xml:space="preserve">زاوية ستيل حمامات 2 رف </t>
  </si>
  <si>
    <t xml:space="preserve">steel angle for the showers 2 rows </t>
  </si>
  <si>
    <t>يدة شطاف ستيل للتواليت</t>
  </si>
  <si>
    <t>Steel Handle Spray for Toilet</t>
  </si>
  <si>
    <t>قفل "1 PPR</t>
  </si>
  <si>
    <t>Stop Valve  1" PPR</t>
  </si>
  <si>
    <t xml:space="preserve">قفل "1.5 كلفنايز </t>
  </si>
  <si>
    <t>Stop Valve  1.5" Galvanis</t>
  </si>
  <si>
    <t>قفل  "1.5 PPR</t>
  </si>
  <si>
    <t>Stop Valve  1.5" PPR</t>
  </si>
  <si>
    <t>قفل  "2 PPR</t>
  </si>
  <si>
    <t>Stop Valve  2" PPR</t>
  </si>
  <si>
    <t>قفل  "2.5 PPR</t>
  </si>
  <si>
    <t>Stop Valve  2.5" PPR</t>
  </si>
  <si>
    <t>قفل  "3/4 PPR</t>
  </si>
  <si>
    <t>Stop Valve 3/4 PPR</t>
  </si>
  <si>
    <t>قفل 1/2 ظاهري</t>
  </si>
  <si>
    <t>Stop Valve 1/2 External</t>
  </si>
  <si>
    <t>قفل  1/2 حديد</t>
  </si>
  <si>
    <t>Stop Valve 1/2 Galvanis</t>
  </si>
  <si>
    <t>قفل  1/2 كاز</t>
  </si>
  <si>
    <t>Stop Valve 1/2 Gazoil</t>
  </si>
  <si>
    <t>قفل 1/2 PPR</t>
  </si>
  <si>
    <t>Stop Valve 1/2 PPR</t>
  </si>
  <si>
    <t>قفل كومبريسر هواء 1/4</t>
  </si>
  <si>
    <t xml:space="preserve">Stop Valve 1/4 Galvanis </t>
  </si>
  <si>
    <t>قفل 1" كلفنايز</t>
  </si>
  <si>
    <t>Stop Valve 1"  Galvanis</t>
  </si>
  <si>
    <t>قفل 1" كاز</t>
  </si>
  <si>
    <t xml:space="preserve">Stop Valve 1" Gazoil  </t>
  </si>
  <si>
    <t>قفل 1" PPR يدة دائرية حديد</t>
  </si>
  <si>
    <t>Stop Valve 1" PPR Circular Hand</t>
  </si>
  <si>
    <t xml:space="preserve">قفل حديد "1.25 </t>
  </si>
  <si>
    <t>Stop Valve 1.25"  Galvanis</t>
  </si>
  <si>
    <t>قفل "1.25 PPR</t>
  </si>
  <si>
    <t>Stop Valve 1.25" PPR 40ml</t>
  </si>
  <si>
    <t>قفل "1.5 PPR</t>
  </si>
  <si>
    <t>Stop Valve 1.5" PPR 40ml</t>
  </si>
  <si>
    <t>قفل "2 كلفنايز</t>
  </si>
  <si>
    <t>Stop Valve 2" Galvanis</t>
  </si>
  <si>
    <t>قفل "2 كاز</t>
  </si>
  <si>
    <t>Stop Valve 2" Gazoil</t>
  </si>
  <si>
    <t>قفل "2.5 كلفنايز</t>
  </si>
  <si>
    <t>Stop valve 2.5" Galvanis</t>
  </si>
  <si>
    <t>قفل "3/4 كلفنايز</t>
  </si>
  <si>
    <t>Stop Valve 3/4  Galvanis</t>
  </si>
  <si>
    <t>قفل "3/4 كاز</t>
  </si>
  <si>
    <t>Stop Valve 3/4 Gazoil</t>
  </si>
  <si>
    <t xml:space="preserve">قفل 3 انج حديد </t>
  </si>
  <si>
    <t>Stop valve 3" Galvanis</t>
  </si>
  <si>
    <t>قفل حديد "4</t>
  </si>
  <si>
    <t>Stop Valve 4" Galvanis</t>
  </si>
  <si>
    <t>قفل "4 UPVC رصاصي</t>
  </si>
  <si>
    <t xml:space="preserve">Stop Valve 4" UPVC Gray </t>
  </si>
  <si>
    <t>قفل "1/2 UPVC رصاصي</t>
  </si>
  <si>
    <t xml:space="preserve">Stop Valve 1/2" UPVC Gray </t>
  </si>
  <si>
    <t>قفل "1.5 UPVC رصاصي</t>
  </si>
  <si>
    <t xml:space="preserve">Stop Valve 1.5" UPVC Gray </t>
  </si>
  <si>
    <t>قفل "2 UPVC رصاصي</t>
  </si>
  <si>
    <t xml:space="preserve">Stop Valve 2" UPVC Gray </t>
  </si>
  <si>
    <t>قفل "3/4 UPVC رصاصي</t>
  </si>
  <si>
    <t xml:space="preserve">Stop Valve 3/4" UPVC Gray </t>
  </si>
  <si>
    <t>قفل "1 UPVC رصاصي</t>
  </si>
  <si>
    <t xml:space="preserve">Stop Valve 1" UPVC Gray </t>
  </si>
  <si>
    <t>قفل "1.25 UPVC رصاصي</t>
  </si>
  <si>
    <t xml:space="preserve">Stop Valve 1.25" UPVC Gray </t>
  </si>
  <si>
    <t>قفل "1.5 زراعي</t>
  </si>
  <si>
    <t>Stop Valve Agricultural 1.5"</t>
  </si>
  <si>
    <t>قفل "2 زراعي</t>
  </si>
  <si>
    <t xml:space="preserve">Stop Valve Agriculture 2" </t>
  </si>
  <si>
    <t>قفل "2.5 زراعي</t>
  </si>
  <si>
    <t>Stop Valve Agricultural 2.5"</t>
  </si>
  <si>
    <t>قفل "4 زراعي</t>
  </si>
  <si>
    <t>Stop Valve Agricultural 4"</t>
  </si>
  <si>
    <t xml:space="preserve">قفل هواء 10 ملم  </t>
  </si>
  <si>
    <t>Stop valve Air 10mm</t>
  </si>
  <si>
    <t>قفل هواء 12ملم</t>
  </si>
  <si>
    <t>Stop Valve Air 12mm</t>
  </si>
  <si>
    <t xml:space="preserve">قفل ظاهري 1/2*3/8 راس القفل بلاستيك </t>
  </si>
  <si>
    <t>Stop Valve External 1/2*3/8 plastic</t>
  </si>
  <si>
    <t xml:space="preserve">قفل ظاهري ثنائي </t>
  </si>
  <si>
    <t xml:space="preserve">Stop Valve External Double </t>
  </si>
  <si>
    <t xml:space="preserve">قفل ظاهري ستيل </t>
  </si>
  <si>
    <t xml:space="preserve">Stop Valve External steel Turki </t>
  </si>
  <si>
    <t>قفل ظاهري فيترا  A45200EXP</t>
  </si>
  <si>
    <t>Stop Valve External steel Vitra A45200EXP</t>
  </si>
  <si>
    <t>قفل لصوندة ستيل شور</t>
  </si>
  <si>
    <t xml:space="preserve">Stop Valve Hoes Shower </t>
  </si>
  <si>
    <t xml:space="preserve">قفل دكمة مبولة </t>
  </si>
  <si>
    <t xml:space="preserve">Stop Valve Urinal </t>
  </si>
  <si>
    <t>قفل غسالة</t>
  </si>
  <si>
    <t xml:space="preserve">Stop Valve Washing </t>
  </si>
  <si>
    <t>منظومة فلاتر ماء تتكون من 3فلاتر</t>
  </si>
  <si>
    <t>System Filter Water 3filter CCK</t>
  </si>
  <si>
    <t>منظومة فلاتر ماء تتكون من 3فلاترمع UV e505</t>
  </si>
  <si>
    <t>System Filter Water 3filter CCK With UV e505</t>
  </si>
  <si>
    <t xml:space="preserve">منظومة ماطور ماء كامل </t>
  </si>
  <si>
    <t>System Pump Pressure Water full</t>
  </si>
  <si>
    <t xml:space="preserve">سيت ماطور ماء ماركة ويلو تتكون من 2ماطور MHI405-1/E مع تانك ظغط+بورد تحكم 1.5h </t>
  </si>
  <si>
    <t>System Pump Pressure Water Wilo 2Pump +Elec Board  MHI405-1/E</t>
  </si>
  <si>
    <t>تانجيت 1/2كيلو Fast Welp</t>
  </si>
  <si>
    <t>Tanget 1/2K</t>
  </si>
  <si>
    <t>تانجيت 1/4كيلو Fast Welp</t>
  </si>
  <si>
    <t>Tanget 1/4K</t>
  </si>
  <si>
    <t>تانجيت 1كيلو</t>
  </si>
  <si>
    <t>Tanget 1K</t>
  </si>
  <si>
    <t>ماطور غسل تانكي عربانة 15-40بار سعة التانكي 160لتر يعمل على بنزين</t>
  </si>
  <si>
    <t>Tank Gasoline Power Sprayer PL160-160Lt</t>
  </si>
  <si>
    <t>خزان ماء تواليت فيترا 5783B003-5450</t>
  </si>
  <si>
    <t>Tank Western Toilet Vitra 5783B003-5450</t>
  </si>
  <si>
    <t>تفلون</t>
  </si>
  <si>
    <t xml:space="preserve"> Teflon Omede Rassan</t>
  </si>
  <si>
    <t>تفلون سائل فوريس 250مل</t>
  </si>
  <si>
    <t>Teflon Liquid FORCE 250ml 5543</t>
  </si>
  <si>
    <t>شطافة تواليت غربي فيترا 311121</t>
  </si>
  <si>
    <t xml:space="preserve">Toilet Bath Bidet Sprayer </t>
  </si>
  <si>
    <t xml:space="preserve">فرشاة تواليت بلاستيك </t>
  </si>
  <si>
    <t>Toilet Brush</t>
  </si>
  <si>
    <t>قاعدة كلينكس تواليت دفتري</t>
  </si>
  <si>
    <t xml:space="preserve">Toilet Paper Towel Holder steel </t>
  </si>
  <si>
    <t xml:space="preserve">حمالة خاولي ستيل دائري </t>
  </si>
  <si>
    <t>Towels Holder Steel Circular</t>
  </si>
  <si>
    <t>يونيون 1" كلفنايز</t>
  </si>
  <si>
    <t>Union 1" Galvanis</t>
  </si>
  <si>
    <t>يونيون 1" PPR</t>
  </si>
  <si>
    <t>Union 1" PPR</t>
  </si>
  <si>
    <t>يونيون 1" UPVC</t>
  </si>
  <si>
    <t>Union 1" UPVC</t>
  </si>
  <si>
    <t>يونيون 1.25" كلفنايز</t>
  </si>
  <si>
    <t>Union 1.25" Galvanis</t>
  </si>
  <si>
    <t>يونيون 1.25" PPR</t>
  </si>
  <si>
    <t xml:space="preserve">  Union 1.25" PPR</t>
  </si>
  <si>
    <t>يونيون 1.25" UPVC</t>
  </si>
  <si>
    <t>Union 1.25" UPVC</t>
  </si>
  <si>
    <t>يونيون 1.5" PPR</t>
  </si>
  <si>
    <t xml:space="preserve">  Union 1.5" PPR</t>
  </si>
  <si>
    <t>يونيون 1.5" UPVC</t>
  </si>
  <si>
    <t>Union 1.5" UPVC</t>
  </si>
  <si>
    <t>يونيون 1.5" كلفنايز</t>
  </si>
  <si>
    <t>Union 1.5" Galvanize</t>
  </si>
  <si>
    <t>Union 1/2" Galvanize</t>
  </si>
  <si>
    <t>يونيون 2" كلفنايز</t>
  </si>
  <si>
    <t xml:space="preserve">Union 2" Galvanis </t>
  </si>
  <si>
    <t>يونيون 2" PPR</t>
  </si>
  <si>
    <t>Union 2" PPR</t>
  </si>
  <si>
    <t>يونيون 2" UPVC</t>
  </si>
  <si>
    <t>Union 2" UPVC</t>
  </si>
  <si>
    <t>يونيون 3" UPVC</t>
  </si>
  <si>
    <t>Union 3" UPVC</t>
  </si>
  <si>
    <t>يونيون 4" UPVC</t>
  </si>
  <si>
    <t>Union 4" UPVC</t>
  </si>
  <si>
    <t>يونيون 2.5" كلفنايز</t>
  </si>
  <si>
    <t>Union 2.5" Galvanis</t>
  </si>
  <si>
    <t>يونيون 3/4" كلفنايز</t>
  </si>
  <si>
    <t>Union 3/4 Galvanis</t>
  </si>
  <si>
    <t>يونيون 3/4" PPR</t>
  </si>
  <si>
    <t>Union 3/4 PPR</t>
  </si>
  <si>
    <t>يونيون 3" كلفنايز</t>
  </si>
  <si>
    <t>Union 3"Galvanis</t>
  </si>
  <si>
    <t>يونيون 4" كلفنايز</t>
  </si>
  <si>
    <t>Union 4" Galvanis</t>
  </si>
  <si>
    <t>يونيون 1" زراعي</t>
  </si>
  <si>
    <t>Union Agricultural 1"</t>
  </si>
  <si>
    <t>يونيون 1" كاز</t>
  </si>
  <si>
    <t>Union Gazoil 1"</t>
  </si>
  <si>
    <t>شكلة صوندة  صفحتين "2 حديد نيثة وفحل سن خارجي</t>
  </si>
  <si>
    <t>Union Male+Female 2" hose Iron Shakil</t>
  </si>
  <si>
    <t>شكلة صوندة "2 حديد نيثة وفحل سن خارجي</t>
  </si>
  <si>
    <t>Union Male+Female 2" Iron Shakil</t>
  </si>
  <si>
    <t>شكلة كامل سن خارجي "3</t>
  </si>
  <si>
    <t>Union Male+Female 3" Galvanis Shakil</t>
  </si>
  <si>
    <t xml:space="preserve">مبولة تركي </t>
  </si>
  <si>
    <t xml:space="preserve">Urinal Turknuz </t>
  </si>
  <si>
    <t>قاطع مبولة</t>
  </si>
  <si>
    <t>Wall Urinal</t>
  </si>
  <si>
    <t xml:space="preserve">خلاط مغسلة رامادا </t>
  </si>
  <si>
    <t>Wash Basin Mixer Ramada</t>
  </si>
  <si>
    <t xml:space="preserve">خلاط مغسلة تركي </t>
  </si>
  <si>
    <t xml:space="preserve">Wash Basin Mixer Turki </t>
  </si>
  <si>
    <t>خلاط مغسلة عادي وليس كير  كانسو</t>
  </si>
  <si>
    <t>Wash Basin Mixer Turki Cansu</t>
  </si>
  <si>
    <t>واشر 10ملم</t>
  </si>
  <si>
    <t>Washer  10mm</t>
  </si>
  <si>
    <t>توصالة واشر "1.5 تركي</t>
  </si>
  <si>
    <t>Coupling 1.5" Turki with Washer</t>
  </si>
  <si>
    <t>زبانة ابو الواشر "2 نحاس</t>
  </si>
  <si>
    <t>Washer Nipple 2" Galvanis</t>
  </si>
  <si>
    <t xml:space="preserve">واشر ربل 3انج </t>
  </si>
  <si>
    <t>Washer palstic  3"</t>
  </si>
  <si>
    <t>واشر ربل 2.5 انج</t>
  </si>
  <si>
    <t>Washer palstic 2.5"</t>
  </si>
  <si>
    <t xml:space="preserve">واشر ربل 4انج </t>
  </si>
  <si>
    <t>Washer palstic 4"</t>
  </si>
  <si>
    <t xml:space="preserve">واشر ربل 10ملم </t>
  </si>
  <si>
    <t>Washer Rubber 10mm</t>
  </si>
  <si>
    <t xml:space="preserve">واشر ربل 16ملم </t>
  </si>
  <si>
    <t>Washer Rubber 16mm</t>
  </si>
  <si>
    <t>كييج ضغط 15بار</t>
  </si>
  <si>
    <t>Water Guage 15Par</t>
  </si>
  <si>
    <t>صوندة ماء "2 رصاصي</t>
  </si>
  <si>
    <t>Water Hose  2"</t>
  </si>
  <si>
    <t xml:space="preserve">زبانة 1/2 "كاز لحيم ( حريق ) </t>
  </si>
  <si>
    <t>Weld Nipple 1/2 Gazoil   Iron Fire</t>
  </si>
  <si>
    <t xml:space="preserve">تواليت غربي سيراميك توتا 293 </t>
  </si>
  <si>
    <t>Western Toilet Toota 293</t>
  </si>
  <si>
    <t xml:space="preserve">تواليت غربي سيراميك توتا 600 </t>
  </si>
  <si>
    <t>Western Toilet Toota 600</t>
  </si>
  <si>
    <t>لبة فلتر ماء ابيض  نوعين</t>
  </si>
  <si>
    <t>White Filter Water GAC+Sediment+ppsdun 5micron</t>
  </si>
  <si>
    <t xml:space="preserve">حلفة مبردة </t>
  </si>
  <si>
    <t>Wood For Air Cooler Export</t>
  </si>
  <si>
    <t xml:space="preserve">  فتحة بلاستك للماء</t>
  </si>
  <si>
    <t>لاصق فاينل</t>
  </si>
  <si>
    <t>Adhesive Vinyl</t>
  </si>
  <si>
    <t>Pail.</t>
  </si>
  <si>
    <t>لاصق فاينل ايران</t>
  </si>
  <si>
    <t xml:space="preserve">صبغ اسود ليرة </t>
  </si>
  <si>
    <t xml:space="preserve">Black Panit Lira </t>
  </si>
  <si>
    <t>سليكون اسود وورث</t>
  </si>
  <si>
    <t xml:space="preserve">Black Silicon Wurth 300ml </t>
  </si>
  <si>
    <t>صبغ بخاخ اسود</t>
  </si>
  <si>
    <t>Black Spray Paint</t>
  </si>
  <si>
    <t>صبغ بخاخ ازرق</t>
  </si>
  <si>
    <t xml:space="preserve">Blue Spray Paint Polinice </t>
  </si>
  <si>
    <t>ثنر بطل 2.84لتر</t>
  </si>
  <si>
    <t>Bottle Thinner 2.84L</t>
  </si>
  <si>
    <t>Bott.</t>
  </si>
  <si>
    <t>سليكون شفاف</t>
  </si>
  <si>
    <t>clear silicon</t>
  </si>
  <si>
    <t>ايبوكسي</t>
  </si>
  <si>
    <t xml:space="preserve">Epoxy Injectable mortar HIT-HY </t>
  </si>
  <si>
    <t xml:space="preserve">Epoxy Injectable mortar HIT-RE </t>
  </si>
  <si>
    <t>Epoxy Soudal 300ml P300.ST</t>
  </si>
  <si>
    <t>سيكوتين بخاخ</t>
  </si>
  <si>
    <t>fast adhesive</t>
  </si>
  <si>
    <t>لاصق قوام بخاخ</t>
  </si>
  <si>
    <t>fast spray QWAM</t>
  </si>
  <si>
    <t>فوم وورث</t>
  </si>
  <si>
    <t>Foam Wurth  750ml</t>
  </si>
  <si>
    <t>بنزين</t>
  </si>
  <si>
    <t xml:space="preserve">Gasoline </t>
  </si>
  <si>
    <t>L.T</t>
  </si>
  <si>
    <t>صوصج رصاصي</t>
  </si>
  <si>
    <t xml:space="preserve">Gray Hyperseal </t>
  </si>
  <si>
    <t>صبغ دوفا 20كيلو نهائي</t>
  </si>
  <si>
    <t>Gray Paint final 20K Dufa</t>
  </si>
  <si>
    <t>صبغ دهني ابيض</t>
  </si>
  <si>
    <t>Greasy White Paint 4L</t>
  </si>
  <si>
    <t>فرشاة تيل كوسرة كبيرة ناعم ذهبي</t>
  </si>
  <si>
    <t>Grinding Brush Cleaning disc Big</t>
  </si>
  <si>
    <t>فرشاة تيل كوسرة صفيرة ناعم ذهبي</t>
  </si>
  <si>
    <t>Grinding Brush Cleaning disc Small</t>
  </si>
  <si>
    <t>سليكون كيتر شفاف</t>
  </si>
  <si>
    <t>Gutter Clear Silicon</t>
  </si>
  <si>
    <t>Gypsum Board Smoothing Sponge</t>
  </si>
  <si>
    <t>جوتيك ستايل</t>
  </si>
  <si>
    <t>Jotuk Style fabric</t>
  </si>
  <si>
    <t>Rol.</t>
  </si>
  <si>
    <t>صبغ جوتن</t>
  </si>
  <si>
    <t xml:space="preserve">Jotun Matt Base Paint 16.2L </t>
  </si>
  <si>
    <t>Jotun Paint 1931 18Lt</t>
  </si>
  <si>
    <t>Jotun Paint 3.6L 10342</t>
  </si>
  <si>
    <t>Jotun Paint 3.6l 8395</t>
  </si>
  <si>
    <t>Jotun Paint 3.6L 9004</t>
  </si>
  <si>
    <t>Jotun Paint External 18Lt</t>
  </si>
  <si>
    <t>JOTUN Paint Gray 7035 3.6L</t>
  </si>
  <si>
    <t>Jotun Paint Primer Alkali DU-20</t>
  </si>
  <si>
    <t>صبغ جوتن خارجي 3.6لتر 8395</t>
  </si>
  <si>
    <t>Jotun Paint Tex Ultra Base A 3.</t>
  </si>
  <si>
    <t>صبغ جوتن 3.6لتر</t>
  </si>
  <si>
    <t>Jotun Primer Paint 3.6l</t>
  </si>
  <si>
    <t>قلاكيم</t>
  </si>
  <si>
    <t>Kalekim 1954 25k</t>
  </si>
  <si>
    <t>bag.</t>
  </si>
  <si>
    <t>صبغ اوفوايت اسيا</t>
  </si>
  <si>
    <t>Off White Paint 3.6l Asia</t>
  </si>
  <si>
    <t>صبغ دهني برتقالي</t>
  </si>
  <si>
    <t>orange paint dewilux</t>
  </si>
  <si>
    <t>Original Wood Glue 3.78lt</t>
  </si>
  <si>
    <t>صبغ بيتك اسود برايمر</t>
  </si>
  <si>
    <t xml:space="preserve">Paint Black Betek Praimer 2.5L </t>
  </si>
  <si>
    <t>فرجة صبغ 1"</t>
  </si>
  <si>
    <t>Paint Brush 1"</t>
  </si>
  <si>
    <t>فرجة صبغ 2"</t>
  </si>
  <si>
    <t>Paint Brush 2"</t>
  </si>
  <si>
    <t>فرجة صبغ خشب 1"</t>
  </si>
  <si>
    <t>Paint Brush Wood 1" ACE</t>
  </si>
  <si>
    <t>فرجة صبغ خشب 1.5"</t>
  </si>
  <si>
    <t>Paint Brush Wood 1.5" ACE</t>
  </si>
  <si>
    <t>فرجة صبغ خشب 2"</t>
  </si>
  <si>
    <t>Paint Brush Wood 2" ACE</t>
  </si>
  <si>
    <t>فرجة صبغ خشب 2.5"</t>
  </si>
  <si>
    <t>Paint Brush Wood 2.5" ACE</t>
  </si>
  <si>
    <t>فرجة صبغ خشب 3"</t>
  </si>
  <si>
    <t>Paint Brush Wood 3" ACE</t>
  </si>
  <si>
    <t>صبغ ليرة برايمر رصاصي</t>
  </si>
  <si>
    <t>Paint Gray Primer 3.6L L</t>
  </si>
  <si>
    <t>صبغ همبل 552ME</t>
  </si>
  <si>
    <t>Paint Hempel 552ME  14.1Lt A+2L</t>
  </si>
  <si>
    <t>صبغ همبل  8Lt A17360</t>
  </si>
  <si>
    <t>Paint Hempel 8Lt A17360+2Lt B 9</t>
  </si>
  <si>
    <t>صبغ همبل 3055210</t>
  </si>
  <si>
    <t>Paint Hemple 16L A+4L B 3055210</t>
  </si>
  <si>
    <t>صبغ  همبل رصاصي 18 لتر</t>
  </si>
  <si>
    <t>Paint Hemple 18L A12.6Lt+B4.5Lt 3045880</t>
  </si>
  <si>
    <t>صبغ همبل 458</t>
  </si>
  <si>
    <t>Paint Hemple 2.56 A+0.95 B  458</t>
  </si>
  <si>
    <t>رولة صبغ  10سم</t>
  </si>
  <si>
    <t>Paint Roller 10cm Dekor</t>
  </si>
  <si>
    <t>رولة صبغ 15سم</t>
  </si>
  <si>
    <t>Paint Roller 15cm</t>
  </si>
  <si>
    <t>رولة صبغ 25سم</t>
  </si>
  <si>
    <t>Paint Roller 25cm Dekor</t>
  </si>
  <si>
    <t>رولة صبغ 5سم</t>
  </si>
  <si>
    <t>Paint Roller 5cm</t>
  </si>
  <si>
    <t>رولة صبغ 7.5سم</t>
  </si>
  <si>
    <t>Paint Roller 7.5cm Dekor</t>
  </si>
  <si>
    <t>تيب صبغ</t>
  </si>
  <si>
    <t>Paint Tape 5cm</t>
  </si>
  <si>
    <t>معجون بلي وود</t>
  </si>
  <si>
    <t>Paste Plywood Polster</t>
  </si>
  <si>
    <t>Cans</t>
  </si>
  <si>
    <t>لاصق قوام عادي</t>
  </si>
  <si>
    <t>Paste Qwam</t>
  </si>
  <si>
    <t>لاصق فاينل 20كيلو</t>
  </si>
  <si>
    <t>Paste Vinyl 20K hammer fast</t>
  </si>
  <si>
    <t>صبغ جوتن رصاصي برايمر</t>
  </si>
  <si>
    <t>Pilot Jotun Paint Primer Gray 5L</t>
  </si>
  <si>
    <t>عازل اسطح فلنكوت</t>
  </si>
  <si>
    <t>Prakcoat 15Lt</t>
  </si>
  <si>
    <t xml:space="preserve">صبغ ازرق دهني دوفا 2.5لتر </t>
  </si>
  <si>
    <t xml:space="preserve">Primer Blue Paint dufa 2.5L </t>
  </si>
  <si>
    <t>صبغ همبل احمر A12.5Lt+B4</t>
  </si>
  <si>
    <t>Red Paint Hemple 18L A12.5Lt+B4</t>
  </si>
  <si>
    <t>صبغ بخاخ احمر</t>
  </si>
  <si>
    <t>RED Spray Paint</t>
  </si>
  <si>
    <t>ورق صقل 120P</t>
  </si>
  <si>
    <t>Sand Paper 120P</t>
  </si>
  <si>
    <t>ورق صقل 60  10منر</t>
  </si>
  <si>
    <t>Sand Paper 60 10mt</t>
  </si>
  <si>
    <t>ورق صقل  AA2020</t>
  </si>
  <si>
    <t>Sand Paper AA2020</t>
  </si>
  <si>
    <t>ورق صقل AA60</t>
  </si>
  <si>
    <t>Sand Paper AA60</t>
  </si>
  <si>
    <t>سيكا انتيسول 1000كيلو</t>
  </si>
  <si>
    <t>Sika Antisol 1000k WB-IQ</t>
  </si>
  <si>
    <t>سيكا انتيسول 200كيلو</t>
  </si>
  <si>
    <t>Sika Antisol 200k WB-IQ</t>
  </si>
  <si>
    <t>سيكا انتيسول 20كيلو</t>
  </si>
  <si>
    <t>Sika Antisol 20k WB-IQ</t>
  </si>
  <si>
    <t>صوصج سيكا فلكس رصاصي</t>
  </si>
  <si>
    <t>Sika Flex Hyperseal Gray  600ml</t>
  </si>
  <si>
    <t>صوصج سيكا فلكس ابيض</t>
  </si>
  <si>
    <t>Sika Flex Hyperseal White  600ml</t>
  </si>
  <si>
    <t>سيكا فلور  161 A18.96K+B5.04</t>
  </si>
  <si>
    <t xml:space="preserve">Sika Floor 161 A18.96K+B5.04 </t>
  </si>
  <si>
    <t>264 A18.96K+B5.04 سيكا فلور</t>
  </si>
  <si>
    <t xml:space="preserve">Sika Floor 264 A18.96K+B5.04 </t>
  </si>
  <si>
    <t>سيكا فلور  400N لاستيك</t>
  </si>
  <si>
    <t>Sika Floor 400N 18K lastic</t>
  </si>
  <si>
    <t>سيكا فلور   PS A4k+B2k</t>
  </si>
  <si>
    <t>Sika Floor PS A4k+B2k</t>
  </si>
  <si>
    <t>سيكا كارد pw رصاصي</t>
  </si>
  <si>
    <t>Sika Gard PW Gray BH A+B 14k</t>
  </si>
  <si>
    <t>سيكا كروت 212 25كيلو</t>
  </si>
  <si>
    <t>Sika Grout 212 IQ 25k</t>
  </si>
  <si>
    <t>سيكا كروت 214 25كيلو</t>
  </si>
  <si>
    <t>Sika Grout 214 IQ 25k</t>
  </si>
  <si>
    <t>سيكا لاستيك 1keu. 20k</t>
  </si>
  <si>
    <t>Sika Latex 1keu  20k</t>
  </si>
  <si>
    <t>سيكا لاستيك 560  20 كيلو</t>
  </si>
  <si>
    <t>Sika Latex 560 20k</t>
  </si>
  <si>
    <t>سيكا لاستيك IQ20k</t>
  </si>
  <si>
    <t>Sika Latex IQ20k</t>
  </si>
  <si>
    <t>سيكا مونوتوب 620  25كيلو</t>
  </si>
  <si>
    <t>Sika Monotop 620 25kg</t>
  </si>
  <si>
    <t>سيكا</t>
  </si>
  <si>
    <t>Sika Polysulphidee PG 4L A+B TM</t>
  </si>
  <si>
    <t>سيكا برايمر 3n 250ml</t>
  </si>
  <si>
    <t>Sika Primer 3N 250ml</t>
  </si>
  <si>
    <t>سيكا برايمر  PU 1LT</t>
  </si>
  <si>
    <t>Sika Primer PU 1LT</t>
  </si>
  <si>
    <t xml:space="preserve">سيكا فيسكو  180 GS 1000Lt </t>
  </si>
  <si>
    <t xml:space="preserve">Sika Visco Crete-180 GS 1000Lt </t>
  </si>
  <si>
    <t>سيكا فيسكو 209 1000k</t>
  </si>
  <si>
    <t xml:space="preserve">Sika Visco Crete-209 1000k </t>
  </si>
  <si>
    <t xml:space="preserve">سيكا فيسكو -209 20k </t>
  </si>
  <si>
    <t xml:space="preserve">Sika Visco Crete-209 20k </t>
  </si>
  <si>
    <t xml:space="preserve">سليكون هيلتي </t>
  </si>
  <si>
    <t>Silicon Hilti FS-One Max</t>
  </si>
  <si>
    <t>سليكون وورث</t>
  </si>
  <si>
    <t>Silicon Wurth  300ml</t>
  </si>
  <si>
    <t>صبغ دهني سلفر 2.5كيلو</t>
  </si>
  <si>
    <t>Silver paint dewilux</t>
  </si>
  <si>
    <t>صبغ بخاخ سلفر</t>
  </si>
  <si>
    <t>Silver Spray Paint Polinais</t>
  </si>
  <si>
    <t xml:space="preserve">دهن خاص للتخفيف </t>
  </si>
  <si>
    <t>Special Oil For Dilution Kubilay 12Lt</t>
  </si>
  <si>
    <t>ورق صقل اسفنجي</t>
  </si>
  <si>
    <t>Sponge Sand paper P120</t>
  </si>
  <si>
    <t>لاصق بخاخ 3M</t>
  </si>
  <si>
    <t>Spray Adhesive 3M Super 77</t>
  </si>
  <si>
    <t xml:space="preserve">صبغ بخاخ اسود 325 غرام </t>
  </si>
  <si>
    <t>Spray Black 325g Rust Stop ACE</t>
  </si>
  <si>
    <t xml:space="preserve">صبغ بخاخ اسود 340غرام </t>
  </si>
  <si>
    <t>Spray Black 340g High Heat Ultr</t>
  </si>
  <si>
    <t>فوم بخاخ</t>
  </si>
  <si>
    <t>Spray Foam</t>
  </si>
  <si>
    <t>صبغ بخاخ شمباني</t>
  </si>
  <si>
    <t>Spray Paint 7140</t>
  </si>
  <si>
    <t>صبغ بخاخ جينك 400ملم</t>
  </si>
  <si>
    <t>Spray Paint Genc 400ml</t>
  </si>
  <si>
    <t>صبغ بخاخ كلفنايز وورث</t>
  </si>
  <si>
    <t>Spray Paint Glavanis Wurth 400ml</t>
  </si>
  <si>
    <t>صبغ بخاخ رصاصي</t>
  </si>
  <si>
    <t>Spray Paint Gray GENE</t>
  </si>
  <si>
    <t xml:space="preserve">صبغ بخاخ اخضر </t>
  </si>
  <si>
    <t>Spray Paint Green 400ml</t>
  </si>
  <si>
    <t>صباغ بخاخ ستيل دوفا 520</t>
  </si>
  <si>
    <t>Spray Paint Steel Dufa 520G</t>
  </si>
  <si>
    <t>شاش مفاصل جبسم بورد</t>
  </si>
  <si>
    <t>Tape Gypsum Board 5cm 90m knauf</t>
  </si>
  <si>
    <t>تيب صبغ 1.23سم</t>
  </si>
  <si>
    <t>Tape Paint 1/2" Emars 1.23cm</t>
  </si>
  <si>
    <t>ثنر 1لتر</t>
  </si>
  <si>
    <t xml:space="preserve">Thinner 1L </t>
  </si>
  <si>
    <t>ثنر همبل 5لتر</t>
  </si>
  <si>
    <t xml:space="preserve">Thinner 5Lt Humple </t>
  </si>
  <si>
    <t>ثنر جوتن 5 لتر</t>
  </si>
  <si>
    <t>Thinner Jotun 5L</t>
  </si>
  <si>
    <t>غراء خشب</t>
  </si>
  <si>
    <t>Titebond Original wood glue</t>
  </si>
  <si>
    <t>شربت جوين سيراميك</t>
  </si>
  <si>
    <t>Ultracolor Plus  5kg</t>
  </si>
  <si>
    <t>Ultracolor Plus 131 5kg</t>
  </si>
  <si>
    <t>وارنيش 2.5لتر</t>
  </si>
  <si>
    <t>Varnish 2.5Lt</t>
  </si>
  <si>
    <t>وارنيش 947 ملم</t>
  </si>
  <si>
    <t>Varnish 947ml MINWAX</t>
  </si>
  <si>
    <t>لولاق لاصق جدران</t>
  </si>
  <si>
    <t>Wallpaper Adhesive Aciselsan 25</t>
  </si>
  <si>
    <t>صوصج ابيض</t>
  </si>
  <si>
    <t xml:space="preserve">White Hyperseal </t>
  </si>
  <si>
    <t>صوصج ابيض وورث</t>
  </si>
  <si>
    <t>White Hyperseal Wurth  300ml</t>
  </si>
  <si>
    <t>صبغ جوتن مات 18 لتر</t>
  </si>
  <si>
    <t>White JOTUN Matt Paint 18L  723</t>
  </si>
  <si>
    <t>صبغ جوتن ابيض برايمر 18لتر</t>
  </si>
  <si>
    <t>White Jotun Primer Paint  18L</t>
  </si>
  <si>
    <t>صبغ ابيض بيتك</t>
  </si>
  <si>
    <t>White Paint 15L BETEK</t>
  </si>
  <si>
    <t>صبغ لون ابيض ديو 2.5لتر</t>
  </si>
  <si>
    <t>White Paint DYO 2.5lt</t>
  </si>
  <si>
    <t>صبغ ابيض همبل</t>
  </si>
  <si>
    <t>White Paint Hemple 14.5L A+4.5B 1045880</t>
  </si>
  <si>
    <t>سليكون ابيض</t>
  </si>
  <si>
    <t xml:space="preserve">White Silicon </t>
  </si>
  <si>
    <t>صبغ بخاخ ابيض</t>
  </si>
  <si>
    <t xml:space="preserve">White Spray Paint </t>
  </si>
  <si>
    <t>صبغ جوتن خشب</t>
  </si>
  <si>
    <t>Wood Jotun Paint Stain EXT GL Yellow Base 9091</t>
  </si>
  <si>
    <t>صبغ  خشب</t>
  </si>
  <si>
    <t>Wood Paint Sanding Sealer 3.6lt</t>
  </si>
  <si>
    <t>صبغ جوتن وودشيلد 1لتر</t>
  </si>
  <si>
    <t xml:space="preserve">Woodshild Varnish MTT 1L Jotun </t>
  </si>
  <si>
    <t>صبغ اصفر همبل برايمر</t>
  </si>
  <si>
    <t>Yellow Jotun Primer Paint  5L 1003</t>
  </si>
  <si>
    <t>صبغ اصفر همبل</t>
  </si>
  <si>
    <t>Yellow Paint Hempel 6880 20L</t>
  </si>
  <si>
    <t>صبغ اصفر 3.6لتر</t>
  </si>
  <si>
    <t>Yellow Panit 3.6lt</t>
  </si>
  <si>
    <t>سبرينك تعويج بوري (1/2, 3/4 , 5/8) خارجي</t>
  </si>
  <si>
    <t>Conduit Spring AC (1/2, 3/4 , 5/8) External</t>
  </si>
  <si>
    <t>pack.</t>
  </si>
  <si>
    <t>نت  3/8,1/2,1/4, 3/4,5/8</t>
  </si>
  <si>
    <t>Nut 3/8,1/2,1/4, 3/4,5/8 Split</t>
  </si>
  <si>
    <t xml:space="preserve">تيب اسود  فوق باندج </t>
  </si>
  <si>
    <t xml:space="preserve">Tape (Black) for AC &amp; ppr pipe </t>
  </si>
  <si>
    <t>Pipe Roll 1.5t AC 5mt</t>
  </si>
  <si>
    <t>سبلت سونك 1 طن</t>
  </si>
  <si>
    <t>Split Unit AC  Sonic 1 Ton</t>
  </si>
  <si>
    <t>سبلت سونك 1.5طن</t>
  </si>
  <si>
    <t>Split Unit AC  Sonic 1.5 Ton</t>
  </si>
  <si>
    <t>سبلت جنيرال كولد 1طن</t>
  </si>
  <si>
    <t xml:space="preserve">Split Unit AC GENERAL GOLD  1Ton </t>
  </si>
  <si>
    <t xml:space="preserve">سبلت كارير  2طن </t>
  </si>
  <si>
    <t>Split Unit AC Carrier 2Ton QHG024H</t>
  </si>
  <si>
    <t xml:space="preserve">سبلت كارير  1.5طن </t>
  </si>
  <si>
    <t xml:space="preserve">Split Unit AC Carrier 1.5Ton </t>
  </si>
  <si>
    <t xml:space="preserve">سبلت كارير  1طن </t>
  </si>
  <si>
    <t xml:space="preserve">Split Unit AC Carrier 1Ton QHG012H </t>
  </si>
  <si>
    <t xml:space="preserve">سبلت كارير  2.5طن </t>
  </si>
  <si>
    <t>Split Unit AC Carrier 2.5Ton QCF030733G</t>
  </si>
  <si>
    <t>ربل سبالت دائري</t>
  </si>
  <si>
    <t xml:space="preserve">Circular Rubber Split Unit AC </t>
  </si>
  <si>
    <t xml:space="preserve">صوندة سبلت شفاف 5متر </t>
  </si>
  <si>
    <t>Hose Plastic Drain AC 5m</t>
  </si>
  <si>
    <t>سرير طابق واحد</t>
  </si>
  <si>
    <t>Iron Bed 1 2m</t>
  </si>
  <si>
    <t>سرير طابقين</t>
  </si>
  <si>
    <t>Iron Double Bed 1 2m</t>
  </si>
  <si>
    <t xml:space="preserve">باب حديد دبل </t>
  </si>
  <si>
    <t>Multi High Series Steel Door Do</t>
  </si>
  <si>
    <t>باب حديد سنكل</t>
  </si>
  <si>
    <t xml:space="preserve">Multi High Series Steel Door L Single Outer 1000*2050mm </t>
  </si>
  <si>
    <t>جرجف عادي</t>
  </si>
  <si>
    <t>Normal Bedding Sheets</t>
  </si>
  <si>
    <t>مخدة 700 غرام</t>
  </si>
  <si>
    <t>Pillow 700g</t>
  </si>
  <si>
    <t>باب خشب سنكل 90*203</t>
  </si>
  <si>
    <t>Single Door Wood 90*203cm</t>
  </si>
  <si>
    <t>قاعدة تلفزيون جداري</t>
  </si>
  <si>
    <t xml:space="preserve">TV Wall Mounts Sonic  </t>
  </si>
  <si>
    <t xml:space="preserve"> بليت فريم 1ملم عرض 18.2سم</t>
  </si>
  <si>
    <t>Plate Frame 1mm  18.2cm</t>
  </si>
  <si>
    <t>Ton</t>
  </si>
  <si>
    <t>اليكوبوند ابيض 320*125سم 3م</t>
  </si>
  <si>
    <t>Alucobond White 3mm 125 320cm</t>
  </si>
  <si>
    <t>سقف ثانوي المنيوم 60*60 ابيض</t>
  </si>
  <si>
    <t>Aluminum Ceiligs 60*60 white</t>
  </si>
  <si>
    <t>زاوية سيراميك 270سم ستيل</t>
  </si>
  <si>
    <t>Angle Ceramic 270cm Steel</t>
  </si>
  <si>
    <t>زاوية جبسم بورد 3م</t>
  </si>
  <si>
    <t>Angle Gypsum Board  3m</t>
  </si>
  <si>
    <t xml:space="preserve">زاوية جبسم بورد مخرمة 270سم </t>
  </si>
  <si>
    <t>Angle Gypsum Board With Hole</t>
  </si>
  <si>
    <t>زاوية  لازارة بلاستيك</t>
  </si>
  <si>
    <t xml:space="preserve">Angle Internal Plastic </t>
  </si>
  <si>
    <t>زاوية باركيه</t>
  </si>
  <si>
    <t>Angle Parket plastic floor 280Cm</t>
  </si>
  <si>
    <t>ازارة بلاستيك  عرض9سم طول 280سم</t>
  </si>
  <si>
    <t>Angle Plastic 9cm 280cm</t>
  </si>
  <si>
    <t>ازارة بلاستيك اوف وايت عرض 10سم طول 280سم</t>
  </si>
  <si>
    <t>Angle Plastic Off white 10cm 280cm</t>
  </si>
  <si>
    <t>سكة سقف ثانوي ابيض 3.6م</t>
  </si>
  <si>
    <t>Angle Secondary Ceilings 3.6m</t>
  </si>
  <si>
    <t>زاوية سقف ثانوي ابيض 3م</t>
  </si>
  <si>
    <t>Angle Secondary Ceilings 3m</t>
  </si>
  <si>
    <t>جوين T باركيه المنيوم 3م</t>
  </si>
  <si>
    <t xml:space="preserve">Angle T Aluminium 3cm 3m Parket Silver </t>
  </si>
  <si>
    <t xml:space="preserve">زاوية فاينل اسود </t>
  </si>
  <si>
    <t>Angle vinyl Black</t>
  </si>
  <si>
    <t>mt</t>
  </si>
  <si>
    <t xml:space="preserve">زاوية فاينل ابيض </t>
  </si>
  <si>
    <t>Angle vinyl White</t>
  </si>
  <si>
    <t>صوف زجاج كبير 5cm سمك</t>
  </si>
  <si>
    <t>Big Glass Insulator 5cm</t>
  </si>
  <si>
    <t xml:space="preserve">عازل اسود يوضع فوق الخشب </t>
  </si>
  <si>
    <t>BLack Wood Insulator</t>
  </si>
  <si>
    <t>لاينر اسود يوضع تحت المولدات 5.5*10متر</t>
  </si>
  <si>
    <t xml:space="preserve">Black Liner 5.5*10mt </t>
  </si>
  <si>
    <t>ربل اسود عرض 7.5سم طول 6م</t>
  </si>
  <si>
    <t>Black Rubber 7.5cm 3m</t>
  </si>
  <si>
    <t>ربل سمك 2.5سم 1*1متر</t>
  </si>
  <si>
    <t>Black Rubber Floor 1*1m</t>
  </si>
  <si>
    <t>عازل صوت اسفنج اسود  3سم 1*2م</t>
  </si>
  <si>
    <t>Black Sponge Isolated 3cm 1*2mt</t>
  </si>
  <si>
    <t>Blue cork Parket 125*78cm</t>
  </si>
  <si>
    <t xml:space="preserve">جوين فاينل ازرق </t>
  </si>
  <si>
    <t xml:space="preserve">Blue Joint Vinyl </t>
  </si>
  <si>
    <t xml:space="preserve">فاينل ازرق  </t>
  </si>
  <si>
    <t>Blue Vinyl</t>
  </si>
  <si>
    <t>رف خشب ام دي اف 122*244سم</t>
  </si>
  <si>
    <t>Brown Wood MDF 12mm 244*122cm</t>
  </si>
  <si>
    <t>سي جنل جبسم بورد 3متر 4*1سم</t>
  </si>
  <si>
    <t>C Channel Gypsum Board 3mt 4*1cm</t>
  </si>
  <si>
    <t>كرفان جاهز من تركيا</t>
  </si>
  <si>
    <t>Caravan 3*10mt</t>
  </si>
  <si>
    <t>شيش سقف ثانوي 1م</t>
  </si>
  <si>
    <t>ceiling hanger wire 1m</t>
  </si>
  <si>
    <t>شيش سقف ثانوي60 سم</t>
  </si>
  <si>
    <t>ceiling hanger wire 60cm</t>
  </si>
  <si>
    <t>Bundle</t>
  </si>
  <si>
    <t>سكة سقف ثانوي 320سم اسود</t>
  </si>
  <si>
    <t>ceilings main beam320cm a  black line</t>
  </si>
  <si>
    <t>سكة سقف ثانوي 120سم ابيض</t>
  </si>
  <si>
    <t>ceilings main beam 120cm White</t>
  </si>
  <si>
    <t>سكة سقف ثانوي 360سم ابيض</t>
  </si>
  <si>
    <t>ceilings main beam 360cm White</t>
  </si>
  <si>
    <t>سكة سقف ثانوي 60سم يحتوي على خط اسود</t>
  </si>
  <si>
    <t>ceilings main beam 60cm a  black line</t>
  </si>
  <si>
    <t>سكة سقف ثانوي 60سم ابيض</t>
  </si>
  <si>
    <t>ceilings main beam 60cm White</t>
  </si>
  <si>
    <t>سكة سقف ثانوي120سم يحتوي على خط اسود</t>
  </si>
  <si>
    <t>ceilings main beam120cm a  black line</t>
  </si>
  <si>
    <t xml:space="preserve">سمنت بورد 12ملم </t>
  </si>
  <si>
    <t>cement board 12mm</t>
  </si>
  <si>
    <t xml:space="preserve">سمنت بورد 18ملم </t>
  </si>
  <si>
    <t>cement board 18mm</t>
  </si>
  <si>
    <t xml:space="preserve">سمنت بورد 6ملم </t>
  </si>
  <si>
    <t>cement board 6mm</t>
  </si>
  <si>
    <t xml:space="preserve">سمنت بورد 9ملم </t>
  </si>
  <si>
    <t>cement board 9mm</t>
  </si>
  <si>
    <t>لباد بارد 10 متر</t>
  </si>
  <si>
    <t xml:space="preserve">Cold felt 10m </t>
  </si>
  <si>
    <t>لباد بارد 10 متر 15 سم</t>
  </si>
  <si>
    <t>Cold felt 10m *15cm  Flash Band</t>
  </si>
  <si>
    <t>لباد بارد 15 متر 10 سم سيكا</t>
  </si>
  <si>
    <t>Cold felt 15m*10cm Sika Multiseal BT</t>
  </si>
  <si>
    <t>سيراميك 30*30سم</t>
  </si>
  <si>
    <t>Ceramic 30*30cm</t>
  </si>
  <si>
    <t>Carton</t>
  </si>
  <si>
    <t>سيراميك 33*33سم</t>
  </si>
  <si>
    <t>Ceramic 33*33cm</t>
  </si>
  <si>
    <t>سيراميك 45*45سم</t>
  </si>
  <si>
    <t>Ceramic 45*45cm</t>
  </si>
  <si>
    <t xml:space="preserve">فلين اصلي ضغط عالي 1*2متر 10سم </t>
  </si>
  <si>
    <t>Cork ( high pressure ) 1*2mt  10cm</t>
  </si>
  <si>
    <t xml:space="preserve">فلين 1*2متر 10سم </t>
  </si>
  <si>
    <t>Cork 1*2mt  10cm</t>
  </si>
  <si>
    <t>فلين 1*2متر 18ملم</t>
  </si>
  <si>
    <t>Cork 1*2mt  18mm</t>
  </si>
  <si>
    <t xml:space="preserve">فلين 1*2متر 2.5سم </t>
  </si>
  <si>
    <t>Cork 1*2mt  2.5cm</t>
  </si>
  <si>
    <t xml:space="preserve">فلين (1*2م) 5سم </t>
  </si>
  <si>
    <t>Cork(1*2m) 5cm</t>
  </si>
  <si>
    <t>توصالة ازارة داخلية بلاستيك</t>
  </si>
  <si>
    <t xml:space="preserve">Coupling Angle Internal Plastic </t>
  </si>
  <si>
    <t>طربوش اندوفيلا</t>
  </si>
  <si>
    <t>Cowl Onduvilla</t>
  </si>
  <si>
    <t>فاينل بيجي (كريمي)</t>
  </si>
  <si>
    <t>Cream Vinyl</t>
  </si>
  <si>
    <t>Dark Brown MDF 18mm 244*122cm</t>
  </si>
  <si>
    <t xml:space="preserve">باب براد </t>
  </si>
  <si>
    <t>Door  Freezer</t>
  </si>
  <si>
    <t>حافات اندوفيلا 100*30سم</t>
  </si>
  <si>
    <t>Edge Onduvilla 100*30cm</t>
  </si>
  <si>
    <t>عكس للازارة</t>
  </si>
  <si>
    <t xml:space="preserve">Elbow angle Plastic </t>
  </si>
  <si>
    <t xml:space="preserve">حديد قاعدة ابو برغي (ستاند) </t>
  </si>
  <si>
    <t>FFH 15cm Pedestals And Gaskets</t>
  </si>
  <si>
    <t xml:space="preserve">كاربت ارضي 50*50سم رصاصي مقلم اسود  </t>
  </si>
  <si>
    <t>Floor Carpet 50*50cm L.C.T</t>
  </si>
  <si>
    <t xml:space="preserve">ايطار باب خشب </t>
  </si>
  <si>
    <t>Frame Wood Door</t>
  </si>
  <si>
    <t>Glass Wool Insulator aluminum 10cm 5*1.5m 2.88m²</t>
  </si>
  <si>
    <t>Glass wool small roller</t>
  </si>
  <si>
    <t xml:space="preserve">عازل صوتي اسفنجي اسود سمك 3سم 1*2مترلاصق  </t>
  </si>
  <si>
    <t xml:space="preserve">Glue Black Sponge Isolated Sound 1*2m </t>
  </si>
  <si>
    <t>سيراميك رصاصي 60*60سم</t>
  </si>
  <si>
    <t>Gray Ceramic 40*60cm</t>
  </si>
  <si>
    <t>فاينل رصاصي</t>
  </si>
  <si>
    <t>Gray Joint vinyl</t>
  </si>
  <si>
    <t>عازل صب رصاصي جوينات سمك 30ملم مدور اسفنج</t>
  </si>
  <si>
    <t>Gray Sponge Insulator Joint 30mm</t>
  </si>
  <si>
    <t xml:space="preserve">عازل صب رصاصي جوينات سمك 40+50ملم مدور اسفنج </t>
  </si>
  <si>
    <t>Gray Sponge Insulator Joint 40+50mm</t>
  </si>
  <si>
    <t>Gray Vinyl</t>
  </si>
  <si>
    <t>فاينل رصاصي برادات</t>
  </si>
  <si>
    <t>Grey Vinyl freezers</t>
  </si>
  <si>
    <t>قاينل رصاصي نوعية جديدة</t>
  </si>
  <si>
    <t>Grey Vinyl new</t>
  </si>
  <si>
    <t>جبسم بورد 12ملم</t>
  </si>
  <si>
    <t xml:space="preserve">Gypsum Board 12mm 120*240cm </t>
  </si>
  <si>
    <t>جبسم بورد مطري (بورديكس)</t>
  </si>
  <si>
    <t>Gypsum Board Waterproof 12.5 mm 120*240Cm</t>
  </si>
  <si>
    <t>باردولين حديد 135*42سم</t>
  </si>
  <si>
    <t>Iron Bardolin135*42cm</t>
  </si>
  <si>
    <t>جوين ازارة جوزي بلاستيك</t>
  </si>
  <si>
    <t xml:space="preserve">Joint Angle Plastic </t>
  </si>
  <si>
    <t xml:space="preserve">جوين فاينل كريمي (حليبي) </t>
  </si>
  <si>
    <t>Joint Cream Vinyl</t>
  </si>
  <si>
    <t>جوين هاش ستيل   3متر</t>
  </si>
  <si>
    <t>Joint Hash Steel 3mt</t>
  </si>
  <si>
    <t xml:space="preserve"> رف خشب ام دي اف 122*244سم</t>
  </si>
  <si>
    <t>Light Brown MDF 18mm 244*122cm</t>
  </si>
  <si>
    <t>لوفر باب المنيوم 100*160 سم</t>
  </si>
  <si>
    <t xml:space="preserve">Louvers  Aluminum100*160cm Window </t>
  </si>
  <si>
    <t>لوفر باب المنيوم 20*15 سم</t>
  </si>
  <si>
    <t>Louvers Aluminum 20*15cm</t>
  </si>
  <si>
    <t>لوفر باب المنيوم 30*60 سم</t>
  </si>
  <si>
    <t xml:space="preserve">Louvers Aluminum 30*60cm </t>
  </si>
  <si>
    <t>لوفر باب المنيوم 35*25 سم</t>
  </si>
  <si>
    <t>Louvers Aluminum 35*25cm</t>
  </si>
  <si>
    <t>لوفر باب المنيوم  45*85 سم</t>
  </si>
  <si>
    <t>Louvers Aluminum 45*85cm</t>
  </si>
  <si>
    <t>لوفر باب المنيوم 50*50 سم</t>
  </si>
  <si>
    <t xml:space="preserve">Louvers Aluminum 50*50cm Window </t>
  </si>
  <si>
    <t>لوفر باب المنيوم 50*60 سم</t>
  </si>
  <si>
    <t xml:space="preserve">Louvers Aluminum 50*60cm Window </t>
  </si>
  <si>
    <t>لوفر باب المنيوم 55*25 سم</t>
  </si>
  <si>
    <t>Louvers Aluminum 55*25cm</t>
  </si>
  <si>
    <t xml:space="preserve">فتحة صيانة لسقف جبسم بورد  مع ايطار المنيوم ابيض </t>
  </si>
  <si>
    <t>Maintenance Hatch Gypsum Board</t>
  </si>
  <si>
    <t>زاوية داخلية لازارة اوف وايت بلاستيك</t>
  </si>
  <si>
    <t xml:space="preserve">Off White Angle Internal Plastic </t>
  </si>
  <si>
    <t>جوين ازارة اوف وايت بلاستيك</t>
  </si>
  <si>
    <t xml:space="preserve">Off White Joint Angle Plastic </t>
  </si>
  <si>
    <t xml:space="preserve">اوميكا جبسم بورد </t>
  </si>
  <si>
    <t xml:space="preserve">Omiga Gypsum Board </t>
  </si>
  <si>
    <t>اندوفيلا ازرق 110*40سم</t>
  </si>
  <si>
    <t>Onduvilla Blue 110*40cm</t>
  </si>
  <si>
    <t>اندوفيلا اخضر 110*40سم</t>
  </si>
  <si>
    <t>Onduvilla Green 110*40cm</t>
  </si>
  <si>
    <t>اندوفيلا عسكري 1*2م</t>
  </si>
  <si>
    <t>Onduvilla military 1*2m</t>
  </si>
  <si>
    <t xml:space="preserve">اندوفيلا احمر 110*40سم </t>
  </si>
  <si>
    <t>Onduvilla Red 110*40cm</t>
  </si>
  <si>
    <t>بنل جبسم بورد سقف ثانوي 1.5متر</t>
  </si>
  <si>
    <t>Panel Gypsum Board Secondary Ceilings 1.5m</t>
  </si>
  <si>
    <t>باركيه ارضية</t>
  </si>
  <si>
    <t>Parket Plastic Floor 1.85m²</t>
  </si>
  <si>
    <t>قطعة بلاستيك للحديد قاعدة (ستاند)</t>
  </si>
  <si>
    <t>Pedestals Gaskets</t>
  </si>
  <si>
    <t>عازل صوف بواري سلفون "1 1.2متر</t>
  </si>
  <si>
    <t>Pipe Wool Insulator Aluminium 1"</t>
  </si>
  <si>
    <t>عازل صوف بواري سلفون "2 1.2متر</t>
  </si>
  <si>
    <t>Pipe Wool Insulator Aluminium 2"</t>
  </si>
  <si>
    <t>عازل صوف بواري سلفون "4 1.2متر</t>
  </si>
  <si>
    <t>Pipe Wool Insulator Aluminium 4"</t>
  </si>
  <si>
    <t>عازل صوف بواري سلفون "1.5 1.2متر</t>
  </si>
  <si>
    <t>Pipe Wool Insulator Aluminium 1.5"</t>
  </si>
  <si>
    <t>عازل صوف بواري سلفون "2.5 1.2متر</t>
  </si>
  <si>
    <t>Pipe Wool Insulator Aluminium 2.5"</t>
  </si>
  <si>
    <t xml:space="preserve">لاستك وترستوب 25متر 20سم </t>
  </si>
  <si>
    <t>Plastic Water Stop 25mt 20cm</t>
  </si>
  <si>
    <t xml:space="preserve">بليوود 10.5سم </t>
  </si>
  <si>
    <t>Plywood 10.5mm</t>
  </si>
  <si>
    <t>بلي وود 14.5ملم</t>
  </si>
  <si>
    <t>Plywood 14.5mm 244*122cm</t>
  </si>
  <si>
    <t>بلي وود 18ملم</t>
  </si>
  <si>
    <t>Plywood 18mm 244*122cm</t>
  </si>
  <si>
    <t xml:space="preserve">كاشي ربل 60*60سم </t>
  </si>
  <si>
    <t xml:space="preserve">Raised Floor Panels 60*60cm 3mm </t>
  </si>
  <si>
    <t xml:space="preserve">عازل سليفون فقاعات 2*6.3متر </t>
  </si>
  <si>
    <t>R Foil Insulatoin Aluminium Bubble 6.3*2mt</t>
  </si>
  <si>
    <t>عازل صوف صخري 10سم   120*60سم 2.88m²</t>
  </si>
  <si>
    <t>Rock Wool Insulator 10cm 120*60cm 2.88m²</t>
  </si>
  <si>
    <t xml:space="preserve">ساندويج بنل سقفي 5سم 4.5م </t>
  </si>
  <si>
    <t>Roof  Sandwich Panel 5cm 4.5m</t>
  </si>
  <si>
    <t xml:space="preserve">ساندويج بنل سقفي 5سم 8م </t>
  </si>
  <si>
    <t>Roof  sandwich panel Melano 5cm 8m</t>
  </si>
  <si>
    <t xml:space="preserve">ساندويج بنل سقفي 5سم 12م </t>
  </si>
  <si>
    <t>Roof sandwich panel  5cm 12m</t>
  </si>
  <si>
    <t xml:space="preserve">ساندويج بنل سقفي 5سم 3.75م </t>
  </si>
  <si>
    <t>Roof Sandwich Panel  5cm 3.75mt</t>
  </si>
  <si>
    <t xml:space="preserve">ساندويج بنل سقفي 10سم 240 </t>
  </si>
  <si>
    <t>Roof Sandwich Panel 10cm 240cm</t>
  </si>
  <si>
    <t xml:space="preserve">ساندويج بنل سقفي 10سم 3.53م صوف صخري </t>
  </si>
  <si>
    <t>Roof Sandwich Panel 10cm 3.53mt With Insulator</t>
  </si>
  <si>
    <t xml:space="preserve">ساندويج بنل سقفي 10سم 4م صوف صخري </t>
  </si>
  <si>
    <t>Roof Sandwich Panel 10cm 4mt With Insulator</t>
  </si>
  <si>
    <t xml:space="preserve">ساندويج بنل سقفي 5سم 3م </t>
  </si>
  <si>
    <t>Roof Sandwich Panel 5cm 3m</t>
  </si>
  <si>
    <t xml:space="preserve">ساندويج بنل سقفي 5سم 4م </t>
  </si>
  <si>
    <t>Roof Sandwich Panel 5cm 4m</t>
  </si>
  <si>
    <t xml:space="preserve">ساندويج بنل سقفي 6سم 2.56سم </t>
  </si>
  <si>
    <t>Roof sandwich panel 6cm 256cm</t>
  </si>
  <si>
    <t xml:space="preserve">سنايبرسكرين  جادر اخضر مشبك نايلون </t>
  </si>
  <si>
    <t>Sniper Screen  3m*100m</t>
  </si>
  <si>
    <t>تريشة سي جنل كلفنايز وربل للتريشة</t>
  </si>
  <si>
    <t>Stringer And Gaskets</t>
  </si>
  <si>
    <t>شيش سقف ثانوي مع فراشة 80سم</t>
  </si>
  <si>
    <t>Suspension Hanger Wire For Ceiling 80cm With Camp</t>
  </si>
  <si>
    <t>مسطرة جبسم بورد سقف ثانوي 1.5متر</t>
  </si>
  <si>
    <t>Trapped Gypsum Board Secondary Ceilings  1.5m</t>
  </si>
  <si>
    <t>ارضية بلاستيك 49*69</t>
  </si>
  <si>
    <t>Vipsan Classic 69*49cm</t>
  </si>
  <si>
    <t xml:space="preserve">ساندويج بنل سقفي 5سم 10م </t>
  </si>
  <si>
    <t>Wall  sandwich panel  5cm 10m</t>
  </si>
  <si>
    <t xml:space="preserve">ساندويج بنل سقفي 5سم 5.7م </t>
  </si>
  <si>
    <t>Wall sandwich Milano panel 5cm 570cm</t>
  </si>
  <si>
    <t xml:space="preserve">ساندويج بنل جداري 10سم 2.4م صوف صخري </t>
  </si>
  <si>
    <t>Wall Sandwich Panel 10cm 2.40mt With Insulator</t>
  </si>
  <si>
    <t xml:space="preserve">ساندويج بنل جداري 10سم 2.6م صوف صخري </t>
  </si>
  <si>
    <t>Wall Sandwich Panel 10cm 2.60mt With Insulator</t>
  </si>
  <si>
    <t xml:space="preserve">ساندويج بنل جداري 10سم 2.6م  </t>
  </si>
  <si>
    <t>Wall Sandwich Panel 10cm 260cm</t>
  </si>
  <si>
    <t xml:space="preserve">ساندويج بنل جداري 10سم 3م  </t>
  </si>
  <si>
    <t>Wall Sandwich Panel 10cm 3mt</t>
  </si>
  <si>
    <t xml:space="preserve">ساندويج بنل جداري 10سم 4م  </t>
  </si>
  <si>
    <t>Wall Sandwich Panel 10cm 4mt</t>
  </si>
  <si>
    <t>Wall Sandwich Panel 5cm 2.60mt With Insulator</t>
  </si>
  <si>
    <t xml:space="preserve">ساندويج بنل جداري 5 سم 2.4م </t>
  </si>
  <si>
    <t>Wall sandwich panel 5cm 240cm</t>
  </si>
  <si>
    <t>Wall Sandwich Panel 5cm 260cm</t>
  </si>
  <si>
    <t xml:space="preserve">ساندويج بنل جداري 5 سم 2م </t>
  </si>
  <si>
    <t>Wall sandwich panel 5cm 2m</t>
  </si>
  <si>
    <t xml:space="preserve">ساندويج بنل جداري 5 سم 3.2م </t>
  </si>
  <si>
    <t>Wall Sandwich Panel 5cm 3.2m</t>
  </si>
  <si>
    <t xml:space="preserve">ساندويج بنل جداري 5 سم 3.5م </t>
  </si>
  <si>
    <t>Wall Sandwich Panel 5cm 3.5m</t>
  </si>
  <si>
    <t xml:space="preserve">ساندويج بنل جداري 5 سم 3.78م </t>
  </si>
  <si>
    <t>Wall Sandwich Panel 5cm 3.78mt</t>
  </si>
  <si>
    <t xml:space="preserve">ساندويج بنل جداري 5 سم 3م </t>
  </si>
  <si>
    <t>Wall Sandwich Panel 5cm 3m</t>
  </si>
  <si>
    <t xml:space="preserve">ساندويج بنل جداري 5 سم 4.5م </t>
  </si>
  <si>
    <t>Wall Sandwich Panel 5cm 4.5m</t>
  </si>
  <si>
    <t xml:space="preserve">ساندويج بنل جداري 5 سم 4م </t>
  </si>
  <si>
    <t>Wall Sandwich Panel 5cm 4m</t>
  </si>
  <si>
    <t xml:space="preserve">ساندويج بنل جداري 5 سم 5م </t>
  </si>
  <si>
    <t>Wall Sandwich Panel 5cm 5m</t>
  </si>
  <si>
    <t xml:space="preserve">ساندويج بنل جداري 5 سم 6م </t>
  </si>
  <si>
    <t>Wall Sandwich Panel 5cm 6mt</t>
  </si>
  <si>
    <t xml:space="preserve">ساندويج بنل جداري 6 سم 2.5م </t>
  </si>
  <si>
    <t>Wall sandwich panel 6cm 250cm</t>
  </si>
  <si>
    <t>فاينل جوزي</t>
  </si>
  <si>
    <t>Walnut Vinyl</t>
  </si>
  <si>
    <t>جوين فاينل جوزي</t>
  </si>
  <si>
    <t>Walunt Joint vinyl</t>
  </si>
  <si>
    <t xml:space="preserve">White Alucobond 4mm  125*320cm </t>
  </si>
  <si>
    <t>زاوية ام دي اف عرض 5سم طول 280سم ابيض</t>
  </si>
  <si>
    <t xml:space="preserve"> White Corner Tirm MDF 5cm*280cm</t>
  </si>
  <si>
    <t>هاش اليكوبون ابيض  6متر</t>
  </si>
  <si>
    <t>White Hash Alucobond 6m</t>
  </si>
  <si>
    <t>ازارة ام دي اف 4سم عرض 280سم ابيض</t>
  </si>
  <si>
    <t>White Joint MDF 4cm*280cm</t>
  </si>
  <si>
    <t>ازارة ام دي اف 5سم عرض 280سم ابيض</t>
  </si>
  <si>
    <t>White Joint MDF 5cm*280cm</t>
  </si>
  <si>
    <t>فاينل فلكس ابيض عرض 1.2م *  50م طول</t>
  </si>
  <si>
    <t xml:space="preserve">White Vinyl Flex 1.2mt * 50mt  </t>
  </si>
  <si>
    <t>فاينل فلكس ابيض عرض 1.4م *  50م طول</t>
  </si>
  <si>
    <t xml:space="preserve">White Vinyl Flex 1.4mt * 50mt  </t>
  </si>
  <si>
    <t>فاينل فلكس ابيض عرض 2.6م طول 50متر</t>
  </si>
  <si>
    <t xml:space="preserve">White Vinyl Flex 2.6m 50mt  </t>
  </si>
  <si>
    <t xml:space="preserve">مكتبة خشب ابيض على شكل حرف L </t>
  </si>
  <si>
    <t>White Wood Library 320*44*200cm</t>
  </si>
  <si>
    <t xml:space="preserve">الواح خشب امديف 18ملم </t>
  </si>
  <si>
    <t>White Wood MDF 18mm 183*366cm</t>
  </si>
  <si>
    <t>خشب ابيض 18ملم 280*210سم</t>
  </si>
  <si>
    <t>White Wood MDF 18mm 280*210cm</t>
  </si>
  <si>
    <t>رف خشب ام دي اف 25*50سم</t>
  </si>
  <si>
    <t>White Wood MDF 18mm 50*25cm</t>
  </si>
  <si>
    <t>خشب ام دي اف 9ملم 122*280 سم ابيض</t>
  </si>
  <si>
    <t xml:space="preserve">White Wood MDF 9mm  122*280cm </t>
  </si>
  <si>
    <t>خشب ام دي اف 5ملم 210*280سم ابيض</t>
  </si>
  <si>
    <t xml:space="preserve"> White Wood MDF 5mm  210*280cm</t>
  </si>
  <si>
    <t xml:space="preserve">خشب بلي وود بدون غلاف </t>
  </si>
  <si>
    <t>Wood Without cover (plywood) 16mm 244*122cm</t>
  </si>
  <si>
    <t xml:space="preserve">خشب 1*"4 4متر </t>
  </si>
  <si>
    <t>Wood 1*4" 4mt</t>
  </si>
  <si>
    <t xml:space="preserve">خشب 10*2.5سم 3متر </t>
  </si>
  <si>
    <t>Wood 10*2.5cm 3mt</t>
  </si>
  <si>
    <t xml:space="preserve">خشب 10*2.5سم 4متر </t>
  </si>
  <si>
    <t>Wood 10*2.5cm 4mt</t>
  </si>
  <si>
    <t xml:space="preserve">خشب 10*2سم 3متر </t>
  </si>
  <si>
    <t>Wood 10*2cm 3mt</t>
  </si>
  <si>
    <t>خشب10*4.5سم 2.5متر</t>
  </si>
  <si>
    <t>Wood 10*4.5cm 2.5m</t>
  </si>
  <si>
    <t xml:space="preserve">خشب 9.5*4.5سم 4متر </t>
  </si>
  <si>
    <t>Wood 10*5cm 4mt</t>
  </si>
  <si>
    <t>خشب 12 ملم</t>
  </si>
  <si>
    <t>wood 12mm</t>
  </si>
  <si>
    <t>خشب 15*4.5سم 2.5متر</t>
  </si>
  <si>
    <t>Wood 15*4.5cm 2.5m</t>
  </si>
  <si>
    <t>خشب مكبوس 16ملم</t>
  </si>
  <si>
    <t>Wood 16mm OSB 122*244cm</t>
  </si>
  <si>
    <t>خشب مكبوس 18ملم 122*244سم</t>
  </si>
  <si>
    <t>Wood 18mm 122*244cm</t>
  </si>
  <si>
    <t xml:space="preserve">خشب 1متر 7*30سم </t>
  </si>
  <si>
    <t>Wood 1mt 7*30cm</t>
  </si>
  <si>
    <t>خشب مكبوس 7*3سم سم180</t>
  </si>
  <si>
    <t>Wood 3*7cm 180cm</t>
  </si>
  <si>
    <t>خشب مكبوس 7*3سم سم240</t>
  </si>
  <si>
    <t>Wood 3*7cm 240cm</t>
  </si>
  <si>
    <t xml:space="preserve">خشب 8*13.5سم 3متر </t>
  </si>
  <si>
    <t>Wood 8*13.5 3mt</t>
  </si>
  <si>
    <t>خشب عرض40سم سمك 2.8سم طول 2م</t>
  </si>
  <si>
    <t>Wood 40*2.8cm 2mt</t>
  </si>
  <si>
    <t>خشب طبيعي عرض 10سم سمك 2.5سم طول 250سم</t>
  </si>
  <si>
    <t>Wood natural 10cm 2.5cm 250cm</t>
  </si>
  <si>
    <t xml:space="preserve">خشب11ملم 244*122سم  OSB </t>
  </si>
  <si>
    <t>Wood OSB 11mm 244*122cm</t>
  </si>
  <si>
    <t xml:space="preserve">خشب 12ملم اخضر </t>
  </si>
  <si>
    <t>Wood OSB Green 12mm</t>
  </si>
  <si>
    <t xml:space="preserve">عازل سليفون فقاعات </t>
  </si>
  <si>
    <t>Wool Insulatoin Aluminium Bubble</t>
  </si>
  <si>
    <t>صوف صخري 3متر</t>
  </si>
  <si>
    <t>Wool insulator</t>
  </si>
  <si>
    <t>صوف صخري 5سم 5متر</t>
  </si>
  <si>
    <t>Wool insulator 5cm 5m</t>
  </si>
  <si>
    <t>عازل صوت اسفنج اصفر  3سم 93*183سم</t>
  </si>
  <si>
    <t>Yellow Sponge Isolated  183*93*3</t>
  </si>
  <si>
    <t xml:space="preserve">مخزن سيفتي / Safety Store  </t>
  </si>
  <si>
    <t>Total
المجموع</t>
  </si>
  <si>
    <t>خوذة سيفتي</t>
  </si>
  <si>
    <t xml:space="preserve"> Helmet Safety MSA</t>
  </si>
  <si>
    <t xml:space="preserve"> Helmet Safety SM905    </t>
  </si>
  <si>
    <t>جيرسي حاجز بلاستك</t>
  </si>
  <si>
    <t xml:space="preserve"> Jersey Barrier Plastic used</t>
  </si>
  <si>
    <t xml:space="preserve">لايت سفتي لمخروط السيفتي مع قاعدة </t>
  </si>
  <si>
    <t xml:space="preserve"> light Recharge For Cone</t>
  </si>
  <si>
    <t>كفوف طبية</t>
  </si>
  <si>
    <t xml:space="preserve"> Medical Gloves </t>
  </si>
  <si>
    <t>مناظر سيفتي</t>
  </si>
  <si>
    <t xml:space="preserve"> Safety lenses Elvex SG-37C</t>
  </si>
  <si>
    <t xml:space="preserve"> شريط دواء اموكسيلين</t>
  </si>
  <si>
    <t>Amoxillin 500mg</t>
  </si>
  <si>
    <t xml:space="preserve"> شريط دواء انايربيكس</t>
  </si>
  <si>
    <t>Anaerobex 500mg</t>
  </si>
  <si>
    <t>اسبرين</t>
  </si>
  <si>
    <t xml:space="preserve">Apron Welding </t>
  </si>
  <si>
    <t xml:space="preserve">صدرية لحام </t>
  </si>
  <si>
    <t xml:space="preserve">Azitro 500mg </t>
  </si>
  <si>
    <t>ستيكر علامة fnc كبيرة</t>
  </si>
  <si>
    <t xml:space="preserve">Big Sticker Alucoband FNC </t>
  </si>
  <si>
    <t>مناظر سيفتي اسود</t>
  </si>
  <si>
    <t>Black Safety lenses</t>
  </si>
  <si>
    <t>ستيكر اصفر + اسود اركان</t>
  </si>
  <si>
    <t>Black+Yellow Glue Sticker</t>
  </si>
  <si>
    <t>كفوف عمال ازرق</t>
  </si>
  <si>
    <t>Blue Gloves worker</t>
  </si>
  <si>
    <t>شريط تحذير لرفع الكيبلات برتقالي</t>
  </si>
  <si>
    <t>Caution Tape Electrical Orange</t>
  </si>
  <si>
    <t>شريط تحذير لرفع الكيبلات احمر</t>
  </si>
  <si>
    <t>Caution Tape Electrical RED</t>
  </si>
  <si>
    <t xml:space="preserve">شريط تحذير ماء  </t>
  </si>
  <si>
    <t>Caution Tape Water Blue</t>
  </si>
  <si>
    <t>شريط تحذير لرفع الكيبلات اصفر</t>
  </si>
  <si>
    <t>Caution Tape Electrical Yallow</t>
  </si>
  <si>
    <t>خوذة سيفتي دائري msa</t>
  </si>
  <si>
    <t>Circular Helmet Safety MSA</t>
  </si>
  <si>
    <t xml:space="preserve">جهاز فحص اوكسجين ونبضات القلب </t>
  </si>
  <si>
    <t>Device For Check O2 Heart Beat</t>
  </si>
  <si>
    <t xml:space="preserve">كفر لون ازرق للاحذية سفري </t>
  </si>
  <si>
    <t>Disposable Nylon Blue Shoes Cov</t>
  </si>
  <si>
    <t>كمامات طبية</t>
  </si>
  <si>
    <t>Disposable Procedural Face Mask</t>
  </si>
  <si>
    <t>ستيكر لاصق دائري 80سم مع رسم نسر</t>
  </si>
  <si>
    <t>Eagle Sticker 80cm Circular</t>
  </si>
  <si>
    <t>كاتم ضجيج ورث</t>
  </si>
  <si>
    <t>Ear Muff With Extra Thick</t>
  </si>
  <si>
    <t>نقالة الطوارئ</t>
  </si>
  <si>
    <t>Emergency Stretcher</t>
  </si>
  <si>
    <t>غسالة عيون</t>
  </si>
  <si>
    <t>EYE WASH</t>
  </si>
  <si>
    <t>قناع وجه مع فلتر للصباغين</t>
  </si>
  <si>
    <t>Face Mask With filter Painter</t>
  </si>
  <si>
    <t>كمامة طبية نوع n95</t>
  </si>
  <si>
    <t>Face Msck N95</t>
  </si>
  <si>
    <t>واقي وجه</t>
  </si>
  <si>
    <t>Face Shild</t>
  </si>
  <si>
    <t xml:space="preserve">Face Shild Grinder With Base </t>
  </si>
  <si>
    <t>طفايات حريق (تعبئة)</t>
  </si>
  <si>
    <t xml:space="preserve">Fill Fire Extinguisher </t>
  </si>
  <si>
    <t>فلتر قناع سفتي صباغين  6001-3M</t>
  </si>
  <si>
    <t>Filter Face Mask Painter</t>
  </si>
  <si>
    <t xml:space="preserve">بطانية حريق سيفتي </t>
  </si>
  <si>
    <t>Fire Blanket 1.2 1.8mt</t>
  </si>
  <si>
    <t>طفايات حريق جديد</t>
  </si>
  <si>
    <t>Fire Extinguisher 1k HBR</t>
  </si>
  <si>
    <t>Fire Extinguisher 1k With Hose</t>
  </si>
  <si>
    <t xml:space="preserve">Fire Extinguisher 25k </t>
  </si>
  <si>
    <t>Fire Extinguisher 3lt Wet Chemi</t>
  </si>
  <si>
    <t>Fire Extinguisher 6 kilo  HBR</t>
  </si>
  <si>
    <t>Fire Extinguisher 6 kilo SFFECO</t>
  </si>
  <si>
    <t>Fire Extinguisher Co2 5k SFFECO</t>
  </si>
  <si>
    <t>Fire Extinguisher Co2 6k HBR</t>
  </si>
  <si>
    <t>Fire Extinguisher Foam 25k HBR</t>
  </si>
  <si>
    <t>صندوق اسعافات اولية</t>
  </si>
  <si>
    <t>first aid box</t>
  </si>
  <si>
    <t xml:space="preserve">جام واقي شفاف كوسرة بلاستيك </t>
  </si>
  <si>
    <t>Glass Grinder Safety Clear Plas</t>
  </si>
  <si>
    <t>كفوف عمال ضد القطع</t>
  </si>
  <si>
    <t>Gloves Defender Medium</t>
  </si>
  <si>
    <t>كفوف نايلون</t>
  </si>
  <si>
    <t>Gloves Nylon</t>
  </si>
  <si>
    <t>كفوف حرارية</t>
  </si>
  <si>
    <t>Gloves Thermal</t>
  </si>
  <si>
    <t>كفوف عمال ديوالت</t>
  </si>
  <si>
    <t>Gloves Worker Dewalt DP670</t>
  </si>
  <si>
    <t>ستيكر لاصق FNC</t>
  </si>
  <si>
    <t xml:space="preserve">Glue Sticker FNC </t>
  </si>
  <si>
    <t>كفوف عمال اخضر</t>
  </si>
  <si>
    <t>Green Gloves Worker</t>
  </si>
  <si>
    <t>جزم</t>
  </si>
  <si>
    <t>Gumboots</t>
  </si>
  <si>
    <t xml:space="preserve">صافرة انذار يدوية </t>
  </si>
  <si>
    <t>Hand Operated Siren</t>
  </si>
  <si>
    <t xml:space="preserve">واقي وجة لحيم تحمل باليد </t>
  </si>
  <si>
    <t>Handle Safety Face Welding</t>
  </si>
  <si>
    <t>حبوب هزيثروبينك 500مغ</t>
  </si>
  <si>
    <t>Hzithro-Penk 500mg</t>
  </si>
  <si>
    <t xml:space="preserve">يلك سيفتي  </t>
  </si>
  <si>
    <t>Industrial Safety Jacket</t>
  </si>
  <si>
    <t>صدرية طباخين نيلي</t>
  </si>
  <si>
    <t>Kitchen Apron</t>
  </si>
  <si>
    <t>واقي الركبة</t>
  </si>
  <si>
    <t xml:space="preserve">Knee Pads </t>
  </si>
  <si>
    <t xml:space="preserve">جهاز فحص حرارة </t>
  </si>
  <si>
    <t>Laser Temperature Gauge</t>
  </si>
  <si>
    <t>ستيكر ليفت بوينت</t>
  </si>
  <si>
    <t>Lift point Sticker</t>
  </si>
  <si>
    <t>باندج طبي</t>
  </si>
  <si>
    <t>Medical Bandage 10cm</t>
  </si>
  <si>
    <t>Medical Bandage 7.5cm</t>
  </si>
  <si>
    <t xml:space="preserve">شاش طبي 10*10سم </t>
  </si>
  <si>
    <t>Medical Gauze 10 10cm</t>
  </si>
  <si>
    <t>كفوف طبية اسود</t>
  </si>
  <si>
    <t>Medical Gloves Black</t>
  </si>
  <si>
    <t xml:space="preserve">لاصق طبي 10سم </t>
  </si>
  <si>
    <t>Medical Tape Octamed 10cm</t>
  </si>
  <si>
    <t>اوكسيماس 500ملغم</t>
  </si>
  <si>
    <t>Oxemas 500mg Coated Tablets</t>
  </si>
  <si>
    <t>باراسيتامول</t>
  </si>
  <si>
    <t>Paracetamol</t>
  </si>
  <si>
    <t xml:space="preserve">زنك 50ملغم </t>
  </si>
  <si>
    <t xml:space="preserve">Plastic Chain Safety 6mm 25mt </t>
  </si>
  <si>
    <t xml:space="preserve">مشبك بلاستيك برتقالي </t>
  </si>
  <si>
    <t>Plastic Mesh Orange</t>
  </si>
  <si>
    <t xml:space="preserve">Plastic Rebar Safety Cap </t>
  </si>
  <si>
    <t>بدلة مطرية قطعة واحدة</t>
  </si>
  <si>
    <t>Rain Suit AAA</t>
  </si>
  <si>
    <t>بدلة مطرية قطعتين</t>
  </si>
  <si>
    <t>Rain Suit AAA Two Piece</t>
  </si>
  <si>
    <t xml:space="preserve">دواء ريفوترال 0.5مغ </t>
  </si>
  <si>
    <t xml:space="preserve">Rivotril 0.5mg </t>
  </si>
  <si>
    <t>حزام امان سفتي GT</t>
  </si>
  <si>
    <t>Rope Tough Guyline GT</t>
  </si>
  <si>
    <t>كفوف ربل اسود</t>
  </si>
  <si>
    <t xml:space="preserve">Rubber Gloves Worker </t>
  </si>
  <si>
    <t>مخروط سيفيتي مع لايت</t>
  </si>
  <si>
    <t>Safety Cone With Light</t>
  </si>
  <si>
    <t>سداد اذان</t>
  </si>
  <si>
    <t>Safety Ear plug</t>
  </si>
  <si>
    <t>Safety Jacket</t>
  </si>
  <si>
    <t>جاكيت سيفتي قياسات مختلفة</t>
  </si>
  <si>
    <t>safety jacket Different sizes</t>
  </si>
  <si>
    <t>Safety lenses</t>
  </si>
  <si>
    <t>بكرة  سفتي 4ملم  15متر</t>
  </si>
  <si>
    <t>Safety Reel 4mm 15 m</t>
  </si>
  <si>
    <t>حذاء سيفتي</t>
  </si>
  <si>
    <t>Safety Shoes</t>
  </si>
  <si>
    <t>Safety Shoes BA</t>
  </si>
  <si>
    <t>Safety Shoes Wurth</t>
  </si>
  <si>
    <t xml:space="preserve">بدلة سفتي ورث ازرق </t>
  </si>
  <si>
    <t xml:space="preserve">Safety Suit Empiral </t>
  </si>
  <si>
    <t>بدلة سيفتي قطعتين</t>
  </si>
  <si>
    <t>Safety Suit Storm</t>
  </si>
  <si>
    <t>مناظر حماية عيون</t>
  </si>
  <si>
    <t>Sand Knit &amp;Wear Eye Protection</t>
  </si>
  <si>
    <t>مخروط سيفيتي</t>
  </si>
  <si>
    <t>Sefety Cone</t>
  </si>
  <si>
    <t>سيكو 56 كالون</t>
  </si>
  <si>
    <t>SEKO -65.Gallons</t>
  </si>
  <si>
    <t>شتيكر سلو موفينك</t>
  </si>
  <si>
    <t>Slow Moving Vehicle Sticker</t>
  </si>
  <si>
    <t>ستيكر اليكوبة شعار fnc صغير</t>
  </si>
  <si>
    <t>Small Sticker Alucabond FNC</t>
  </si>
  <si>
    <t>ستيكر لاصق 6*8سم PDI</t>
  </si>
  <si>
    <t>Sticker 6 8cm PDI</t>
  </si>
  <si>
    <t>ستيكر اليكوبون FNC 2020</t>
  </si>
  <si>
    <t>Sticker Alucoband FNC 2020</t>
  </si>
  <si>
    <t>ستيكر اليكوبون FNC1 2021</t>
  </si>
  <si>
    <t>Sticker Alucoband FNC 2021</t>
  </si>
  <si>
    <t>ستيكر طفايات حريق</t>
  </si>
  <si>
    <t>Sticker Extinguisher</t>
  </si>
  <si>
    <t>ستيكر لاصق كهرباء كبير</t>
  </si>
  <si>
    <t>Sticker High Voltage Big</t>
  </si>
  <si>
    <t>ستيكر لاصق كهرباء صغير</t>
  </si>
  <si>
    <t>Sticker High Voltage Small</t>
  </si>
  <si>
    <t>ستيكر اليكوبون علامة توقف</t>
  </si>
  <si>
    <t xml:space="preserve">Sticker Parking Sign Alucobond </t>
  </si>
  <si>
    <t>فيتامين س</t>
  </si>
  <si>
    <t xml:space="preserve">Vitamin C </t>
  </si>
  <si>
    <t>فيتامين د</t>
  </si>
  <si>
    <t>Vitamin D3</t>
  </si>
  <si>
    <t>Vitamin Zinc 50mg</t>
  </si>
  <si>
    <t>شريط تحذير ابيض + احمر</t>
  </si>
  <si>
    <t>Warning Tape Red + white</t>
  </si>
  <si>
    <t>ستيكر لاصق دخول ماء</t>
  </si>
  <si>
    <t>Water Glue Sticker</t>
  </si>
  <si>
    <t>جام لحيم اسود</t>
  </si>
  <si>
    <t>Welding Black  Glass</t>
  </si>
  <si>
    <t>كفوف لحيم</t>
  </si>
  <si>
    <t>Welding Gloves</t>
  </si>
  <si>
    <t>بدلة لحيم</t>
  </si>
  <si>
    <t>Welding Suit</t>
  </si>
  <si>
    <t>جام شفاف لحيم</t>
  </si>
  <si>
    <t>Welding Transparent Glass</t>
  </si>
  <si>
    <t>بدلة استعمال مرة واحدة</t>
  </si>
  <si>
    <t xml:space="preserve">White Insulation Suit </t>
  </si>
  <si>
    <t>ستيكر لاصق اصفر اركان</t>
  </si>
  <si>
    <t>Yellow Glue Sticker</t>
  </si>
  <si>
    <t>قمصلة مطري سيفتي ( فسفوري +اسود + رصاصي )</t>
  </si>
  <si>
    <t>waterproof  jacket (safety)</t>
  </si>
  <si>
    <t>TOTAL</t>
  </si>
  <si>
    <t xml:space="preserve">مخزن مواد بناء عامة / General Construction Store </t>
  </si>
  <si>
    <t>ثيل صناعي</t>
  </si>
  <si>
    <t xml:space="preserve">Artificial grass </t>
  </si>
  <si>
    <t>اوراق A3 ابيض زيروكس</t>
  </si>
  <si>
    <t>A3 Paper Xerox</t>
  </si>
  <si>
    <t>اوراق A4 ابيض زيروكس</t>
  </si>
  <si>
    <t>A4 Paper Xerox</t>
  </si>
  <si>
    <t>باتري قلم حجم وسط</t>
  </si>
  <si>
    <t>AA Battery</t>
  </si>
  <si>
    <t>مزيل لاصق 355ملم</t>
  </si>
  <si>
    <t>Adhesive &amp; Grease Remover Goo G</t>
  </si>
  <si>
    <t xml:space="preserve">كبريت زراعي </t>
  </si>
  <si>
    <t>Agricultural Sulfur</t>
  </si>
  <si>
    <t>جهاز منقي الهواء</t>
  </si>
  <si>
    <t>air filter device</t>
  </si>
  <si>
    <t>مانع انزلاق بلاستيك ازرق</t>
  </si>
  <si>
    <t>Anti Slip Bathroom Plastic</t>
  </si>
  <si>
    <t xml:space="preserve">اسلاك شائكة </t>
  </si>
  <si>
    <t>Barbed Wires</t>
  </si>
  <si>
    <t xml:space="preserve"> بيس بليت سكلة</t>
  </si>
  <si>
    <t xml:space="preserve">base plate </t>
  </si>
  <si>
    <t xml:space="preserve">باتري 18فولط لدريل شحن </t>
  </si>
  <si>
    <t xml:space="preserve">Battery 18v For Recharge Drill </t>
  </si>
  <si>
    <t>سكلة كبيرة</t>
  </si>
  <si>
    <t>Big Scaffold</t>
  </si>
  <si>
    <t xml:space="preserve">بليت فلكس </t>
  </si>
  <si>
    <t>Blades Flex 100B10  Feeler Gaug</t>
  </si>
  <si>
    <t xml:space="preserve">جادر ازرق 306*306سم </t>
  </si>
  <si>
    <t>Blue Cover 3 3mt</t>
  </si>
  <si>
    <t xml:space="preserve">جادر ازرق 4م </t>
  </si>
  <si>
    <t>Blue Cover 4mt</t>
  </si>
  <si>
    <t xml:space="preserve">جادر ازرق 6م </t>
  </si>
  <si>
    <t>Blue Cover 6mt</t>
  </si>
  <si>
    <t>Blue Powder Toilet</t>
  </si>
  <si>
    <t>ماء ازرق تواليت</t>
  </si>
  <si>
    <t>Blue water Toilet</t>
  </si>
  <si>
    <t>حاوية نفايات ازرق 660لتر</t>
  </si>
  <si>
    <t xml:space="preserve">Blue Trash Cans 660Lt </t>
  </si>
  <si>
    <t xml:space="preserve">قنينة غاز طبخ </t>
  </si>
  <si>
    <t>Bottle Gas Cooking</t>
  </si>
  <si>
    <t>ممة حليب للكلاب</t>
  </si>
  <si>
    <t>Bottle Plastic For Milk Dog</t>
  </si>
  <si>
    <t>بوكس فايل زاوية</t>
  </si>
  <si>
    <t>Box File Angle</t>
  </si>
  <si>
    <t>بوكس فايل بلاستك</t>
  </si>
  <si>
    <t xml:space="preserve">Box Plastic File </t>
  </si>
  <si>
    <t>حاوية نفايات ازرق 120لتر</t>
  </si>
  <si>
    <t>Bule Trash Cans 120Lt Dami Plas</t>
  </si>
  <si>
    <t>مدالية كيبل بلاستيك</t>
  </si>
  <si>
    <t>Cable Label 30*17mm</t>
  </si>
  <si>
    <t xml:space="preserve">شناطات ستيل  </t>
  </si>
  <si>
    <t>Cable Seal SF-C101 250mm</t>
  </si>
  <si>
    <t>نايلون شفاف A4</t>
  </si>
  <si>
    <t>Clear Nylon Dividers A4</t>
  </si>
  <si>
    <t xml:space="preserve">نايلون صبة </t>
  </si>
  <si>
    <t>Clear Nylon Fabric</t>
  </si>
  <si>
    <t>كلبس كابسة</t>
  </si>
  <si>
    <t>Clip Stapler IDEA 24 6</t>
  </si>
  <si>
    <t>سبيسر كونكريت 5سم</t>
  </si>
  <si>
    <t>Concrete  Spacer  5cm</t>
  </si>
  <si>
    <t>صلبان بلاستيك سيراميك</t>
  </si>
  <si>
    <t>Cross Plastic For Ceramic</t>
  </si>
  <si>
    <t xml:space="preserve">قلم جاف </t>
  </si>
  <si>
    <t>Double Pen</t>
  </si>
  <si>
    <t xml:space="preserve">تيب مسلح  48ملم </t>
  </si>
  <si>
    <t>Duct Tape 48mm 1.88INX35Y</t>
  </si>
  <si>
    <t>ظرف اسمر 4*89سم</t>
  </si>
  <si>
    <t xml:space="preserve">Folder 4*9cm </t>
  </si>
  <si>
    <t xml:space="preserve">ربل باب لاصق </t>
  </si>
  <si>
    <t>Glue Rubber Door</t>
  </si>
  <si>
    <t xml:space="preserve">مسدس صوصج </t>
  </si>
  <si>
    <t>Gun Hyperseal</t>
  </si>
  <si>
    <t>مسدس سليكون حديد</t>
  </si>
  <si>
    <t>Gun Silicon</t>
  </si>
  <si>
    <t>مسدس سليكون بلاستك</t>
  </si>
  <si>
    <t xml:space="preserve">Gun Silicon Plastic </t>
  </si>
  <si>
    <t>جك باب هيدروليك</t>
  </si>
  <si>
    <t>Hydroulic Jack Door</t>
  </si>
  <si>
    <t>جلكان حديد</t>
  </si>
  <si>
    <t xml:space="preserve">Iron Gallon </t>
  </si>
  <si>
    <t>مسطرة حديد</t>
  </si>
  <si>
    <t>Iron Level 30cm</t>
  </si>
  <si>
    <t>قطعة بلاستيك لتسوية سيراميك</t>
  </si>
  <si>
    <t>Leveling System Hard Plastic For Ceramic</t>
  </si>
  <si>
    <t>ماركر</t>
  </si>
  <si>
    <t>Marker Pen</t>
  </si>
  <si>
    <t>تيشيريت عسكري</t>
  </si>
  <si>
    <t xml:space="preserve">Military T-shirt </t>
  </si>
  <si>
    <t>سايفر لوك</t>
  </si>
  <si>
    <t xml:space="preserve">Normal Cipher Lock </t>
  </si>
  <si>
    <t xml:space="preserve">اكياس سفري 20*30سم </t>
  </si>
  <si>
    <t>Nylon 20 30cm</t>
  </si>
  <si>
    <t>نايلون فقاعات</t>
  </si>
  <si>
    <t>Nylon Bubbles</t>
  </si>
  <si>
    <t xml:space="preserve">اكياس سفري فالكون 21*18سم </t>
  </si>
  <si>
    <t>Nylon falcon 21 18cm</t>
  </si>
  <si>
    <t xml:space="preserve">كيس علاقة للمواد </t>
  </si>
  <si>
    <t>Nylon For Material</t>
  </si>
  <si>
    <t>مضخة كاز كهربائية ضغيرة  فلكس</t>
  </si>
  <si>
    <t>Oil Drum Pump&amp;Motor FLUX</t>
  </si>
  <si>
    <t>قلم جاف</t>
  </si>
  <si>
    <t>Pen</t>
  </si>
  <si>
    <t>قلم دبل راس</t>
  </si>
  <si>
    <t>Pen Black&amp;Blue</t>
  </si>
  <si>
    <t>قلم رصاص</t>
  </si>
  <si>
    <t>Pencil</t>
  </si>
  <si>
    <t xml:space="preserve">  بوكس عدة بلاستيك</t>
  </si>
  <si>
    <t>Plastic Box Tools</t>
  </si>
  <si>
    <t xml:space="preserve">راس بلاستيك لمكينة قص عشب اسود </t>
  </si>
  <si>
    <t>Plastic Head Black Grass Clippe</t>
  </si>
  <si>
    <t>الوان طابعة زيروكس 7835</t>
  </si>
  <si>
    <t xml:space="preserve">الوان طابعة </t>
  </si>
  <si>
    <t>Printer Inks SC2020</t>
  </si>
  <si>
    <t>مضخة مبيدات حشرية 16 لتر</t>
  </si>
  <si>
    <t>Pump Insecticide 16Lt</t>
  </si>
  <si>
    <t>مضخة مبيدات حشرية 8 لتر</t>
  </si>
  <si>
    <t>Pump Insecticide 8Lt</t>
  </si>
  <si>
    <t>ماكينة ضغط فحص بواري PPR</t>
  </si>
  <si>
    <t>Pump Test PPR</t>
  </si>
  <si>
    <t xml:space="preserve">نايلون تغليف </t>
  </si>
  <si>
    <t>Ripping Nylon Clear</t>
  </si>
  <si>
    <t xml:space="preserve">حبل مدور 4ملم </t>
  </si>
  <si>
    <t>Rope Circular 4mm</t>
  </si>
  <si>
    <t xml:space="preserve">رولة بلاستيك لتغليف باليت </t>
  </si>
  <si>
    <t>Roll Plastic For Ripping Plalet</t>
  </si>
  <si>
    <t>حبل براشوت</t>
  </si>
  <si>
    <t>Rope Parachute</t>
  </si>
  <si>
    <t xml:space="preserve">خيط ربل لمكينة قص عشب 12متر </t>
  </si>
  <si>
    <t>Round Trimmer Line 2.4mm 12mt</t>
  </si>
  <si>
    <t xml:space="preserve">خيط ربل لمكينة قص عشب 40,43متر </t>
  </si>
  <si>
    <t>Round Trimmer Line 2.4mm 40,43m</t>
  </si>
  <si>
    <t xml:space="preserve">خيط ربل لمكينة قص عشب 90متر </t>
  </si>
  <si>
    <t>Round Trimmer Line 2.4mm 90mt</t>
  </si>
  <si>
    <t xml:space="preserve">مالنج ربل </t>
  </si>
  <si>
    <t>Rubber Cement Finishing</t>
  </si>
  <si>
    <t>ربل رولة على شكل حادلة "17</t>
  </si>
  <si>
    <t>Rubber Roll 17"</t>
  </si>
  <si>
    <t>مسطرة تعديل كونكريت المنيوم 3م 4*8سم</t>
  </si>
  <si>
    <t>Ruler Edit Concrete Aluminium 3</t>
  </si>
  <si>
    <t>كواني عسكري</t>
  </si>
  <si>
    <t>Sand Bag Armor</t>
  </si>
  <si>
    <t xml:space="preserve">تيل صبة </t>
  </si>
  <si>
    <t>Steel Wire concrete</t>
  </si>
  <si>
    <t>قزمة</t>
  </si>
  <si>
    <t>mattock with handle</t>
  </si>
  <si>
    <t>منجل زراعي</t>
  </si>
  <si>
    <t>Sickle 12"</t>
  </si>
  <si>
    <t>تيب رفيع</t>
  </si>
  <si>
    <t>Small Tape</t>
  </si>
  <si>
    <t>ستيكر طابعة ستيكرات 12ملم</t>
  </si>
  <si>
    <t>Sticker Printer Stickers 12mm B</t>
  </si>
  <si>
    <t>ستيكر طابعة ستيكرات 9ملم</t>
  </si>
  <si>
    <t>Sticker Printer Stickers 9mm Bl</t>
  </si>
  <si>
    <t xml:space="preserve">تيب عازل صوف بواري سلفون 30متر 7.2سم </t>
  </si>
  <si>
    <t>Tape Wool Insulator Aluminium 3</t>
  </si>
  <si>
    <t xml:space="preserve">تفلون سائل(دهن قفل البراغي) </t>
  </si>
  <si>
    <t>Thread Locker 50ml Force Engine</t>
  </si>
  <si>
    <t xml:space="preserve">تاير سكلة </t>
  </si>
  <si>
    <t>Tire Scaffold</t>
  </si>
  <si>
    <t>دراب سكلة حديد</t>
  </si>
  <si>
    <t>Toe Board Scaffold</t>
  </si>
  <si>
    <t xml:space="preserve">فتحات تهوية للنوافذ 30سم ابيض </t>
  </si>
  <si>
    <t>Trickle Vents 300mm White Color</t>
  </si>
  <si>
    <t xml:space="preserve">خيط ابيض </t>
  </si>
  <si>
    <t>White Building Thread</t>
  </si>
  <si>
    <t>قماش تنظيف , وصل تنظيف , كبرا</t>
  </si>
  <si>
    <t>White Cleaning Cloth</t>
  </si>
  <si>
    <t xml:space="preserve">قلم تصحيح ابيض </t>
  </si>
  <si>
    <t>White ink pen</t>
  </si>
  <si>
    <t xml:space="preserve">White Rope Ratchet </t>
  </si>
  <si>
    <t xml:space="preserve">كونية لون ابيض </t>
  </si>
  <si>
    <t>White Sand Bag</t>
  </si>
  <si>
    <t>ستيكر لاصق ابيض للبرغي نوع دائري MDF</t>
  </si>
  <si>
    <t>White Sticker Glue For Bolt MDF</t>
  </si>
  <si>
    <t xml:space="preserve">Wiper Rubber Plastic For Vinyl </t>
  </si>
  <si>
    <t xml:space="preserve">Wood Handle Spade </t>
  </si>
  <si>
    <t>كيس بلدية</t>
  </si>
  <si>
    <t>Trash Bag black</t>
  </si>
  <si>
    <t xml:space="preserve">مخزن مواد تنظيف / Cleaning Materials Store </t>
  </si>
  <si>
    <t>total
المجموع</t>
  </si>
  <si>
    <t xml:space="preserve">فرشاة تنظيف ناعم </t>
  </si>
  <si>
    <t>Brush Plastic Cleaner</t>
  </si>
  <si>
    <t>مكرافة مع مكنسة بلاستيك</t>
  </si>
  <si>
    <t>Brush Plastic With Shit</t>
  </si>
  <si>
    <t xml:space="preserve">منظف اسبيروكس متعدد الاستخدام </t>
  </si>
  <si>
    <t>Cleaner Asperox 750mm</t>
  </si>
  <si>
    <t>Pack. * 12P</t>
  </si>
  <si>
    <t>فرشاة تنظيف خشن</t>
  </si>
  <si>
    <t>Cleaning Rough Broom Brush</t>
  </si>
  <si>
    <t xml:space="preserve">منظف ارضيات ديتول 900مل </t>
  </si>
  <si>
    <t>Dettol Cleaner  900ml</t>
  </si>
  <si>
    <t>منظف فلاش  ميكا</t>
  </si>
  <si>
    <t xml:space="preserve">Flash Cleaner Mega </t>
  </si>
  <si>
    <t xml:space="preserve">منظف زجاج 750ملم </t>
  </si>
  <si>
    <t>Glass Clenner 750ml</t>
  </si>
  <si>
    <t>عودة  ماسحة + فرشاة خشبية</t>
  </si>
  <si>
    <t>Handle Wood Floor Wiper</t>
  </si>
  <si>
    <t xml:space="preserve">صابون سائل </t>
  </si>
  <si>
    <t xml:space="preserve">Liquid Soap  400g </t>
  </si>
  <si>
    <t>كحول 20لتر 100%</t>
  </si>
  <si>
    <t>Medicinal alcohol 20l %100</t>
  </si>
  <si>
    <t xml:space="preserve"> موب</t>
  </si>
  <si>
    <t>Mop</t>
  </si>
  <si>
    <t xml:space="preserve">ماسحة </t>
  </si>
  <si>
    <t>Soft Floor Wiper</t>
  </si>
  <si>
    <t>Qty. 
الكمية</t>
  </si>
  <si>
    <t>Unit
الوحدة</t>
  </si>
  <si>
    <t>#</t>
  </si>
  <si>
    <t>Store</t>
  </si>
  <si>
    <t>مبيد حشرات</t>
  </si>
  <si>
    <t xml:space="preserve">Insecticide 250ml Deltathor </t>
  </si>
  <si>
    <t>صبغ بخاخ اصفر</t>
  </si>
  <si>
    <t xml:space="preserve">Yellow spray Panit </t>
  </si>
  <si>
    <t>Ea</t>
  </si>
  <si>
    <t>سويج  levation انترنت</t>
  </si>
  <si>
    <t>Switch levation Internet</t>
  </si>
  <si>
    <t>لقمة تي pvc</t>
  </si>
  <si>
    <t xml:space="preserve">Holder Angle pvc 4cm </t>
  </si>
  <si>
    <t xml:space="preserve"> مانع ذباب اسود</t>
  </si>
  <si>
    <t>Rate Total</t>
  </si>
  <si>
    <r>
      <t xml:space="preserve"> Aluminium champagne color Lambert </t>
    </r>
    <r>
      <rPr>
        <b/>
        <sz val="18"/>
        <color rgb="FFFF0000"/>
        <rFont val="Calibri"/>
        <family val="2"/>
        <scheme val="minor"/>
      </rPr>
      <t>old</t>
    </r>
  </si>
  <si>
    <r>
      <t xml:space="preserve">Big Hinge Disco </t>
    </r>
    <r>
      <rPr>
        <b/>
        <sz val="18"/>
        <color rgb="FFFF0000"/>
        <rFont val="Calibri"/>
        <family val="2"/>
        <scheme val="minor"/>
      </rPr>
      <t>old</t>
    </r>
  </si>
  <si>
    <t>L Silver Door Aluminum</t>
  </si>
  <si>
    <t>مقابل كيلون شباك</t>
  </si>
  <si>
    <t>lock M window</t>
  </si>
  <si>
    <t xml:space="preserve"> صوندة فايبريتر</t>
  </si>
  <si>
    <t xml:space="preserve">Vibrator Hose 38mm </t>
  </si>
  <si>
    <t>خيط تاشير باودر</t>
  </si>
  <si>
    <t>White marking thread with powder</t>
  </si>
  <si>
    <t>سطل نفايات بلاستيك</t>
  </si>
  <si>
    <t>Small Plastic Trash Can</t>
  </si>
  <si>
    <t xml:space="preserve">حبل نايلون مثل سنارة الصيد </t>
  </si>
  <si>
    <t xml:space="preserve">Nylon Rope  </t>
  </si>
  <si>
    <t>ماسحة صبورة</t>
  </si>
  <si>
    <t>Blackboard Rubber</t>
  </si>
  <si>
    <t xml:space="preserve">صبورة ابيض 90*60*3.5 سم </t>
  </si>
  <si>
    <t>White Board FRD 90*60*3.5cm</t>
  </si>
  <si>
    <t>باودر ازرق تواليت</t>
  </si>
  <si>
    <t>مخزن مواد عامة / General Store</t>
  </si>
  <si>
    <t>كندك حجم كبير تولسن "12</t>
  </si>
  <si>
    <t>Adjustable Ind Wrench 12" Tolse</t>
  </si>
  <si>
    <t>كندك حجم كبير تروبر "12</t>
  </si>
  <si>
    <t>Adjustable Wrench 12" Truper</t>
  </si>
  <si>
    <t>بلايس متغير "10 تروبير</t>
  </si>
  <si>
    <t>Ajustable Joint Trupper 10"</t>
  </si>
  <si>
    <t>بلايس متغير "12 تروبير</t>
  </si>
  <si>
    <t>Ajustable Joint Trupper 12"</t>
  </si>
  <si>
    <t>بلايس متغير "8 تروبير</t>
  </si>
  <si>
    <t>Ajustable Joint Trupper 8"</t>
  </si>
  <si>
    <t>زاوية قياس حدادين</t>
  </si>
  <si>
    <t>Aluminum Ruler With Angle Bar S</t>
  </si>
  <si>
    <t>انكر بولت 16ملم 50سم   10*50سم</t>
  </si>
  <si>
    <t>Ancher Bolt 16mm 50cm  50 10cm</t>
  </si>
  <si>
    <t>انكر بولت 18ملم</t>
  </si>
  <si>
    <t>Ancher Bolt 18mm</t>
  </si>
  <si>
    <t>انكر بولت 22ملم</t>
  </si>
  <si>
    <t>Ancher Bolt 22mm</t>
  </si>
  <si>
    <t>زاوية حاملة رف ستيل 15.2*20.3سم L</t>
  </si>
  <si>
    <t>Angle Shelf Holder 15.2 20.3cm</t>
  </si>
  <si>
    <t xml:space="preserve">بوربرين </t>
  </si>
  <si>
    <t xml:space="preserve">Ball Bearing </t>
  </si>
  <si>
    <t>كلابتين</t>
  </si>
  <si>
    <t>Big End Cutting Pliers</t>
  </si>
  <si>
    <t>بليت جكسه  كبيرة</t>
  </si>
  <si>
    <t xml:space="preserve">Big Jig Saw Blade </t>
  </si>
  <si>
    <t>بليت تيغ  جكسة  كبيرة ديوالت</t>
  </si>
  <si>
    <t>Big Jig Saw Blade Dewalt DT2349</t>
  </si>
  <si>
    <t>منشار بليت جكسه كهربائية كبيرة "9</t>
  </si>
  <si>
    <t xml:space="preserve">Big Jigsaw Blade 9" Star </t>
  </si>
  <si>
    <t>محكان ستيل كبير 30سم</t>
  </si>
  <si>
    <t>Big Steel funnel 30cm</t>
  </si>
  <si>
    <t xml:space="preserve">سيت برينة حديد </t>
  </si>
  <si>
    <t>Bit Drill  Dewalt DW1163</t>
  </si>
  <si>
    <t>Bit Drill Dewalt</t>
  </si>
  <si>
    <t>برغي اسود 26.5ملم 9سم</t>
  </si>
  <si>
    <t>Black Bolt 12mm 5cm  Nut+Washer</t>
  </si>
  <si>
    <t>Black Bolt 26.5mm 9cm</t>
  </si>
  <si>
    <t>برغي اسود 6ملم 5سم مع نت وواشر</t>
  </si>
  <si>
    <t>Black Bolt 6mm 5cm  Nut+Washer</t>
  </si>
  <si>
    <t>نت اسود 24ملم</t>
  </si>
  <si>
    <t>Black Nut 24mm</t>
  </si>
  <si>
    <t>لاستيك ربل باب بوردات الكهرباء</t>
  </si>
  <si>
    <t xml:space="preserve">Black Rubber Door Board </t>
  </si>
  <si>
    <t xml:space="preserve">Meter </t>
  </si>
  <si>
    <t>برغي اسود</t>
  </si>
  <si>
    <t>Black Screw 35 3.5mm</t>
  </si>
  <si>
    <t>Package</t>
  </si>
  <si>
    <t>شفرة مكينة عشب تحمل على الظهر</t>
  </si>
  <si>
    <t>Blade Brush Cutter</t>
  </si>
  <si>
    <t>شفرة كتر</t>
  </si>
  <si>
    <t>Blade cutter</t>
  </si>
  <si>
    <t xml:space="preserve">حجر كتر بي في سي </t>
  </si>
  <si>
    <t>Blade Saw PVC (CD) 500*320</t>
  </si>
  <si>
    <t>برغي 6*160 خشابي</t>
  </si>
  <si>
    <t>برغي 100 *6.3 ملم</t>
  </si>
  <si>
    <t>Bolt 100 * 6.3mm</t>
  </si>
  <si>
    <t xml:space="preserve">برغي 10ملم كلفنايز </t>
  </si>
  <si>
    <t>Bolt 10mm</t>
  </si>
  <si>
    <t xml:space="preserve">براغي واشر ونت واشر سبرنك ورولط بولت </t>
  </si>
  <si>
    <t>Bolt 10mm +Nut+ Washer</t>
  </si>
  <si>
    <t xml:space="preserve">براغي سلفر 10ملم 13 سم ونت واشر دبل </t>
  </si>
  <si>
    <t>Bolt 10mm 13cm Silver +Nut+Double Washer</t>
  </si>
  <si>
    <t xml:space="preserve">برغي 10ملم *20سم </t>
  </si>
  <si>
    <t xml:space="preserve">Bolt 10mm*20cm </t>
  </si>
  <si>
    <t>برغي 10ملم *4سم وواشر سبرينك ونت اسود</t>
  </si>
  <si>
    <t>Bolt 10mm 4cm Washer Spring Nut Black</t>
  </si>
  <si>
    <t>برغي 125 *6.3 ملم</t>
  </si>
  <si>
    <t>Bolt 125 * 6.3mm</t>
  </si>
  <si>
    <t>برغي 12 ملم</t>
  </si>
  <si>
    <t xml:space="preserve">Bolt 12mm </t>
  </si>
  <si>
    <t>برغي 3.9 *13 ملم</t>
  </si>
  <si>
    <t>Bolt 13 * 3.9mm</t>
  </si>
  <si>
    <t>برغي 13 *4.2 ملم</t>
  </si>
  <si>
    <t>Bolt 13 * 4.2mm</t>
  </si>
  <si>
    <t>برغي اسود  8.8</t>
  </si>
  <si>
    <t>Bolt 14mm 12.5 cm</t>
  </si>
  <si>
    <t>برغي 150 *6.3 ملم</t>
  </si>
  <si>
    <t>Bolt 150 * 6.3mm</t>
  </si>
  <si>
    <t xml:space="preserve">برغي 16 ملم </t>
  </si>
  <si>
    <t xml:space="preserve">Bolt 16mm </t>
  </si>
  <si>
    <t>برغي 16 ملم مع نت وواشر</t>
  </si>
  <si>
    <t>Bolt 16mm 15cm Nut+Washer</t>
  </si>
  <si>
    <t>برغي 175 *6.3 ملم</t>
  </si>
  <si>
    <t>Bolt 175 * 6.3mm</t>
  </si>
  <si>
    <t>برغي 180 *6.3 ملم</t>
  </si>
  <si>
    <t>Bolt 180 * 6.3mm</t>
  </si>
  <si>
    <t>برغي 19 *3.9 ملم</t>
  </si>
  <si>
    <t>Bolt 19 * 3.9mm</t>
  </si>
  <si>
    <t>برغي 200 *6.3 ملم</t>
  </si>
  <si>
    <t>Bolt 200 * 6.3mm</t>
  </si>
  <si>
    <t>برغي 20ملم</t>
  </si>
  <si>
    <t xml:space="preserve">Bolt 20mm </t>
  </si>
  <si>
    <t>برغي 25 *3.9 ملم</t>
  </si>
  <si>
    <t>Bolt 25 * 3.9mm</t>
  </si>
  <si>
    <t>برغي 4.2 *25 ملم</t>
  </si>
  <si>
    <t>Bolt 25 * 4.2mm</t>
  </si>
  <si>
    <t>برغي 25 *6.3 ملم</t>
  </si>
  <si>
    <t>Bolt 25 * 6.3mm</t>
  </si>
  <si>
    <t>برغي 25 *4.8 ملم</t>
  </si>
  <si>
    <t>Bolt 25* 4.8mm</t>
  </si>
  <si>
    <t>برغي 38 *4.8 ملم</t>
  </si>
  <si>
    <t>Bolt 38 * 4.8mm</t>
  </si>
  <si>
    <t>برغي 32 *4.2 ملم</t>
  </si>
  <si>
    <t>Bolt 32 * 4.2mm</t>
  </si>
  <si>
    <t>برغي 38 *4.2 ملم</t>
  </si>
  <si>
    <t>Bolt 38 * 4.2mm</t>
  </si>
  <si>
    <t>برغي 38 *6.3 ملم</t>
  </si>
  <si>
    <t>Bolt 38 * 6.3mm</t>
  </si>
  <si>
    <t>برغي 3.5 *40 ملم</t>
  </si>
  <si>
    <t>Bolt 40 * 3.5mm</t>
  </si>
  <si>
    <t>برغي 45 *4.2 ملم</t>
  </si>
  <si>
    <t>Bolt 45 * 4.2mm</t>
  </si>
  <si>
    <t>برغي 3.5 *45 ملم</t>
  </si>
  <si>
    <t>Bolt 45 * 3.5mm</t>
  </si>
  <si>
    <t>برغي  50*3.9م</t>
  </si>
  <si>
    <t>Bolt 50 * 3.9mm Akifix</t>
  </si>
  <si>
    <t>برغي 4.2 *50 ملم</t>
  </si>
  <si>
    <t>Bolt 50 * 4.2mm</t>
  </si>
  <si>
    <t>برغي 50 *4.8 ملم</t>
  </si>
  <si>
    <t>Bolt 50 * 4.8mm</t>
  </si>
  <si>
    <t>برغي 50 *6.3 ملم</t>
  </si>
  <si>
    <t>Bolt 50 * 6.3mm</t>
  </si>
  <si>
    <t>برغي 5ملم 10سم مع نت برغي دايس</t>
  </si>
  <si>
    <t>Bolt 5mm 10cm With Nut</t>
  </si>
  <si>
    <t xml:space="preserve">برغي 5ملم 2سم </t>
  </si>
  <si>
    <t>Bolt 5mm 2cm</t>
  </si>
  <si>
    <t>برغي   60*4.2م</t>
  </si>
  <si>
    <t>Bolt 60 * 4.2mm</t>
  </si>
  <si>
    <t>برغي 60 *4.8 ملم</t>
  </si>
  <si>
    <t>Bolt 60 * 4.8mm</t>
  </si>
  <si>
    <t>برغي 63 *6.3 ملم</t>
  </si>
  <si>
    <t>Bolt 63* 6.3mm</t>
  </si>
  <si>
    <t>برغي 70 *4.8 ملم</t>
  </si>
  <si>
    <t>Bolt 70 * 4.8mm</t>
  </si>
  <si>
    <t>برغي 75 *6.3 ملم</t>
  </si>
  <si>
    <t>Bolt 75 * 6.3mm</t>
  </si>
  <si>
    <t>برغي 80 *4.8 ملم</t>
  </si>
  <si>
    <t>Bolt 80 * 4.8mm</t>
  </si>
  <si>
    <t>برغي 8ملم ونت واشر سبرنك</t>
  </si>
  <si>
    <t>Bolt 8mm +Nut+Washer</t>
  </si>
  <si>
    <t xml:space="preserve">برغي 8ملم </t>
  </si>
  <si>
    <t xml:space="preserve">Bolt 8mm </t>
  </si>
  <si>
    <t xml:space="preserve">برغي اندوفيلا 6ملم احمر </t>
  </si>
  <si>
    <t xml:space="preserve">برغي كونكريت 7.5ملم 10سم </t>
  </si>
  <si>
    <t>Bolt Concrete 7.5mm 10cm</t>
  </si>
  <si>
    <t>برغي جبسم بورد 25*3.5ملم</t>
  </si>
  <si>
    <t>Bolt Gypsum Board 25 *3.5mm</t>
  </si>
  <si>
    <t xml:space="preserve">برغي لقمة  10ملم سمك 8سم طول </t>
  </si>
  <si>
    <t>Bolt Holder 10mm 8cm</t>
  </si>
  <si>
    <t>برغي فافون ساندوج</t>
  </si>
  <si>
    <t>Bolts Sandwich Panel 3"</t>
  </si>
  <si>
    <t>Bolts Sandwich Panel  5"</t>
  </si>
  <si>
    <t>واشر فافون ساندوج</t>
  </si>
  <si>
    <t>Washer Sandwich Panel (3*1/4)</t>
  </si>
  <si>
    <t>برغي نجمة 5ملم 5سم</t>
  </si>
  <si>
    <t>Bolt Star 5mm 5cm</t>
  </si>
  <si>
    <t xml:space="preserve">جنطة بلاستيك 24" للواشرات وبراغي </t>
  </si>
  <si>
    <t>Box Plastic 24" For Washer+Bolt</t>
  </si>
  <si>
    <t>برغي 16*4.8ملم 1كيلو</t>
  </si>
  <si>
    <t xml:space="preserve">Bolts 16*4.8mm  </t>
  </si>
  <si>
    <t xml:space="preserve">فحمات دريل او كوسرة </t>
  </si>
  <si>
    <t>Carbon Brush Machine</t>
  </si>
  <si>
    <t xml:space="preserve">تاير حديد وبلاستيك "8 </t>
  </si>
  <si>
    <t>Caster Wheels 8" (Iron Tire)</t>
  </si>
  <si>
    <t xml:space="preserve">زنجيل مع جنكال </t>
  </si>
  <si>
    <t>Chain With Ring</t>
  </si>
  <si>
    <t xml:space="preserve">بسمار جمفر" </t>
  </si>
  <si>
    <t>Chamfer Nails  1"</t>
  </si>
  <si>
    <t>جمفر بلاستيك 3سم 3م</t>
  </si>
  <si>
    <t>Chamfer Plastic 3cm 3m</t>
  </si>
  <si>
    <t xml:space="preserve">حجر كتر ساندوج بنل ديوالت </t>
  </si>
  <si>
    <t>Cire Saw Blade DT1960 305*30mm Dewalt</t>
  </si>
  <si>
    <t>قفيص ستيل للوفر النشافة مع برغي</t>
  </si>
  <si>
    <t>Clamp Steel 6" With Bolt</t>
  </si>
  <si>
    <t>برغي للقفيص ستيل</t>
  </si>
  <si>
    <t xml:space="preserve">Clamp Steel bolt </t>
  </si>
  <si>
    <t>شريط ستيل للقفيص</t>
  </si>
  <si>
    <t xml:space="preserve">Clamp Steel TAPE </t>
  </si>
  <si>
    <t>قفيص ستيل واير 10ملم</t>
  </si>
  <si>
    <t>Clamp Steel Wire  10mm</t>
  </si>
  <si>
    <t xml:space="preserve">قفيص ستيل واير 16ملم </t>
  </si>
  <si>
    <t>Clamp Steel Wire 16mm</t>
  </si>
  <si>
    <t xml:space="preserve">قفيص ستيل واير 18 ملم </t>
  </si>
  <si>
    <t>Clamp Steel Wire 18mm</t>
  </si>
  <si>
    <t>قفيص ستيل واير 20ملم</t>
  </si>
  <si>
    <t>Clamp Steel Wire 20mm</t>
  </si>
  <si>
    <t>تيب شفاف</t>
  </si>
  <si>
    <t>clear tape</t>
  </si>
  <si>
    <t>برغي 6ملم</t>
  </si>
  <si>
    <t>Concret Bolt 6mm</t>
  </si>
  <si>
    <t>حجر كونكريت 115</t>
  </si>
  <si>
    <t>Concrete (CD) 115</t>
  </si>
  <si>
    <t>حجر كونكريت  115 ملم 4.5 انج</t>
  </si>
  <si>
    <t>Concrete (CD) 115mm 4.5"</t>
  </si>
  <si>
    <t>حجر جلي كونكريت AEG  932-259-132</t>
  </si>
  <si>
    <t>concrete polishing disc</t>
  </si>
  <si>
    <t>حجر كونكريت 230</t>
  </si>
  <si>
    <t>Concrete (CD) 230</t>
  </si>
  <si>
    <t>برغي كونكريت نجمة</t>
  </si>
  <si>
    <t xml:space="preserve">Concrete Bolts Star </t>
  </si>
  <si>
    <t xml:space="preserve">بسمار كونكريت حلقة نوع هيلتي 32ملم </t>
  </si>
  <si>
    <t>Concrete Nail 32mm Hilti</t>
  </si>
  <si>
    <t>بسمار كونكريت "1</t>
  </si>
  <si>
    <t>Concrete Nails 1"</t>
  </si>
  <si>
    <t>بسمار كونكريت "2</t>
  </si>
  <si>
    <t>Concrete Nails 2"</t>
  </si>
  <si>
    <t xml:space="preserve">برينة كونكريت 10ملم </t>
  </si>
  <si>
    <t>Concrete Tip Bits 10mm</t>
  </si>
  <si>
    <t xml:space="preserve">برينة كونكريت 12ملم </t>
  </si>
  <si>
    <t>Concrete Tip Bits 12mm</t>
  </si>
  <si>
    <t xml:space="preserve">برينة كونكريت 13ملم </t>
  </si>
  <si>
    <t>Concrete Tip Bits 13mm</t>
  </si>
  <si>
    <t xml:space="preserve">برينة كونكريت 14ملم </t>
  </si>
  <si>
    <t>Concrete Tip Bits 14mm</t>
  </si>
  <si>
    <t xml:space="preserve">برينة كونكريت 16ملم </t>
  </si>
  <si>
    <t>Concrete Tip Bits 16mm</t>
  </si>
  <si>
    <t xml:space="preserve">برينة كونكريت 18ملم </t>
  </si>
  <si>
    <t>Concrete Tip Bits 18mm</t>
  </si>
  <si>
    <t xml:space="preserve">برينة كونكريت 24ملم </t>
  </si>
  <si>
    <t>Concrete Tip Bit 24mm</t>
  </si>
  <si>
    <t xml:space="preserve">برينة كونكريت 6ملم </t>
  </si>
  <si>
    <t>Concrete Tip Bits 6mm</t>
  </si>
  <si>
    <t xml:space="preserve">برينة كونكريت 8ملم </t>
  </si>
  <si>
    <t>Concrete Tip Bits 8mm</t>
  </si>
  <si>
    <t xml:space="preserve">برينة كونكريت20ملم </t>
  </si>
  <si>
    <t>Concrete Tip Bits 20mm</t>
  </si>
  <si>
    <t>Concrete Tip Bits 20mm 31cm Zhwei</t>
  </si>
  <si>
    <t xml:space="preserve">برينة كونكريت25ملم </t>
  </si>
  <si>
    <t>Concrete Tip Bit 25mm</t>
  </si>
  <si>
    <t>ممة مكينة لحيم</t>
  </si>
  <si>
    <t>Copper Piece For Magma machine</t>
  </si>
  <si>
    <t xml:space="preserve">نت تطوالة 10ملم </t>
  </si>
  <si>
    <t xml:space="preserve">Coupling Nut 10mm </t>
  </si>
  <si>
    <t>تطوالة برينة لقمة "1/4*3/8*1/2</t>
  </si>
  <si>
    <t>Coupling Tip Bit "1/4*3/8*1/2</t>
  </si>
  <si>
    <t xml:space="preserve">تطوالة برينة درنفيس او لقمة 6سم </t>
  </si>
  <si>
    <t>Coupling Tip Screwdriver 6cm</t>
  </si>
  <si>
    <t xml:space="preserve">قبغ برغي نيكل </t>
  </si>
  <si>
    <t>Cover Bolt Steel</t>
  </si>
  <si>
    <t xml:space="preserve">حجر كتر250mm PVC  </t>
  </si>
  <si>
    <t>Cutter PVC (CD) 250mm</t>
  </si>
  <si>
    <t>حجر كتر 350*3</t>
  </si>
  <si>
    <t>Cutter (CD) 230*3</t>
  </si>
  <si>
    <t xml:space="preserve">حجر كتر حديد 520ملم </t>
  </si>
  <si>
    <t>Cutter Iron (CD) 520mm</t>
  </si>
  <si>
    <t xml:space="preserve">حجر كتر  250ملم PVC </t>
  </si>
  <si>
    <t>كتر واير</t>
  </si>
  <si>
    <t>Cutter Wire 8"</t>
  </si>
  <si>
    <t xml:space="preserve"> حجر كتر ساندوج  بنل 10سم 250ملم </t>
  </si>
  <si>
    <t>Cutter Sandwich panel (CD) 10cm 250mm</t>
  </si>
  <si>
    <t xml:space="preserve"> حجر كتر ساندوج  بنل 5سم Bosch </t>
  </si>
  <si>
    <t xml:space="preserve">Cutter Sandwich panel (CD) 5cm </t>
  </si>
  <si>
    <t xml:space="preserve"> حجر كتر ساندوج  بنل 5سم Dewalt</t>
  </si>
  <si>
    <t>Cutter Sandwich panel (CD) 5cm Dewalt</t>
  </si>
  <si>
    <t xml:space="preserve"> حجر كتر ساندوج  بنل 5سم Somafix </t>
  </si>
  <si>
    <t>Cutter Sandwich panel (CD) 5cm Somafix</t>
  </si>
  <si>
    <t>برينة جك همر شيش ارضي ديوالت "1</t>
  </si>
  <si>
    <t>Dewalt Ground Rod Driver 1"</t>
  </si>
  <si>
    <t>نرمادة حديد</t>
  </si>
  <si>
    <t>Door Hinge Iron (Narmada)</t>
  </si>
  <si>
    <t>سركي باب</t>
  </si>
  <si>
    <t xml:space="preserve">Door latch </t>
  </si>
  <si>
    <t>Door Latch 16mm 60cm</t>
  </si>
  <si>
    <t>Door Latch Spring 18cm</t>
  </si>
  <si>
    <t>Door latch Spring Iron 30cm</t>
  </si>
  <si>
    <t xml:space="preserve">برينة دريل مغناطيس 12ملم </t>
  </si>
  <si>
    <t>Drilling Hole Magnetic 12mm</t>
  </si>
  <si>
    <t xml:space="preserve">برينة دريل مغناطيس 14ملم </t>
  </si>
  <si>
    <t>Drilling Hole Magnetic 14mm</t>
  </si>
  <si>
    <t xml:space="preserve">برينة دريل مغناطيس 16ملم </t>
  </si>
  <si>
    <t>Drilling Hole Magnetic 16mm</t>
  </si>
  <si>
    <t xml:space="preserve">برينة دريل مغناطيس 18ملم </t>
  </si>
  <si>
    <t>Drilling Hole Magnetic 18mm</t>
  </si>
  <si>
    <t xml:space="preserve">برينة دريل مغناطيس 20ملم </t>
  </si>
  <si>
    <t>Drilling Hole Magnetic 20mm</t>
  </si>
  <si>
    <t xml:space="preserve">برينة دريل مغناطيس 22ملم </t>
  </si>
  <si>
    <t>Drilling Hole Magnetic 22mm</t>
  </si>
  <si>
    <t xml:space="preserve">برينة دريل مغناطيس 24ملم </t>
  </si>
  <si>
    <t>Drilling Hole Magnetic 24mm</t>
  </si>
  <si>
    <t>درنفيس عادي  الماني</t>
  </si>
  <si>
    <t>Driver Scrow Normal</t>
  </si>
  <si>
    <t xml:space="preserve">بارود نوع هيلتي </t>
  </si>
  <si>
    <t xml:space="preserve">DX Cartridge 6.8/11 Red </t>
  </si>
  <si>
    <t>درنفيس فحص كهربائي</t>
  </si>
  <si>
    <t xml:space="preserve">Electric Test Screwdriver </t>
  </si>
  <si>
    <t xml:space="preserve">يدة لحام حارايطالي </t>
  </si>
  <si>
    <t>Electrical Holder (Handle Welding )</t>
  </si>
  <si>
    <t>فخة نجارين 60سم</t>
  </si>
  <si>
    <t>F Bar clamp 60cm</t>
  </si>
  <si>
    <t>فخة نجارين 120سم</t>
  </si>
  <si>
    <t>F clamp 120cm</t>
  </si>
  <si>
    <t>فيشر بلاستك</t>
  </si>
  <si>
    <t xml:space="preserve">Fisher Plastic  8mm </t>
  </si>
  <si>
    <t xml:space="preserve">زاوية تثبيت اثاث 10 سم </t>
  </si>
  <si>
    <t>Furniture fixing angle 10 cm</t>
  </si>
  <si>
    <t xml:space="preserve">زاوية تثبيت اثاث 3*3 سم </t>
  </si>
  <si>
    <t>Furniture fixing angle 3*3 cm</t>
  </si>
  <si>
    <t xml:space="preserve">زاوية تثبيت اثاث 4*4 سم </t>
  </si>
  <si>
    <t>Furniture fixing angle 4*4 cm</t>
  </si>
  <si>
    <t xml:space="preserve">مقص حديقة </t>
  </si>
  <si>
    <t>Garden  Scissors</t>
  </si>
  <si>
    <t xml:space="preserve">قطعة بلاستيك صغيرة لمكينة ماكما </t>
  </si>
  <si>
    <t xml:space="preserve">Geka 36 Diffuser White Teflon Magma </t>
  </si>
  <si>
    <t>حجر كوسرة 115*3</t>
  </si>
  <si>
    <t>Grinder Cutter (CD) 115*3</t>
  </si>
  <si>
    <t>حجر كوسرة 115*6</t>
  </si>
  <si>
    <t>Grinder Cutter (CD) 115*6</t>
  </si>
  <si>
    <t>حجر كوسرة 230*3</t>
  </si>
  <si>
    <t>Grinder Cutter (CD) 230*3</t>
  </si>
  <si>
    <t>حجر كوسرة 230 *6</t>
  </si>
  <si>
    <t>Grinder Cutter (CD) 230*6</t>
  </si>
  <si>
    <t>حجر كتر حديد</t>
  </si>
  <si>
    <t>Grinder Cutter (CD) 3*350</t>
  </si>
  <si>
    <t>حجر كتر كبير 520*4*40</t>
  </si>
  <si>
    <t>Grinder Cutter (CD) 520*4*40mm</t>
  </si>
  <si>
    <t>حجر كتر AEG  932-259-132</t>
  </si>
  <si>
    <t>Grinder Cutter (CD) AGE 2*120*150</t>
  </si>
  <si>
    <t>يدة باب حديد</t>
  </si>
  <si>
    <t xml:space="preserve">Handle Iron Door </t>
  </si>
  <si>
    <t xml:space="preserve">راس واير مكينة لحيم نوع كبير </t>
  </si>
  <si>
    <t>Head For Handle Welding magma</t>
  </si>
  <si>
    <t xml:space="preserve">راس واير مكينة لحيم نوع صغير </t>
  </si>
  <si>
    <t>Head For Handle Welding small</t>
  </si>
  <si>
    <t xml:space="preserve">برينة تخريم 100ملم </t>
  </si>
  <si>
    <t>Hole Saw  100mm</t>
  </si>
  <si>
    <t xml:space="preserve">برينة تخريم 110ملم </t>
  </si>
  <si>
    <t>Hole Saw  110mm</t>
  </si>
  <si>
    <t xml:space="preserve">برينة تخريم 120ملم </t>
  </si>
  <si>
    <t>Hole Saw  120mm</t>
  </si>
  <si>
    <t xml:space="preserve">برينة تخريم 16ملم </t>
  </si>
  <si>
    <t>Hole Saw  16mm</t>
  </si>
  <si>
    <t xml:space="preserve">برينة تخريم 18ملم </t>
  </si>
  <si>
    <t>Hole Saw  18mm</t>
  </si>
  <si>
    <t xml:space="preserve">برينة تخريم 20ملم </t>
  </si>
  <si>
    <t>Hole Saw  20mm</t>
  </si>
  <si>
    <t xml:space="preserve">برينة تخريم 22ملم </t>
  </si>
  <si>
    <t>Hole Saw  22mm</t>
  </si>
  <si>
    <t xml:space="preserve">برينة تخريم 24ملم </t>
  </si>
  <si>
    <t>Hole Saw  24mm</t>
  </si>
  <si>
    <t xml:space="preserve">برينة تخريم 25ملم </t>
  </si>
  <si>
    <t>Hole Saw  25mm</t>
  </si>
  <si>
    <t xml:space="preserve">برينة تخريم 26ملم </t>
  </si>
  <si>
    <t>Hole Saw  26mm</t>
  </si>
  <si>
    <t xml:space="preserve">برينة تخريم 28ملم </t>
  </si>
  <si>
    <t>Hole Saw  28mm</t>
  </si>
  <si>
    <t xml:space="preserve">برينة تخريم 30ملم </t>
  </si>
  <si>
    <t>Hole Saw  30mm</t>
  </si>
  <si>
    <t xml:space="preserve">برينة تخريم 32ملم </t>
  </si>
  <si>
    <t>Hole Saw  32mm</t>
  </si>
  <si>
    <t xml:space="preserve">برينة تخريم 35ملم </t>
  </si>
  <si>
    <t>Hole Saw  35mm</t>
  </si>
  <si>
    <t xml:space="preserve">برينة تخريم 38ملم </t>
  </si>
  <si>
    <t>Hole Saw  38mm</t>
  </si>
  <si>
    <t xml:space="preserve">برينة تخريم 40ملم </t>
  </si>
  <si>
    <t>Hole Saw  40mm</t>
  </si>
  <si>
    <t xml:space="preserve">برينة تخريم 42ملم </t>
  </si>
  <si>
    <t>Hole Saw  42mm</t>
  </si>
  <si>
    <t xml:space="preserve">برينة تخريم 45ملم </t>
  </si>
  <si>
    <t>Hole Saw  45mm</t>
  </si>
  <si>
    <t xml:space="preserve">برينة تخريم 48ملم </t>
  </si>
  <si>
    <t>Hole Saw  48mm</t>
  </si>
  <si>
    <t xml:space="preserve">برينة تخريم 50ملم </t>
  </si>
  <si>
    <t>Hole Saw  50mm</t>
  </si>
  <si>
    <t xml:space="preserve">برينة تخريم 55ملم </t>
  </si>
  <si>
    <t>Hole Saw  54mm</t>
  </si>
  <si>
    <t>Hole Saw  55mm</t>
  </si>
  <si>
    <t xml:space="preserve">برينة تخريم 60ملم </t>
  </si>
  <si>
    <t>Hole Saw  60mm</t>
  </si>
  <si>
    <t xml:space="preserve">برينة تخريم 65ملم </t>
  </si>
  <si>
    <t>Hole Saw  65mm</t>
  </si>
  <si>
    <t xml:space="preserve">برينة تخريم 70ملم </t>
  </si>
  <si>
    <t>Hole Saw  70mm</t>
  </si>
  <si>
    <t xml:space="preserve">برينة تخريم 75ملم </t>
  </si>
  <si>
    <t>Hole Saw  75mm</t>
  </si>
  <si>
    <t xml:space="preserve">برينة تخريم 80ملم </t>
  </si>
  <si>
    <t>Hole Saw  80mm</t>
  </si>
  <si>
    <t xml:space="preserve">برينة تخريم 85ملم </t>
  </si>
  <si>
    <t>Hole Saw  85mm</t>
  </si>
  <si>
    <t xml:space="preserve">برينة تخريم 90ملم </t>
  </si>
  <si>
    <t>Hole Saw  90mm</t>
  </si>
  <si>
    <t xml:space="preserve">برينة تخريم 95ملم </t>
  </si>
  <si>
    <t>Hole Saw  95mm</t>
  </si>
  <si>
    <t>برينة تخريم 20ملم  خشب</t>
  </si>
  <si>
    <t>Hole Saw 20mm wood</t>
  </si>
  <si>
    <t>برينة تخريم 22ملم  خشب</t>
  </si>
  <si>
    <t>Hole Saw 22mm wood</t>
  </si>
  <si>
    <t>برينة تخريم25ملم  خشب</t>
  </si>
  <si>
    <t>Hole Saw 25mm wood</t>
  </si>
  <si>
    <t>برينة تخريم 30ملم  خشب</t>
  </si>
  <si>
    <t>Hole Saw 30mm wood</t>
  </si>
  <si>
    <t>برينة تخريم 35ملم  خشب</t>
  </si>
  <si>
    <t>Hole Saw 35mm wood</t>
  </si>
  <si>
    <t>برينة تخريم 40ملم  خشب</t>
  </si>
  <si>
    <t>Hole Saw 40mm wood</t>
  </si>
  <si>
    <t>برينة تخريم 50ملم  خشب</t>
  </si>
  <si>
    <t>Hole Saw 50mm wood</t>
  </si>
  <si>
    <t>برينة تخريم 55ملم  خشب</t>
  </si>
  <si>
    <t>Hole Saw 55mm wood</t>
  </si>
  <si>
    <t>برينة تخريم 60ملم  خشب</t>
  </si>
  <si>
    <t>Hole Saw 60mm wood</t>
  </si>
  <si>
    <t>برينة تخريم 70ملم  خشب</t>
  </si>
  <si>
    <t>Hole Saw 70mm wood</t>
  </si>
  <si>
    <t>برينة تخريم 75 ملم  خشب</t>
  </si>
  <si>
    <t>Hole Saw 75mm wood</t>
  </si>
  <si>
    <t>برينة تخريم 120 ملم  خشب</t>
  </si>
  <si>
    <t>Hole Saw 120mm wood</t>
  </si>
  <si>
    <t xml:space="preserve">برينة تخريم سقف ثانوي 120ملم </t>
  </si>
  <si>
    <t>Hole Saw Secondary  120mm</t>
  </si>
  <si>
    <t>جكوج</t>
  </si>
  <si>
    <t xml:space="preserve">Hummer </t>
  </si>
  <si>
    <t xml:space="preserve">جكوج ربل </t>
  </si>
  <si>
    <t>Hummer Rubber</t>
  </si>
  <si>
    <t xml:space="preserve">برغي راس برينة حديد 10سم طول </t>
  </si>
  <si>
    <t>Iron Bolt 10cm 1k</t>
  </si>
  <si>
    <t xml:space="preserve">برغي راس برينة حديد 5سم طول </t>
  </si>
  <si>
    <t>Iron Bolt 5cm 1k</t>
  </si>
  <si>
    <t xml:space="preserve">برغي راس برينة حديد 8سم طول </t>
  </si>
  <si>
    <t>Iron Bolt 8cm 1k</t>
  </si>
  <si>
    <t xml:space="preserve">يدة باب حديد </t>
  </si>
  <si>
    <t>Iron door handle</t>
  </si>
  <si>
    <t xml:space="preserve">Iron Door latch </t>
  </si>
  <si>
    <t>مبرد حديد "8</t>
  </si>
  <si>
    <t>Iron File 8" Orderly</t>
  </si>
  <si>
    <t>Iron File 8" Somafix SFX 5259</t>
  </si>
  <si>
    <t>فيشر حديد  8ملم</t>
  </si>
  <si>
    <t xml:space="preserve">Iron Fisher  8mm </t>
  </si>
  <si>
    <t>فيشر حديد 10 ملم</t>
  </si>
  <si>
    <t xml:space="preserve">Iron Fisher  10mm </t>
  </si>
  <si>
    <t xml:space="preserve">زاوية حدادين 20*40سم </t>
  </si>
  <si>
    <t>Iron Ruler With Angle Bar Set Square</t>
  </si>
  <si>
    <t>سبرنك حديد 9 سم</t>
  </si>
  <si>
    <t>Iron Spring 9cm</t>
  </si>
  <si>
    <t xml:space="preserve">برينة حديد 10ملم </t>
  </si>
  <si>
    <t>Iron Tip Bits 10mm</t>
  </si>
  <si>
    <t xml:space="preserve">برينة حديد 12ملم </t>
  </si>
  <si>
    <t>Iron Tip Bits 12mm</t>
  </si>
  <si>
    <t xml:space="preserve">برينة حديد 14ملم </t>
  </si>
  <si>
    <t>Iron Tip Bits 14mm</t>
  </si>
  <si>
    <t xml:space="preserve">برينة حديد 16ملم </t>
  </si>
  <si>
    <t>Iron Tip Bits 16mm</t>
  </si>
  <si>
    <t xml:space="preserve">برينة حديد 18ملم </t>
  </si>
  <si>
    <t>Iron Tip Bits 18mm</t>
  </si>
  <si>
    <t xml:space="preserve">برينة حديد 20ملم </t>
  </si>
  <si>
    <t>Iron Tip Bits 20mm</t>
  </si>
  <si>
    <t xml:space="preserve">برينة حديد 3.5ملم </t>
  </si>
  <si>
    <t>Iron Tip Bits 3.5mm</t>
  </si>
  <si>
    <t xml:space="preserve">برينة حديد 3ملم </t>
  </si>
  <si>
    <t>Iron Tip Bits 3mm</t>
  </si>
  <si>
    <t xml:space="preserve">برينة حديد 4.5ملم </t>
  </si>
  <si>
    <t>Iron Tip Bits 4.5mm</t>
  </si>
  <si>
    <t xml:space="preserve">برينة حديد 4ملم </t>
  </si>
  <si>
    <t>Iron Tip Bits 4mm</t>
  </si>
  <si>
    <t xml:space="preserve">برينة حديد 5.5ملم </t>
  </si>
  <si>
    <t>Iron Tip Bits 5.5mm</t>
  </si>
  <si>
    <t xml:space="preserve">برينة حديد 5ملم </t>
  </si>
  <si>
    <t>Iron Tip Bits 5mm</t>
  </si>
  <si>
    <t xml:space="preserve">برينة حديد 6ملم </t>
  </si>
  <si>
    <t>Iron Tip Bits 6mm</t>
  </si>
  <si>
    <t xml:space="preserve">برينة حديد 8ملم </t>
  </si>
  <si>
    <t>Iron Tip Bits 8mm</t>
  </si>
  <si>
    <t>يدة سيت راجس اصلية</t>
  </si>
  <si>
    <t>key wrench dill</t>
  </si>
  <si>
    <t xml:space="preserve"> لقمة كبيرة مع هيم</t>
  </si>
  <si>
    <t>Large Holder With Him</t>
  </si>
  <si>
    <t xml:space="preserve">قايش تور كرين 3متر 4طن </t>
  </si>
  <si>
    <t>Lefting Straps Length 3mt 4ton</t>
  </si>
  <si>
    <t xml:space="preserve">قايش تور كرين 6متر 6طن </t>
  </si>
  <si>
    <t>Lefting Straps Length 6mt 6ton</t>
  </si>
  <si>
    <t xml:space="preserve">قايش تور كرين 6متر 8طن </t>
  </si>
  <si>
    <t>Lefting Straps Length 6mt 8ton</t>
  </si>
  <si>
    <t xml:space="preserve">قايش تور كرين 8متر 6طن </t>
  </si>
  <si>
    <t>Lefting Straps Length 8mt 6ton</t>
  </si>
  <si>
    <t>ستاند لفل</t>
  </si>
  <si>
    <t>Level Stand</t>
  </si>
  <si>
    <t>قفل كونتينر  (برادات)</t>
  </si>
  <si>
    <t xml:space="preserve">Lock Container </t>
  </si>
  <si>
    <t xml:space="preserve">قفل باب حديد </t>
  </si>
  <si>
    <t xml:space="preserve">Lock Iron Door 60mm </t>
  </si>
  <si>
    <t>كيلون باب حديد</t>
  </si>
  <si>
    <t>Lock Body Iron Door</t>
  </si>
  <si>
    <t xml:space="preserve">توصالة فحل مكينة لحيم كبيرة </t>
  </si>
  <si>
    <t>Male Coupling For Big Welding Machine</t>
  </si>
  <si>
    <t xml:space="preserve">توصالة فحل مكينة لحيم صغيرة </t>
  </si>
  <si>
    <t>Male Coupling For Small Welding Machine</t>
  </si>
  <si>
    <t xml:space="preserve"> يدة لحام ماكما co2+ ماء</t>
  </si>
  <si>
    <t>Magma Handle Welding co2+ water 3mt</t>
  </si>
  <si>
    <t xml:space="preserve"> يدة لحام ماكما co2+ هواء</t>
  </si>
  <si>
    <t>Magma Handle Welding co2+o2</t>
  </si>
  <si>
    <t>شفرة خشب يدوية</t>
  </si>
  <si>
    <t>Manual Wood Chisel 25mm</t>
  </si>
  <si>
    <t>سيت لقمة راجس مع سبانات 3/8</t>
  </si>
  <si>
    <t>Mechanics Cs Tool Set  TRUPER</t>
  </si>
  <si>
    <t>سيت لقمة راجس 25Pcs</t>
  </si>
  <si>
    <t xml:space="preserve">Mechanics CS Tool Set Budun </t>
  </si>
  <si>
    <t>سيت لقمة راجس مع سبانات</t>
  </si>
  <si>
    <t>Mechanics CS Tool Set CR-V</t>
  </si>
  <si>
    <t>مراية 60*45سم</t>
  </si>
  <si>
    <t>Mirror 60*45cm</t>
  </si>
  <si>
    <t xml:space="preserve">برينة خلط صبغ </t>
  </si>
  <si>
    <t>Paint Mixer Tip Bit</t>
  </si>
  <si>
    <t>سبيسرات بلاستك 7.5سم</t>
  </si>
  <si>
    <t>Norm Type Floor Cover 7.5cm Plastic</t>
  </si>
  <si>
    <t>برغي عادي 63 *3.5 ملم</t>
  </si>
  <si>
    <t>Normal Bolt 63 * 3.5mm</t>
  </si>
  <si>
    <t>مقص عادي</t>
  </si>
  <si>
    <t>Normal Scissors</t>
  </si>
  <si>
    <t>نت 10 ملم</t>
  </si>
  <si>
    <t xml:space="preserve">Nut 10mm </t>
  </si>
  <si>
    <t>نت 12 ملم</t>
  </si>
  <si>
    <t xml:space="preserve">Nut 12mm </t>
  </si>
  <si>
    <t>نت 14 ملم</t>
  </si>
  <si>
    <t xml:space="preserve">Nut 14mm </t>
  </si>
  <si>
    <t>نت 16 ملم</t>
  </si>
  <si>
    <t xml:space="preserve">Nut 16mm </t>
  </si>
  <si>
    <t>نت 20 ملم</t>
  </si>
  <si>
    <t xml:space="preserve">Nut 20mm </t>
  </si>
  <si>
    <t>نت 22 ملم</t>
  </si>
  <si>
    <t xml:space="preserve">Nut 22mm </t>
  </si>
  <si>
    <t>نت 27 ملم</t>
  </si>
  <si>
    <t xml:space="preserve">Nut 27mm </t>
  </si>
  <si>
    <t>نت فافون</t>
  </si>
  <si>
    <t>Nut Sandwich Panel (3*1/4)</t>
  </si>
  <si>
    <t xml:space="preserve">موس شفرة </t>
  </si>
  <si>
    <t>Paper Cutter Knife</t>
  </si>
  <si>
    <t xml:space="preserve"> بلايس "8 تولسن</t>
  </si>
  <si>
    <t>Pliers Tosen 8"</t>
  </si>
  <si>
    <t xml:space="preserve">رولت بولت وورث 16ملم 15سم </t>
  </si>
  <si>
    <t>Rawl Bolt 16mm 15cm Wurth</t>
  </si>
  <si>
    <t xml:space="preserve">رولت  بولط  8ملم  </t>
  </si>
  <si>
    <t>rawl bolt 8 mm</t>
  </si>
  <si>
    <t xml:space="preserve">رولت بولط 10ملم 10سم </t>
  </si>
  <si>
    <t>Rawl Bolts  10mm 10cm</t>
  </si>
  <si>
    <t xml:space="preserve">رولت بولط 16ملم 14سم </t>
  </si>
  <si>
    <t xml:space="preserve">Rawl Bolts  16mm 14cm </t>
  </si>
  <si>
    <t>رولت بولط 16ملم 15سم</t>
  </si>
  <si>
    <t xml:space="preserve">Rawl Bolts  16mm 15cm </t>
  </si>
  <si>
    <t>رولت بولط 16ملم 20سم</t>
  </si>
  <si>
    <t xml:space="preserve">Rawl Bolts  16mm 20cm </t>
  </si>
  <si>
    <t>رولت بولط 20ملم 20سم</t>
  </si>
  <si>
    <t xml:space="preserve">Rawl Bolts  20mm 20cm </t>
  </si>
  <si>
    <t>رولت بولط 20ملم 30سم</t>
  </si>
  <si>
    <t xml:space="preserve">Rawl Bolts  20mm 30cm </t>
  </si>
  <si>
    <t>رولت بولط 24ملم 25سم</t>
  </si>
  <si>
    <t xml:space="preserve">Rawl Bolts  24mm 25cm </t>
  </si>
  <si>
    <t xml:space="preserve">رولت بولط 10ملم 8سم </t>
  </si>
  <si>
    <t xml:space="preserve">Rawl Bolts 10mm 8cm </t>
  </si>
  <si>
    <t xml:space="preserve">رولت بولط 14ملم 15سم </t>
  </si>
  <si>
    <t>Rawl Bolts 14mm 15cm</t>
  </si>
  <si>
    <t xml:space="preserve">رولت بولط 8ملم 10سم </t>
  </si>
  <si>
    <t>Rawl Bolts 8mm   10cm</t>
  </si>
  <si>
    <t xml:space="preserve">رولت بولط 8ملم 8سم </t>
  </si>
  <si>
    <t>Rawl Bolts 8mm  8cm</t>
  </si>
  <si>
    <t>رولت بولط 10ملم 11.5سم</t>
  </si>
  <si>
    <t>Rawll Bolt 10 mm 11.5cm</t>
  </si>
  <si>
    <t>رولت بولط 10ملم16سم</t>
  </si>
  <si>
    <t>Rawll Bolt 10 mm 16cm</t>
  </si>
  <si>
    <t>رولت بولط 12ملم 12سم</t>
  </si>
  <si>
    <t>Rawll bolt 12 mm 12cm</t>
  </si>
  <si>
    <t xml:space="preserve">رولت بولط 14ملم 12سم </t>
  </si>
  <si>
    <t xml:space="preserve">Rawll Bolt 14 mm12cm </t>
  </si>
  <si>
    <t xml:space="preserve">رولت  بولط  16ملم  10سم </t>
  </si>
  <si>
    <t xml:space="preserve">Rawll bolt 16 mm 10cm </t>
  </si>
  <si>
    <t xml:space="preserve">رولت  بولط 20ملم  15سم </t>
  </si>
  <si>
    <t xml:space="preserve">Rawll bolt 20 mm 15cm </t>
  </si>
  <si>
    <t>حلقة ستيل واير 18 ملم</t>
  </si>
  <si>
    <t>Ring Steel Wire  18mm</t>
  </si>
  <si>
    <t xml:space="preserve">حلقة ستيل واير 10ملم  </t>
  </si>
  <si>
    <t>Ring Steel Wire 10mm</t>
  </si>
  <si>
    <t xml:space="preserve">حلقة ستيل واير 16ملم  </t>
  </si>
  <si>
    <t>Ring Steel Wire 16mm</t>
  </si>
  <si>
    <t xml:space="preserve">حلقة ستيل واير 20ملم  </t>
  </si>
  <si>
    <t>Ring Steel Wire 20mm</t>
  </si>
  <si>
    <t xml:space="preserve">حلقة ستيل واير 3ملم  </t>
  </si>
  <si>
    <t>Ring Steel Wire 3mm</t>
  </si>
  <si>
    <t xml:space="preserve">حلقة ستيل واير 5ملم  </t>
  </si>
  <si>
    <t>Ring Steel Wire 5mm</t>
  </si>
  <si>
    <t xml:space="preserve">حلقة ستيل واير 8ملم  </t>
  </si>
  <si>
    <t>Ring Steel Wire 8mm</t>
  </si>
  <si>
    <t xml:space="preserve">حلقة ستيل واير10ملم شكل U </t>
  </si>
  <si>
    <t>Ring Steel Wire U 10mm</t>
  </si>
  <si>
    <t xml:space="preserve">حلقة ستيل واير12ملم شكل U </t>
  </si>
  <si>
    <t>Ring Steel Wire U 12mm</t>
  </si>
  <si>
    <t xml:space="preserve">حلقة ستيل واير5/16ملم شكل U </t>
  </si>
  <si>
    <t>Ring Steel Wire U 5/16mm</t>
  </si>
  <si>
    <t xml:space="preserve">حلقة ستيل واير10ملم على شكل حرف U </t>
  </si>
  <si>
    <t>Ring U Steel Wire 10mm</t>
  </si>
  <si>
    <t>تونك</t>
  </si>
  <si>
    <t xml:space="preserve">Rivet 64 4.8*11mm  3"/16 </t>
  </si>
  <si>
    <t>حبل راجز  امريكي</t>
  </si>
  <si>
    <t xml:space="preserve">Rope Come </t>
  </si>
  <si>
    <t>واشر ربل ساندويج بنل</t>
  </si>
  <si>
    <t>Rubber washer sandwich panel</t>
  </si>
  <si>
    <t>مقص بوري كهرباء</t>
  </si>
  <si>
    <t>Scissors Electrical Pipe 33000</t>
  </si>
  <si>
    <t>مقص بليت تولسن</t>
  </si>
  <si>
    <t>Scissors Plate 10"</t>
  </si>
  <si>
    <t xml:space="preserve">Electric Tester Screwdriver </t>
  </si>
  <si>
    <t>درنفيس عدل فحص كهربائي</t>
  </si>
  <si>
    <t xml:space="preserve">Electric Tester Screwdriver flat head </t>
  </si>
  <si>
    <t>شكلة تحميل 3/4  4.75طن</t>
  </si>
  <si>
    <t>Shackles 3/4 4.75Ton</t>
  </si>
  <si>
    <t>شكلة تحميل 7/8  6.5طن</t>
  </si>
  <si>
    <t>Shackles 7/8 6.5Ton</t>
  </si>
  <si>
    <t>شكلة قفل</t>
  </si>
  <si>
    <t>Shackles lock</t>
  </si>
  <si>
    <t>ممة ماطور غسل</t>
  </si>
  <si>
    <t>Small Handle For Pump Washer</t>
  </si>
  <si>
    <t>زنجيل صغير ناعم ستيل 2م</t>
  </si>
  <si>
    <t>Small Iron Chain 2mt</t>
  </si>
  <si>
    <t xml:space="preserve">بليت تيغ  جكسة  صغيرة </t>
  </si>
  <si>
    <t xml:space="preserve">Small Jig Saw Blade </t>
  </si>
  <si>
    <t>قطعة بلاستك صغيرة ابيض لمكينة لحيم ماكما</t>
  </si>
  <si>
    <t xml:space="preserve">Small White Piece For Magma Machine </t>
  </si>
  <si>
    <t>وزان 100سم</t>
  </si>
  <si>
    <t>spirit level 100cm</t>
  </si>
  <si>
    <t>وزان 200سم</t>
  </si>
  <si>
    <t>spirit level 200cm</t>
  </si>
  <si>
    <t>وزان 30سم</t>
  </si>
  <si>
    <t>spirit level 30cm</t>
  </si>
  <si>
    <t>وزان 60سم</t>
  </si>
  <si>
    <t>spirit level 60cm</t>
  </si>
  <si>
    <t>مسطرة لفل</t>
  </si>
  <si>
    <t>Square Level</t>
  </si>
  <si>
    <t>شيش مسنن 10ملم هيلتي  1م</t>
  </si>
  <si>
    <t>steel Threaded Rod 10mm Hilti 1m</t>
  </si>
  <si>
    <t>شيش مسنن 20ملم هيلتي  1م</t>
  </si>
  <si>
    <t>steel Threaded Rod 20mm Hilti 1m</t>
  </si>
  <si>
    <t xml:space="preserve">ستيل واير 10ملم </t>
  </si>
  <si>
    <t>Steel Wire 10mm</t>
  </si>
  <si>
    <t xml:space="preserve">ستيل واير 16ملم </t>
  </si>
  <si>
    <t>Steel Wire16mm</t>
  </si>
  <si>
    <t xml:space="preserve">ستيل واير 19ملم </t>
  </si>
  <si>
    <t>Steel Wire19mm</t>
  </si>
  <si>
    <t xml:space="preserve">ستيل واير 8ملم </t>
  </si>
  <si>
    <t>Steel Wire 8mm</t>
  </si>
  <si>
    <t>ستيل واير 12 ملم</t>
  </si>
  <si>
    <t>Steel Wire 12mm</t>
  </si>
  <si>
    <t>حزاقة ستيل واير 10 ملم</t>
  </si>
  <si>
    <t>Steel Wire Rope Tension 10mm</t>
  </si>
  <si>
    <t>حزاقة ستيل واير 12 ملم</t>
  </si>
  <si>
    <t>Steel Wire Rope Tension 12mm</t>
  </si>
  <si>
    <t>حزاقة ستيل واير 14 ملم</t>
  </si>
  <si>
    <t>Steel Wire Rope Tension 14mm</t>
  </si>
  <si>
    <t>حزاقة ستيل واير 16 ملم</t>
  </si>
  <si>
    <t>Steel Wire Rope Tension 16mm</t>
  </si>
  <si>
    <t>حزاقة ستيل واير 18 ملم</t>
  </si>
  <si>
    <t>Steel Wire Rope Tension 18mm</t>
  </si>
  <si>
    <t>حزاقة ستيل واير 20 ملم</t>
  </si>
  <si>
    <t>Steel Wire Rope Tension 20mm</t>
  </si>
  <si>
    <t>حزاقة ستيل واير 22 ملم</t>
  </si>
  <si>
    <t>Steel Wire Rope Tension 22mm</t>
  </si>
  <si>
    <t>حزاقة ستيل واير 32 ملم</t>
  </si>
  <si>
    <t>Steel Wire Rope Tension 32mm</t>
  </si>
  <si>
    <t xml:space="preserve">برينة تخريم هرمية الشكل 4-20ملم   </t>
  </si>
  <si>
    <t xml:space="preserve">Step Drill Saw 4-20mm </t>
  </si>
  <si>
    <t>برينة هرمية</t>
  </si>
  <si>
    <t>Step Drill S.L</t>
  </si>
  <si>
    <t>فيتة 100م</t>
  </si>
  <si>
    <t>Tape Measure 100m</t>
  </si>
  <si>
    <t>فيتة 10م</t>
  </si>
  <si>
    <t>Tape Measure 10m</t>
  </si>
  <si>
    <t>Tape Measure 10m truper</t>
  </si>
  <si>
    <t>فيتة 30م</t>
  </si>
  <si>
    <t>Tape Measure 30m</t>
  </si>
  <si>
    <t>فيتة3م</t>
  </si>
  <si>
    <t>Tape Measure 3m</t>
  </si>
  <si>
    <t>فيتة 50م</t>
  </si>
  <si>
    <t>Tape Measure 50m</t>
  </si>
  <si>
    <t>فيتة 5م</t>
  </si>
  <si>
    <t>Tape Measure 5m</t>
  </si>
  <si>
    <t>فيتة 7.5م</t>
  </si>
  <si>
    <t>Tape Measure 7.5m</t>
  </si>
  <si>
    <t>فيتة 8م</t>
  </si>
  <si>
    <t>Tape Measure 8m</t>
  </si>
  <si>
    <t xml:space="preserve">شيش مسنن 1متر 16ملم هيلتي </t>
  </si>
  <si>
    <t>Threaded Rod  1mt 16mm Hilti</t>
  </si>
  <si>
    <t xml:space="preserve">شيش مسنن 14ملم 2متر </t>
  </si>
  <si>
    <t>Threaded Rod 14mm 2mt</t>
  </si>
  <si>
    <t xml:space="preserve">شيش مسنن 10ملم 1متر </t>
  </si>
  <si>
    <t>Threaded Rod 10mm 1mt</t>
  </si>
  <si>
    <t xml:space="preserve">شيش مسنن 10ملم 2متر </t>
  </si>
  <si>
    <t>Threaded Rod 10mm 2mt</t>
  </si>
  <si>
    <t xml:space="preserve">شيش مسنن 12ملم 1متر </t>
  </si>
  <si>
    <t>Threaded Rod 12mm 1mt</t>
  </si>
  <si>
    <t xml:space="preserve">شيش مسنن 12ملم 2متر </t>
  </si>
  <si>
    <t>Threaded Rod 12mm 2mt</t>
  </si>
  <si>
    <t xml:space="preserve">شيش مسنن 2ملم 5ملم مع نت 5ملم </t>
  </si>
  <si>
    <t>Threaded Rod 2mm 5mm With Nut 5mm</t>
  </si>
  <si>
    <t>برينة تنظيف حديد المازة</t>
  </si>
  <si>
    <t>Tip Bit Cleanner Iron</t>
  </si>
  <si>
    <t>برينة تنظيف حديد</t>
  </si>
  <si>
    <t>Tip Bit Cleanner Iron 16mm</t>
  </si>
  <si>
    <t>برينة دايس 12ملم</t>
  </si>
  <si>
    <t>Tip Bits Dais 12mm</t>
  </si>
  <si>
    <t>برينة دايس 5*0.8ملم</t>
  </si>
  <si>
    <t>Tip Bits Dais 5*0.8mm</t>
  </si>
  <si>
    <t>برينة لقمة 10 ملم</t>
  </si>
  <si>
    <t>Tip Bits Holder 10mm</t>
  </si>
  <si>
    <t>برينة لقمة 12 ملم</t>
  </si>
  <si>
    <t>Tip Bits Holder 12mm</t>
  </si>
  <si>
    <t>برينة لقمة 8/3 ملم</t>
  </si>
  <si>
    <t>Tip Bits Holder 8/3mm</t>
  </si>
  <si>
    <t>برينة درنفيس 75ملم PH2</t>
  </si>
  <si>
    <t>Tip Bits scerwdriver 75mm PH2</t>
  </si>
  <si>
    <t>برينة درنفيس نجمة</t>
  </si>
  <si>
    <t>Tip Bits scerwdrivers  star</t>
  </si>
  <si>
    <t>برينة تكسير دريل وسط</t>
  </si>
  <si>
    <t xml:space="preserve">Tip Scraping 25 cm </t>
  </si>
  <si>
    <t>تاير حديد باب دبل</t>
  </si>
  <si>
    <t>Tire Iron Double Door</t>
  </si>
  <si>
    <t>كريز مكينة ماكما</t>
  </si>
  <si>
    <t>oil for welding machine( magma)</t>
  </si>
  <si>
    <t>تاير حديد باب سنكل</t>
  </si>
  <si>
    <t>Tire Iron Single Door</t>
  </si>
  <si>
    <t>برينة لقمة 8 ملم</t>
  </si>
  <si>
    <t xml:space="preserve"> Tip Bits Holder 8mm</t>
  </si>
  <si>
    <t>برينة تفليش جك همر</t>
  </si>
  <si>
    <t xml:space="preserve">Tip Scraping 16" </t>
  </si>
  <si>
    <t>واشر 10ملم  قطر 5سم</t>
  </si>
  <si>
    <t>Washer 10mm</t>
  </si>
  <si>
    <t>واشر 12 ملم</t>
  </si>
  <si>
    <t>Washer 12mm</t>
  </si>
  <si>
    <t>واشر 14 ملم</t>
  </si>
  <si>
    <t>Washer 14mm</t>
  </si>
  <si>
    <t>واشر 16 ملم</t>
  </si>
  <si>
    <t xml:space="preserve">Washer 16mm </t>
  </si>
  <si>
    <t>واشر 20 ملم</t>
  </si>
  <si>
    <t>Washer 20mm</t>
  </si>
  <si>
    <t>واشر 22 ملم</t>
  </si>
  <si>
    <t>Washer 22mm</t>
  </si>
  <si>
    <t>واشر 34 ملم</t>
  </si>
  <si>
    <t xml:space="preserve">Washer 34mm </t>
  </si>
  <si>
    <t>واشر 5 ملم</t>
  </si>
  <si>
    <t>Washer 5mm</t>
  </si>
  <si>
    <t>واشر 6 ملم</t>
  </si>
  <si>
    <t>Washer 6mm</t>
  </si>
  <si>
    <t>يدة لحيم بارد</t>
  </si>
  <si>
    <t>Welding Hand+</t>
  </si>
  <si>
    <t xml:space="preserve">واير لحيم 1.2ملم  </t>
  </si>
  <si>
    <t>Welding Wire 1.2mm Magma</t>
  </si>
  <si>
    <t xml:space="preserve">واير لحيم  1ملم ماكما </t>
  </si>
  <si>
    <t>Welding Wire 1mm Magma</t>
  </si>
  <si>
    <t xml:space="preserve">واير لحيم 2.5ملم </t>
  </si>
  <si>
    <t xml:space="preserve">Welding Wire 2.5mm </t>
  </si>
  <si>
    <t xml:space="preserve">واير لحيم 3.2ملم </t>
  </si>
  <si>
    <t xml:space="preserve">Welding Wire 3.2mm </t>
  </si>
  <si>
    <t xml:space="preserve">واير لحيم 4ملم </t>
  </si>
  <si>
    <t xml:space="preserve">Welding Wire 4mm </t>
  </si>
  <si>
    <t>وينج سحب يدوي</t>
  </si>
  <si>
    <t>winch lifter manuel 2500LB</t>
  </si>
  <si>
    <t>قبغ برغي بلاستيك ابيض</t>
  </si>
  <si>
    <t>White Cover Bolts Plastic</t>
  </si>
  <si>
    <t>تيب وجهين</t>
  </si>
  <si>
    <t xml:space="preserve">Tape 2 sides </t>
  </si>
  <si>
    <t xml:space="preserve"> كتر واير</t>
  </si>
  <si>
    <t xml:space="preserve">wire cutter </t>
  </si>
  <si>
    <t>برغي خشب 100*6ملم</t>
  </si>
  <si>
    <t>Wood Bolt 100* 6mm</t>
  </si>
  <si>
    <t>برغي خشب 150*6ملم</t>
  </si>
  <si>
    <t>Wood Bolt 150* 6mm</t>
  </si>
  <si>
    <t>برغي خشب 18*4ملم</t>
  </si>
  <si>
    <t>برغي خشب 2*6ملم</t>
  </si>
  <si>
    <t>Wood Bolt 2* 6mm</t>
  </si>
  <si>
    <t>برغي خشب 4*6ملم</t>
  </si>
  <si>
    <t>Wood Bolt 4* 6mm</t>
  </si>
  <si>
    <t>برغي خشب 50*5ملم</t>
  </si>
  <si>
    <t>Wood Bolt 50* 5mm</t>
  </si>
  <si>
    <t>برغي خشب 60*6ملم</t>
  </si>
  <si>
    <t>Wood Bolt 60* 6mm</t>
  </si>
  <si>
    <t>برغي خشب 70*5ملم</t>
  </si>
  <si>
    <t>Wood Bolt 70* 5mm</t>
  </si>
  <si>
    <t>برغي خشب 80*6ملم</t>
  </si>
  <si>
    <t>Wood Bolt 80* 6mm</t>
  </si>
  <si>
    <t>بسمار خشب</t>
  </si>
  <si>
    <t>Wood Nails 1&amp;2&amp;3"</t>
  </si>
  <si>
    <t>زاوية 5*5 3 ملم</t>
  </si>
  <si>
    <t xml:space="preserve"> ANGLE 5*5*3MM  , 6mt</t>
  </si>
  <si>
    <t>زاوية 7*7 4 ملم</t>
  </si>
  <si>
    <t xml:space="preserve"> ANGLE 7*7*4MM  , 6mt</t>
  </si>
  <si>
    <t>زاوية 8*8 6 ملم</t>
  </si>
  <si>
    <t xml:space="preserve"> ANGLE 8*8*6MM  , 6mt</t>
  </si>
  <si>
    <t>GAL. Pipe  4*4*2MM</t>
  </si>
  <si>
    <t>بوري كلفنايز 4*6 سم 2 ملم</t>
  </si>
  <si>
    <t>GAL. Pipe  6*4*2MM</t>
  </si>
  <si>
    <t>GAL. Pipe 4*8*2MM</t>
  </si>
  <si>
    <t>Iron C CHANAL 10*5</t>
  </si>
  <si>
    <t>Iron C CHANAL 12*6</t>
  </si>
  <si>
    <t>Iron C CHANAL 16*6.5</t>
  </si>
  <si>
    <t>سي جنل حديد 18 سم</t>
  </si>
  <si>
    <t>Iron C CHANAL 18*7.5</t>
  </si>
  <si>
    <t>Iron C CHANAL 6*4</t>
  </si>
  <si>
    <t xml:space="preserve">بوري دائري كلفنايز 76ملم  3ملم 6متر </t>
  </si>
  <si>
    <t>Iron Pipe Round 3mm 76mm 6mt</t>
  </si>
  <si>
    <t xml:space="preserve"> شيش املس 30ملم 6متر </t>
  </si>
  <si>
    <t>Iron Rod Smooth 30mm 6m</t>
  </si>
  <si>
    <t>بوري 10 *10 سم 2 ملم</t>
  </si>
  <si>
    <t>Pipe 10*10*2MM</t>
  </si>
  <si>
    <t>Pipe 10*10*3MM</t>
  </si>
  <si>
    <t>Pipe 10*10*3mm , 8mt</t>
  </si>
  <si>
    <t>Pipe 10*10*5 MM</t>
  </si>
  <si>
    <t>Pipe 15*10*3MM</t>
  </si>
  <si>
    <t>Pipe 15*15*3MM</t>
  </si>
  <si>
    <t>بوري 2.5 *2.5 سم 2 ملم</t>
  </si>
  <si>
    <t>Pipe 2.5*2.5*2MM</t>
  </si>
  <si>
    <t>Pipe 20*10*4MM</t>
  </si>
  <si>
    <t>Pipe 20*20*3 MM</t>
  </si>
  <si>
    <t>Pipe 4*4*2MM</t>
  </si>
  <si>
    <t>Pipe 4*8*1.5MM</t>
  </si>
  <si>
    <t>Pipe 4*8*3MM</t>
  </si>
  <si>
    <t>بوري 5 *10 سم 2 ملم</t>
  </si>
  <si>
    <t>Pipe 5*10*2MM</t>
  </si>
  <si>
    <t>Pipe 5*10*3MM</t>
  </si>
  <si>
    <t>Pipe 5*10*3mm ,7.7mt</t>
  </si>
  <si>
    <t>Pipe 5*5*2MM</t>
  </si>
  <si>
    <t>Pipe 5*5*4MM</t>
  </si>
  <si>
    <t>بوري 6 *6 سم 2 ملم</t>
  </si>
  <si>
    <t>Pipe 6*6*2MM</t>
  </si>
  <si>
    <t>بوري 6 *6 سم 3 ملم</t>
  </si>
  <si>
    <t>Pipe 6*6*3MM</t>
  </si>
  <si>
    <t>Pipe 76mm * 1.5 mt</t>
  </si>
  <si>
    <t>بوري 8 *8 سم 2 ملم</t>
  </si>
  <si>
    <t>Pipe 8*8*2MM</t>
  </si>
  <si>
    <t>Pipe 8*8*3MM</t>
  </si>
  <si>
    <t>EA.</t>
  </si>
  <si>
    <t>Fnc Stores Inventory / جرد مخازن الشركة الوطنية الأولى</t>
  </si>
  <si>
    <t xml:space="preserve">Electrical Equipments Store / مخزن مواد الكهرباء </t>
  </si>
  <si>
    <t>PVC Store/ مخزن بي في سي والمنيوم</t>
  </si>
  <si>
    <t xml:space="preserve">مخزن معدات السلامة / Safety Store  </t>
  </si>
  <si>
    <t xml:space="preserve">مخزن ساندوج , بليوود , فاينل , اليكوبون /Sandwich , Plywood ,Vinyl &amp; Alucobond </t>
  </si>
  <si>
    <t xml:space="preserve">مخزن ساندوج , بليوود, فاينل , اليكوبون /Sandwich , Plywood Vinyl , Alucobond </t>
  </si>
  <si>
    <t xml:space="preserve">سليكون حراري </t>
  </si>
  <si>
    <t>PETK-1 ATEX for cold applied, in-box termination and power connection kit</t>
  </si>
  <si>
    <t>جوزة 2p 63A شنايدر</t>
  </si>
  <si>
    <t>Circuit Breaker 2P 63A 30° Schneider</t>
  </si>
  <si>
    <t xml:space="preserve">قاطع رباعي , 630A شنايدر </t>
  </si>
  <si>
    <t>MCCB 4P 630A Schneider</t>
  </si>
  <si>
    <t>جوزة ايرثلكج  ثنائي 20 امبير 50° شنايدر</t>
  </si>
  <si>
    <t>RCBO 2P 20A 50° Schneider</t>
  </si>
  <si>
    <t xml:space="preserve">جوزة ثنائي 16 امبير 50° شنادير </t>
  </si>
  <si>
    <t>Circuit Breaker 2P 16A 30° Schneider</t>
  </si>
  <si>
    <t xml:space="preserve">جوزة ثلاثي 63 امبير 30° شنادير </t>
  </si>
  <si>
    <t>Circuit Breaker 3P 63A 30° Schneider</t>
  </si>
  <si>
    <t>جوزة ايرثلكج رباعي ميرلين جيرن</t>
  </si>
  <si>
    <t>RCBO 4P 63A 30° merlin Gerin</t>
  </si>
  <si>
    <t xml:space="preserve">جوزة ايرقلكج رباعي 25 امبير </t>
  </si>
  <si>
    <t>RCBO 4P 25A Schneider</t>
  </si>
  <si>
    <t>بوكس بلاستيك فارغ 1باب  13*20*30</t>
  </si>
  <si>
    <t>Empty Box Plastic 13*20*30cm</t>
  </si>
  <si>
    <t>لايت قراءة مكتبي ليد</t>
  </si>
  <si>
    <t>Light Read Library LED 150W</t>
  </si>
  <si>
    <t>تايمر مثل الساعة</t>
  </si>
  <si>
    <t>Timer Th-189</t>
  </si>
  <si>
    <t>بوكس بلاستيك فارغ 1باب  17*40*50</t>
  </si>
  <si>
    <t>Empty Box Plastic 17*40*50cm</t>
  </si>
  <si>
    <t>بوكس بلاستيك  79*79*44</t>
  </si>
  <si>
    <t>Plastic Box  44*79*79cm</t>
  </si>
  <si>
    <t xml:space="preserve">قبغ بلاستك سويج  احادي </t>
  </si>
  <si>
    <t xml:space="preserve">Plastic Cover switch plug Box  </t>
  </si>
  <si>
    <t>سويج بلك حلاقين</t>
  </si>
  <si>
    <t xml:space="preserve">Barbers switch plug </t>
  </si>
  <si>
    <t xml:space="preserve"> بوكس سويج بلك حلاقين</t>
  </si>
  <si>
    <t xml:space="preserve">Barbers switch plug box </t>
  </si>
  <si>
    <t>كونكتر ارضي 10ملم ازرق واخضر</t>
  </si>
  <si>
    <t>Ground Connector 10mm blue + green</t>
  </si>
  <si>
    <t>هولدر فحص</t>
  </si>
  <si>
    <t xml:space="preserve">Holder Test </t>
  </si>
  <si>
    <t xml:space="preserve">تيرمينال 185ملم </t>
  </si>
  <si>
    <t>Terminal 185mm</t>
  </si>
  <si>
    <t xml:space="preserve">بوكس استراحة 10*11سم بلاستك رصاصي </t>
  </si>
  <si>
    <t>Junction Box 10*11 Plastic Gray</t>
  </si>
  <si>
    <t xml:space="preserve">بوكس استراحة 12.5*12.5سم حديد رصاصي </t>
  </si>
  <si>
    <t>Junction Box 12.5*12.5 iron</t>
  </si>
  <si>
    <t>ساحبة تعمل على الهواء</t>
  </si>
  <si>
    <t>Roof Ventilator ( not electrical )</t>
  </si>
  <si>
    <t>بلاجكتور 300 واط</t>
  </si>
  <si>
    <t>Projector 300w</t>
  </si>
  <si>
    <t>سبوت لايت جداري او سقفي هوروز + 23 7واط</t>
  </si>
  <si>
    <t xml:space="preserve"> Spot Light Wall Horoz 7W + 23w HL823L</t>
  </si>
  <si>
    <t>سبوت لايت 32واط</t>
  </si>
  <si>
    <t>Spot Light 32w Okang</t>
  </si>
  <si>
    <t xml:space="preserve"> كلوب إشارة ازرق احمر برتقالي</t>
  </si>
  <si>
    <t>Light Rotator small</t>
  </si>
  <si>
    <t>كلاند بوري كهرباء حديد 1 EMT</t>
  </si>
  <si>
    <t>Gland Pipe Iron Electrical 1" EMT 32mm</t>
  </si>
  <si>
    <t>كلاند صوندة فليكس مسلح 1"</t>
  </si>
  <si>
    <t>Flex Gland Hose Armor 1"</t>
  </si>
  <si>
    <t>كلاند صوندة فليكس مسلح 1.25"</t>
  </si>
  <si>
    <t>Flex Gland Hose Armor 1.25"</t>
  </si>
  <si>
    <t xml:space="preserve"> قفيص شيش ارضي نحاس  16ملم</t>
  </si>
  <si>
    <t>Clamp Ground Rod 1 screw 16mm</t>
  </si>
  <si>
    <t>كيبل انترنت ازرق</t>
  </si>
  <si>
    <t xml:space="preserve">Blue Internet Cable </t>
  </si>
  <si>
    <t xml:space="preserve">كيبل اسود 1.5*7ملم </t>
  </si>
  <si>
    <t xml:space="preserve">Black Cable 7 *1.5mm </t>
  </si>
  <si>
    <t xml:space="preserve">ساحبة LHV 190 </t>
  </si>
  <si>
    <t>Ventilator Type LHV 190 (Es )</t>
  </si>
  <si>
    <t>لايت قراءة هوروز hlg53</t>
  </si>
  <si>
    <t>Reading Light horoz hlg53</t>
  </si>
  <si>
    <t>كلوب فيليبس 120 واط</t>
  </si>
  <si>
    <t>Bulb Led Philips 120w</t>
  </si>
  <si>
    <t>Reading Light Library vito</t>
  </si>
  <si>
    <t>لايت قراءة مكتبي جداري ليد</t>
  </si>
  <si>
    <t xml:space="preserve">Reading Light Library wall horoz </t>
  </si>
  <si>
    <t>حساس دخان فيتو</t>
  </si>
  <si>
    <t>Smoke Detector Vito</t>
  </si>
  <si>
    <t>حمالة تراي كيبل حديد جداري 20سم</t>
  </si>
  <si>
    <t>Handle Iron Trunking Cable Wall  20cm</t>
  </si>
  <si>
    <t xml:space="preserve">تراي كيبل بلاستك 4*6 سم </t>
  </si>
  <si>
    <t>Trunking Cable 4*6cm Plastic</t>
  </si>
  <si>
    <t>غطاء  تراي كيبل حديد 50سم</t>
  </si>
  <si>
    <t>تراي كيبل حديد 50سم</t>
  </si>
  <si>
    <t>Iron Trunking Cable 50cm</t>
  </si>
  <si>
    <t>كفر تراي كيبل حديد 15سم</t>
  </si>
  <si>
    <t>Cover Iron Trunking Cable 15cm</t>
  </si>
  <si>
    <t>علامة خروج كبيرة مع بلاجكتور</t>
  </si>
  <si>
    <t>Exit sign with projector</t>
  </si>
  <si>
    <t>كفر تراي كيبل 8 سم بلاستك</t>
  </si>
  <si>
    <t xml:space="preserve">Cover Trunking Cable 8 cm plastic </t>
  </si>
  <si>
    <t xml:space="preserve"> تراي كيبل رصاصي 4.5*10سم بلاستك</t>
  </si>
  <si>
    <t xml:space="preserve">Gray Trunking Cable 4.5*10cm plastic </t>
  </si>
  <si>
    <t>حمالة تراي كيبل حديد جداري 5سم</t>
  </si>
  <si>
    <t>Handle Iron Trunking Cable Wall  5cm</t>
  </si>
  <si>
    <t xml:space="preserve">تراي كيبل حديد 15 سم </t>
  </si>
  <si>
    <t>Iron Trunking Cable 15cm</t>
  </si>
  <si>
    <t xml:space="preserve"> بورد كهرباء مطري 70خط حديد</t>
  </si>
  <si>
    <t>Waterproof Electrical board 70line Tempa Iron</t>
  </si>
  <si>
    <t xml:space="preserve"> بورد كهرباء مطري 24خط حديد</t>
  </si>
  <si>
    <t>Waterproof Electrical board 24line Schnider Iron</t>
  </si>
  <si>
    <t xml:space="preserve"> بورد كهرباء مطري 18خط  شنايدر خيمات حديد</t>
  </si>
  <si>
    <t>Waterproof Electrical board 18line Schnider Iron</t>
  </si>
  <si>
    <t>لايت بيضوي 24واط بي جي</t>
  </si>
  <si>
    <t>Light Oval 24W BG</t>
  </si>
  <si>
    <t>جنكشن بوكس رباعي بلاستك</t>
  </si>
  <si>
    <t>Junction box quadruple  20mm</t>
  </si>
  <si>
    <t>جنكشن بوكس ثنائي بلاستك</t>
  </si>
  <si>
    <t>Junction box Double  20mm</t>
  </si>
  <si>
    <t>بورد كهرباء حديد 60*40*21 سم</t>
  </si>
  <si>
    <t>Iron Electric board 21*40*60 cm</t>
  </si>
  <si>
    <t>بورد كهرباء حديد 50*40*20 سم</t>
  </si>
  <si>
    <t>Iron Electric board 20*40*50 cm</t>
  </si>
  <si>
    <t>صوندة فليكس عادي 32ملم كهرباء</t>
  </si>
  <si>
    <t>Hose Flex Normal 32 Electric</t>
  </si>
  <si>
    <t>صوندة فليكس مسلح 25ملم كهرباء</t>
  </si>
  <si>
    <t>Hose Flex Armor 25 Electric</t>
  </si>
  <si>
    <t>سويج بلك عادي دبل بي جي ايرثلكج</t>
  </si>
  <si>
    <t>Switch Plug Normal Double BG Nexux RCD</t>
  </si>
  <si>
    <t>سويج بلك عادي سنكل بي جي ايرثلكج</t>
  </si>
  <si>
    <t>Switch Plug Normal Single BG Nexux B55 RCD-01</t>
  </si>
  <si>
    <t>صوندة فليكس عادي 25ملم كهرباء</t>
  </si>
  <si>
    <t>Hose Flex Normal 25 Electric</t>
  </si>
  <si>
    <t>صوندة فليكس عادي 20ملم كهرباء</t>
  </si>
  <si>
    <t>Hose Flex Normal 20 Electric</t>
  </si>
  <si>
    <t>غطاء عكس تراي كيبل حديد 5سم</t>
  </si>
  <si>
    <t>Cover T  Iron Cable Trunking 5cm</t>
  </si>
  <si>
    <t>Detectors</t>
  </si>
  <si>
    <t>Fire System</t>
  </si>
  <si>
    <t>Cable Connectors</t>
  </si>
  <si>
    <t>other</t>
  </si>
  <si>
    <t>Heaters</t>
  </si>
  <si>
    <t>Bus Bar</t>
  </si>
  <si>
    <t>Ventilator</t>
  </si>
  <si>
    <t>Tape</t>
  </si>
  <si>
    <t>Switch plug</t>
  </si>
  <si>
    <t>Armor Cable</t>
  </si>
  <si>
    <t>Socket</t>
  </si>
  <si>
    <t xml:space="preserve">Grounding </t>
  </si>
  <si>
    <t>Contactors</t>
  </si>
  <si>
    <t>Boiler Hose</t>
  </si>
  <si>
    <t>socket</t>
  </si>
  <si>
    <t>Internet</t>
  </si>
  <si>
    <t>ventilator</t>
  </si>
  <si>
    <t>Pvc Fittings</t>
  </si>
  <si>
    <t>Upvc Fittings</t>
  </si>
  <si>
    <t>PPR Fittings</t>
  </si>
  <si>
    <t>Boiler</t>
  </si>
  <si>
    <t>Gal. Fittings</t>
  </si>
  <si>
    <t>Gaz. Fittings</t>
  </si>
  <si>
    <t>Agriculture Fittings</t>
  </si>
  <si>
    <t>Shower</t>
  </si>
  <si>
    <t>Other</t>
  </si>
  <si>
    <t>Wash Basin</t>
  </si>
  <si>
    <t>Toilet</t>
  </si>
  <si>
    <t>Clamp</t>
  </si>
  <si>
    <t>Hose</t>
  </si>
  <si>
    <t>Fire Fittings</t>
  </si>
  <si>
    <t>Draining</t>
  </si>
  <si>
    <t>مخزن صحيات / Plumbing Store</t>
  </si>
  <si>
    <t xml:space="preserve">مخزن معدات العمل / Work Tools Store   </t>
  </si>
  <si>
    <t>Item</t>
  </si>
  <si>
    <t>Unit price 
سعر الوحدة</t>
  </si>
  <si>
    <t>مكينة لحيم صغيرة</t>
  </si>
  <si>
    <t>Small Welding Machine MAKITA ARC 950</t>
  </si>
  <si>
    <t>كوسرة كبيرة ديوالت</t>
  </si>
  <si>
    <t>Grinder Machine Big Dewalt</t>
  </si>
  <si>
    <t>كوسرة صغيرة ديوالت</t>
  </si>
  <si>
    <t>كتر ساندوج بنل 10سم</t>
  </si>
  <si>
    <t>Cutter Sandwich panel 10cm Dewalt</t>
  </si>
  <si>
    <t>كتر حدادين ديوالت</t>
  </si>
  <si>
    <t>Cutter Smiths Dewalt</t>
  </si>
  <si>
    <t>كتر زاوية بي في سي ديوالت</t>
  </si>
  <si>
    <t>Cutter Angle PVC Dewalt</t>
  </si>
  <si>
    <t>فايبريتر كونكريت</t>
  </si>
  <si>
    <t>Concrete Vibrater</t>
  </si>
  <si>
    <t>منشار ديوالت كهربائي 18فولط</t>
  </si>
  <si>
    <t xml:space="preserve">Dewalt DCS371N-XJ Sierra De Banda  </t>
  </si>
  <si>
    <t xml:space="preserve">كوسرة كبيرة نوعية ماكيتا </t>
  </si>
  <si>
    <t>Big Grinder Machine Makita RED</t>
  </si>
  <si>
    <t xml:space="preserve">جكسة كبيرة شحن 560واط ديوالت </t>
  </si>
  <si>
    <t>Dewalt DCS380 M2</t>
  </si>
  <si>
    <t xml:space="preserve">دريل صغير كهرباء 750واط ديوالت </t>
  </si>
  <si>
    <t>Dewalt DWD024K</t>
  </si>
  <si>
    <t>دريل صغير كهرباء 701واط</t>
  </si>
  <si>
    <t>Dewalt DWD112S</t>
  </si>
  <si>
    <t>دريل صغير كهرباء 550واط</t>
  </si>
  <si>
    <t>Dewalt DWD014S</t>
  </si>
  <si>
    <t xml:space="preserve">دريل مغناطيسي ديوالت </t>
  </si>
  <si>
    <t>Dewalt DWE1622K</t>
  </si>
  <si>
    <t xml:space="preserve">دريل همر شحن ديوالت </t>
  </si>
  <si>
    <t>Dewalt DCH333X2</t>
  </si>
  <si>
    <t xml:space="preserve">دريل همر 950واط </t>
  </si>
  <si>
    <t xml:space="preserve">لفل ليزر </t>
  </si>
  <si>
    <t xml:space="preserve">laser level DW088K-B5 </t>
  </si>
  <si>
    <t xml:space="preserve">جك همر ديوالت </t>
  </si>
  <si>
    <t>Dewalt D25899K</t>
  </si>
  <si>
    <t xml:space="preserve">دريل همر وسط كهرباء ديوالت </t>
  </si>
  <si>
    <t>Dewalt D25133k</t>
  </si>
  <si>
    <t xml:space="preserve">بلور هواء شحن كبير </t>
  </si>
  <si>
    <t>Dewalt DCM562P1</t>
  </si>
  <si>
    <t xml:space="preserve">بلور هواء  </t>
  </si>
  <si>
    <t>Dewalt DWB800-B5 800W Var speed blower</t>
  </si>
  <si>
    <t xml:space="preserve">جكسة كهرباء صغيرة 500واط </t>
  </si>
  <si>
    <t>Dewalt DW349-ZA</t>
  </si>
  <si>
    <t xml:space="preserve">مسدس هواء حار </t>
  </si>
  <si>
    <t>Dewalt D26411</t>
  </si>
  <si>
    <t xml:space="preserve">جكسة كبيرة كهرباء 1100واط </t>
  </si>
  <si>
    <t>Dewalt DWE305PK</t>
  </si>
  <si>
    <t>كتر قص حديد</t>
  </si>
  <si>
    <t>Dewalt d28730-b5 shape handle 230mm 2200w</t>
  </si>
  <si>
    <t xml:space="preserve">كتر ساندوج بنل 235ملم </t>
  </si>
  <si>
    <t>Dewalt D23700</t>
  </si>
  <si>
    <t xml:space="preserve">دريل صغير 380واط ديوالت </t>
  </si>
  <si>
    <t>Dewalt DWD010</t>
  </si>
  <si>
    <t xml:space="preserve">دريل شحن 18واط </t>
  </si>
  <si>
    <t>Dewalt DCD7782</t>
  </si>
  <si>
    <t>بطارية دريل شحن 18واط  1.5 امبير</t>
  </si>
  <si>
    <t xml:space="preserve"> Battery Dewalt 18v , 1.5a</t>
  </si>
  <si>
    <t xml:space="preserve">كوسرة كبيرة 2000واط </t>
  </si>
  <si>
    <t xml:space="preserve">كوسرة صغيرة 900واط </t>
  </si>
  <si>
    <t xml:space="preserve">رندة خشب كهربائية </t>
  </si>
  <si>
    <t>مسدس بسمار كهربائي</t>
  </si>
  <si>
    <t xml:space="preserve">Electric Staple Gun </t>
  </si>
  <si>
    <t xml:space="preserve">كتر PVC انجيكو </t>
  </si>
  <si>
    <t>Cutter PVC Ingeco 1400w</t>
  </si>
  <si>
    <t xml:space="preserve">كتر PVC ديوالت </t>
  </si>
  <si>
    <t>Cutter PVC dewalt dws780-gb</t>
  </si>
  <si>
    <t xml:space="preserve">رندة صقل كهربائية </t>
  </si>
  <si>
    <t>Dewalt DWE6411</t>
  </si>
  <si>
    <t>بلور هواء</t>
  </si>
  <si>
    <t>Air Blower Meineng 9027</t>
  </si>
  <si>
    <t>دريل همر ديوالت D25413</t>
  </si>
  <si>
    <t xml:space="preserve">Dewalt D25413 </t>
  </si>
  <si>
    <t xml:space="preserve">كترخشب  ساندوج بنل 5ملم </t>
  </si>
  <si>
    <t>Dewalt DWE560</t>
  </si>
  <si>
    <t xml:space="preserve">قاطعة عشب تروبير 1.2حصان </t>
  </si>
  <si>
    <t>Cutter Brush DES-30R 1.2HP Truper</t>
  </si>
  <si>
    <t xml:space="preserve">رندة صقل رولة 800واط كهربائية </t>
  </si>
  <si>
    <t>Dewalt DW432</t>
  </si>
  <si>
    <t>مسدس بسمار نوع ديوالت شحن 20واط</t>
  </si>
  <si>
    <t>Nail Gun Dewalt DCN680D1</t>
  </si>
  <si>
    <t>بلورهواء حار</t>
  </si>
  <si>
    <t>Air Hot Blower Meakida</t>
  </si>
  <si>
    <t xml:space="preserve">حادلة مربع صغيرة روبين  </t>
  </si>
  <si>
    <t>Plate Compactor With EY-20 Engine Robin</t>
  </si>
  <si>
    <t>عازل صوف زجاجي 10سم  5*1.2m 6m²</t>
  </si>
  <si>
    <t xml:space="preserve">عازل صوف زجاجي 15سم   5 *1.2m 6m² </t>
  </si>
  <si>
    <t>Glass Wool Insulator Vinyl 15cm 5*1.2m 6m²</t>
  </si>
  <si>
    <t>Grinder Machine Small Dewalt DWE4010T</t>
  </si>
  <si>
    <t xml:space="preserve">جكسة صغيرة </t>
  </si>
  <si>
    <t xml:space="preserve">Small Jigsaw parkside parkside Pstd800b </t>
  </si>
  <si>
    <t>Dewalt D25334K</t>
  </si>
  <si>
    <t>Dewalt DWE492</t>
  </si>
  <si>
    <t>Dewalt DEW4120</t>
  </si>
  <si>
    <t>Dewalt D26676</t>
  </si>
  <si>
    <t xml:space="preserve">كيبل مسلح 5*50ملم  </t>
  </si>
  <si>
    <t>Mtr.</t>
  </si>
  <si>
    <t>Armoured Cable</t>
  </si>
  <si>
    <t>Roll 1</t>
  </si>
  <si>
    <t xml:space="preserve">كيبل 1*150ملم  </t>
  </si>
  <si>
    <t>Black Cable 1*150mm</t>
  </si>
  <si>
    <t xml:space="preserve">Normal Cable </t>
  </si>
  <si>
    <t>Roll 2</t>
  </si>
  <si>
    <t xml:space="preserve">كيبل 5*10ملم  </t>
  </si>
  <si>
    <t>Roll 3</t>
  </si>
  <si>
    <t xml:space="preserve">كيبل 5*16ملم  </t>
  </si>
  <si>
    <t>Roll 4</t>
  </si>
  <si>
    <t xml:space="preserve">كيبل 3*10ملم  </t>
  </si>
  <si>
    <t>Roll 5</t>
  </si>
  <si>
    <t>Roll 6</t>
  </si>
  <si>
    <t xml:space="preserve">كيبل 3*16ملم  </t>
  </si>
  <si>
    <t>Black Cable 3*16mm</t>
  </si>
  <si>
    <t>Roll 7</t>
  </si>
  <si>
    <t xml:space="preserve">كيبل 3*2.5ملم  </t>
  </si>
  <si>
    <t>Roll 8</t>
  </si>
  <si>
    <t xml:space="preserve">كيبل 3 * 10 ملم </t>
  </si>
  <si>
    <t>Roll 9</t>
  </si>
  <si>
    <t>Black Cable 5*4mm</t>
  </si>
  <si>
    <t>Roll 10</t>
  </si>
  <si>
    <t xml:space="preserve">كيبل 1 * 50 ملم </t>
  </si>
  <si>
    <t>Black Cable 1*50mm</t>
  </si>
  <si>
    <t>Roll 11</t>
  </si>
  <si>
    <t xml:space="preserve">كيبل 3 * 2.5 ملم </t>
  </si>
  <si>
    <t>Roll 12</t>
  </si>
  <si>
    <t>Roll 13</t>
  </si>
  <si>
    <t>Roll 14</t>
  </si>
  <si>
    <t xml:space="preserve">كيبل 5 * 10 ملم </t>
  </si>
  <si>
    <t>Roll 15</t>
  </si>
  <si>
    <t xml:space="preserve">كيبل 1 * 300 ملم </t>
  </si>
  <si>
    <t>Black Cable 1*300mm</t>
  </si>
  <si>
    <t>Roll 16</t>
  </si>
  <si>
    <t xml:space="preserve"> كيبل انترنت</t>
  </si>
  <si>
    <t xml:space="preserve">Communications Cable </t>
  </si>
  <si>
    <t>Roll 17</t>
  </si>
  <si>
    <t>Roll 18</t>
  </si>
  <si>
    <t xml:space="preserve">كيبل اتصالات </t>
  </si>
  <si>
    <t>Roll 19</t>
  </si>
  <si>
    <t xml:space="preserve">كيبل 5 * 16 ملم </t>
  </si>
  <si>
    <t>Roll 20</t>
  </si>
  <si>
    <t>Roll 21</t>
  </si>
  <si>
    <t xml:space="preserve">كيبل 4 * 240 ملم </t>
  </si>
  <si>
    <t>Black Cable 4*240mm</t>
  </si>
  <si>
    <t>Roll 22</t>
  </si>
  <si>
    <t xml:space="preserve">كيبل مسلح 4 * 16 ملم </t>
  </si>
  <si>
    <t>Roll 23</t>
  </si>
  <si>
    <t>Black Cable 4*120mm</t>
  </si>
  <si>
    <t>Roll 24</t>
  </si>
  <si>
    <t xml:space="preserve">كيبل 4 * 4 ملم </t>
  </si>
  <si>
    <t>Black Cable 4*4mm</t>
  </si>
  <si>
    <t>Roll 25</t>
  </si>
  <si>
    <t>Roll 26</t>
  </si>
  <si>
    <t xml:space="preserve">كيبل 4 * 120 ملم </t>
  </si>
  <si>
    <t>Roll 27</t>
  </si>
  <si>
    <t xml:space="preserve">كيبل 5 * 4 ملم </t>
  </si>
  <si>
    <t>Roll 28</t>
  </si>
  <si>
    <t>Roll 29</t>
  </si>
  <si>
    <t xml:space="preserve">كيبل 3 * 25 ملم </t>
  </si>
  <si>
    <t>Black Cable 3*25mm</t>
  </si>
  <si>
    <t>Roll 30</t>
  </si>
  <si>
    <t xml:space="preserve">كيبل 5 * 6 ملم </t>
  </si>
  <si>
    <t>Roll 31</t>
  </si>
  <si>
    <t>Roll 32</t>
  </si>
  <si>
    <t xml:space="preserve">كيبل 4 * 50 ملم </t>
  </si>
  <si>
    <t>Roll 33</t>
  </si>
  <si>
    <t xml:space="preserve">كيبل 4 * 16 ملم </t>
  </si>
  <si>
    <t>Roll 34</t>
  </si>
  <si>
    <t>Black Cable 5*6mm</t>
  </si>
  <si>
    <t>Roll 35</t>
  </si>
  <si>
    <t>Roll 36</t>
  </si>
  <si>
    <t>Roll 37</t>
  </si>
  <si>
    <t>Roll 38</t>
  </si>
  <si>
    <t xml:space="preserve">كيبل 3*95 + 50 ملم </t>
  </si>
  <si>
    <t>Black Cable 3*95+50mm</t>
  </si>
  <si>
    <t>Roll 39</t>
  </si>
  <si>
    <t xml:space="preserve">كيبل 3 * 70+35 ملم </t>
  </si>
  <si>
    <t>Black Cable 3*70+35mm</t>
  </si>
  <si>
    <t>Roll 40</t>
  </si>
  <si>
    <t>Roll 41</t>
  </si>
  <si>
    <t>Roll 42</t>
  </si>
  <si>
    <t>Roll 43</t>
  </si>
  <si>
    <t>Roll 44</t>
  </si>
  <si>
    <t>Roll 45</t>
  </si>
  <si>
    <t xml:space="preserve">كيبل 5 * 50 ملم </t>
  </si>
  <si>
    <t>Roll 46</t>
  </si>
  <si>
    <t>Roll 47</t>
  </si>
  <si>
    <t>Roll 48</t>
  </si>
  <si>
    <t>Roll 49</t>
  </si>
  <si>
    <t>Roll 50</t>
  </si>
  <si>
    <t>Roll 51</t>
  </si>
  <si>
    <t>Roll 52</t>
  </si>
  <si>
    <t>Roll 53</t>
  </si>
  <si>
    <t>Roll 54</t>
  </si>
  <si>
    <t>Roll 55</t>
  </si>
  <si>
    <t>Roll 56</t>
  </si>
  <si>
    <t xml:space="preserve">كيبل 4 * 6 ملم </t>
  </si>
  <si>
    <t>Black Cable 4*6mm</t>
  </si>
  <si>
    <t>Roll 57</t>
  </si>
  <si>
    <t xml:space="preserve">كيبل 5 * 35 ملم </t>
  </si>
  <si>
    <t>Roll 58</t>
  </si>
  <si>
    <t xml:space="preserve">كيبل 5 * 25 ملم </t>
  </si>
  <si>
    <t>Roll 59</t>
  </si>
  <si>
    <t xml:space="preserve">كيبل 1 * 240 ملم </t>
  </si>
  <si>
    <t>Roll 60</t>
  </si>
  <si>
    <t>Roll 61</t>
  </si>
  <si>
    <t>Roll 62</t>
  </si>
  <si>
    <t>Roll 63</t>
  </si>
  <si>
    <t>Roll 64</t>
  </si>
  <si>
    <t>Roll 65</t>
  </si>
  <si>
    <t xml:space="preserve">كيبل ارضي 50 ملم </t>
  </si>
  <si>
    <t>Ground Cable</t>
  </si>
  <si>
    <t>Roll 66</t>
  </si>
  <si>
    <t xml:space="preserve">كيبل ارضي 25 ملم </t>
  </si>
  <si>
    <t>Ground Cable 25mm</t>
  </si>
  <si>
    <t>Roll 67</t>
  </si>
  <si>
    <t xml:space="preserve">كيبل 2 * 6 ملم </t>
  </si>
  <si>
    <t>Black Cable 2*6mm</t>
  </si>
  <si>
    <t>Roll 68</t>
  </si>
  <si>
    <t xml:space="preserve">كيبل ارضي 35 ملم </t>
  </si>
  <si>
    <t>Ground Cable 35mm</t>
  </si>
  <si>
    <t>Roll 69</t>
  </si>
  <si>
    <t>Roll 70</t>
  </si>
  <si>
    <t xml:space="preserve">كيبل 3 * 4 ملم </t>
  </si>
  <si>
    <t>Roll 71</t>
  </si>
  <si>
    <t>Roll 72</t>
  </si>
  <si>
    <t>Fiber Optic Cable</t>
  </si>
  <si>
    <t xml:space="preserve">كيبل 3 * 16 ملم </t>
  </si>
  <si>
    <t>Black Cable 4*16mm</t>
  </si>
  <si>
    <t xml:space="preserve">كيبل 4 * 10 ملم </t>
  </si>
  <si>
    <t xml:space="preserve">كيبل 3 * 6 ملم </t>
  </si>
  <si>
    <t>Black Cable 3*6mm</t>
  </si>
  <si>
    <t xml:space="preserve">كيبل 5 * 70 ملم </t>
  </si>
  <si>
    <t xml:space="preserve">Blue Cable 3*25mm </t>
  </si>
  <si>
    <t>Black Cable 1*240mm</t>
  </si>
  <si>
    <t xml:space="preserve">كيبل 1 * 120 ملم </t>
  </si>
  <si>
    <t xml:space="preserve">كيبل 2 * 10 ملم </t>
  </si>
  <si>
    <t>Black Cable 2*10mm</t>
  </si>
  <si>
    <t xml:space="preserve">كيبل 5 * 2.5 ملم </t>
  </si>
  <si>
    <t>Black Cable 5*2.5mm</t>
  </si>
  <si>
    <t xml:space="preserve">كيبل 4 * 16+10 ملم </t>
  </si>
  <si>
    <t xml:space="preserve">كيبل 3  * 10+6 ملم </t>
  </si>
  <si>
    <t>Black Cable 3*10+6mm</t>
  </si>
  <si>
    <t xml:space="preserve">كيبل 4 * 25 ملم </t>
  </si>
  <si>
    <t>Black Cable 4*25mm</t>
  </si>
  <si>
    <t>سلم فايبركلاس  7باية A</t>
  </si>
  <si>
    <t>Step Ladder Fiberglass 7step A</t>
  </si>
  <si>
    <t>سلم فايبركلاس سلايت حبل  11م</t>
  </si>
  <si>
    <t>Step Ladder Slide 11mt Powerline</t>
  </si>
  <si>
    <t>سلم فايبركلاس  6باية A بورلاين احمر</t>
  </si>
  <si>
    <t>Step Ladder Fiberglass 5step A</t>
  </si>
  <si>
    <t xml:space="preserve"> سخان امريكان 303لتر</t>
  </si>
  <si>
    <t>Boiler 303Liter(American)</t>
  </si>
  <si>
    <t>Roll 73</t>
  </si>
  <si>
    <t>Roll 75</t>
  </si>
  <si>
    <t>لوفر مطري خارجي لساحبة  كاتا 160</t>
  </si>
  <si>
    <t>Plastic Cravty Lover lhv160</t>
  </si>
  <si>
    <t>واير ارضي 2.5 ملم</t>
  </si>
  <si>
    <t>لوفر مطري خارجي لساحبة  كاتا 225</t>
  </si>
  <si>
    <t>Plastic Cravty Lover lhv225</t>
  </si>
  <si>
    <t>فلين</t>
  </si>
  <si>
    <t>صوف زجاجي صغير رولات</t>
  </si>
  <si>
    <t>هيسكو  1*2م</t>
  </si>
  <si>
    <t>Hesco 1*2m 2cells</t>
  </si>
  <si>
    <t>هيسكو 1*5م</t>
  </si>
  <si>
    <t>Hesco 1*5m 5cells</t>
  </si>
  <si>
    <t>هيسكو 0.6*3م</t>
  </si>
  <si>
    <t>Hesco 0.6mt*3m 5cells</t>
  </si>
  <si>
    <t>هيسكو 0.6*1.2م</t>
  </si>
  <si>
    <t>Hesco 0.6*1.2m 2cells</t>
  </si>
  <si>
    <t>Black  cable 5*10mm</t>
  </si>
  <si>
    <t xml:space="preserve">غسالة مابي 19كيلو +11 كيلو </t>
  </si>
  <si>
    <t xml:space="preserve">Washing Machine Mabe 19k LMA79115V BC40 </t>
  </si>
  <si>
    <t xml:space="preserve">نشافة مابي 10-20كيلو  </t>
  </si>
  <si>
    <t>Dryer Machine Mabe 10-20k SME26N5XNBCTOO</t>
  </si>
  <si>
    <t>باب المنيوم 2*1 متر جاهز للتنصيب</t>
  </si>
  <si>
    <t xml:space="preserve">Aluminume Door 2*1mt (Ready to install ) </t>
  </si>
  <si>
    <t>باب PVC 2*1 متر جاهز للتنصيب</t>
  </si>
  <si>
    <t>PVC Door 2*1mt (Ready to install )</t>
  </si>
  <si>
    <t>باب PVC حمام  2* 0.8 متر جاهز للتنصيب</t>
  </si>
  <si>
    <t>PVC W.C Door 2*0.8mt (Ready to install )</t>
  </si>
  <si>
    <t>باب PVC حمام  2.1* 0.8 متر جاهز للتنصيب</t>
  </si>
  <si>
    <t>PVC W.C Door 2.1*0.8mt (Ready to install )</t>
  </si>
  <si>
    <t xml:space="preserve"> فريم ابيض مانع ذباب المنيوم</t>
  </si>
  <si>
    <t>White Frame Aluminium fly Blocker</t>
  </si>
  <si>
    <t>Mt.</t>
  </si>
  <si>
    <t xml:space="preserve">بسمار اندوفيلا 6ملم احمر </t>
  </si>
  <si>
    <t>Nail Onduvilla 6mm Red</t>
  </si>
  <si>
    <t xml:space="preserve">برغي اندوفيلا 10ملم احمر </t>
  </si>
  <si>
    <t>Bolt Onduvilla 10mm Red</t>
  </si>
  <si>
    <t xml:space="preserve">برغي اندوفيلا 6ملم قهوائي </t>
  </si>
  <si>
    <t>Bolt Onduvilla 6mm Brown</t>
  </si>
  <si>
    <t xml:space="preserve">بسمار اندوفيلا 8ملم احمر </t>
  </si>
  <si>
    <t>Nail Onduvilla 8mm Red</t>
  </si>
  <si>
    <t xml:space="preserve">بسمار اندوفيلا 8ملم اخضر </t>
  </si>
  <si>
    <t xml:space="preserve">Nail Onduline  8mm Green </t>
  </si>
  <si>
    <t xml:space="preserve">بسمار اندوفيلا 8ملم قهوائي </t>
  </si>
  <si>
    <t>Nail Onduvilla 8mm Brown</t>
  </si>
  <si>
    <t>Bolt Onduvilla 6mm Red</t>
  </si>
  <si>
    <t>بورد حديد داخلي 9 حط</t>
  </si>
  <si>
    <t>يونيون 1/2" PPR</t>
  </si>
  <si>
    <t>Union 1/2" PPR</t>
  </si>
  <si>
    <t xml:space="preserve">توصالة  1.25  كلفنايز </t>
  </si>
  <si>
    <t>Coupling 1.25" Galvanis</t>
  </si>
  <si>
    <t xml:space="preserve">حساس دخان باكيت ابيض </t>
  </si>
  <si>
    <t xml:space="preserve">Smoke Detector single station everday sd728 series </t>
  </si>
  <si>
    <t>Photoelectric smoke and heat alarm</t>
  </si>
  <si>
    <t xml:space="preserve">قفيص حديد بوري"3/4 دائري </t>
  </si>
  <si>
    <t>Pipe Circular Iron Clamp 3/4"</t>
  </si>
  <si>
    <t xml:space="preserve"> توصالة 2 PVC </t>
  </si>
  <si>
    <t>Coupling 2"PVC</t>
  </si>
  <si>
    <t>مصغرة "2.5 * "1.5 PVC تركي</t>
  </si>
  <si>
    <t xml:space="preserve">Reducer 2.5"*1.5" Turki </t>
  </si>
  <si>
    <t>تقسيم تي تركي 4"</t>
  </si>
  <si>
    <t>Split T Turki Pvc 4"</t>
  </si>
  <si>
    <t>تقسيم تي تركي 4" * 2.5"</t>
  </si>
  <si>
    <t>Split T Turki Pvc 4" * 2.5"</t>
  </si>
  <si>
    <t>Split Y Turki Pvc 4" * 2.5"</t>
  </si>
  <si>
    <t>مصغرة "4 * "6 PVC تركي</t>
  </si>
  <si>
    <t xml:space="preserve">Reducer 6"*4" Turki </t>
  </si>
  <si>
    <t>تقسيم تي تركي 6"</t>
  </si>
  <si>
    <t>Split T Turki Pvc 6"</t>
  </si>
  <si>
    <t>تقسيم واي تركي 6"</t>
  </si>
  <si>
    <t>Split Y Turki Pvc 6"</t>
  </si>
  <si>
    <t>مصغرة "4 * "8 PVC تركي</t>
  </si>
  <si>
    <t xml:space="preserve">Reducer 8"*4" Turki </t>
  </si>
  <si>
    <t>تقسيم تي تركي 8"</t>
  </si>
  <si>
    <t>Split T Turki Pvc 8"</t>
  </si>
  <si>
    <t>عكس 90  تركي 8"</t>
  </si>
  <si>
    <t>Elbow 90 Turki Pvc 8"</t>
  </si>
  <si>
    <t>Check Valve 1" Iron</t>
  </si>
  <si>
    <t>Check Valve 2" Iron</t>
  </si>
  <si>
    <t>Check Valve 2.5" Iron</t>
  </si>
  <si>
    <t>توصالة 5" PVC تركي</t>
  </si>
  <si>
    <t>توصالة  8" PVC تركي</t>
  </si>
  <si>
    <t>Coupling 8" PVC turkey with washer</t>
  </si>
  <si>
    <t>Cover Shakil 2" Iron</t>
  </si>
  <si>
    <t>Cover Shakil 4" Iron</t>
  </si>
  <si>
    <t xml:space="preserve">عكس "2.5 °45 PVC </t>
  </si>
  <si>
    <t>بوري "1/2 كاز حديد</t>
  </si>
  <si>
    <t>Iron Pipe 1/2" Gas</t>
  </si>
  <si>
    <t>بوري "1 كاز حديد</t>
  </si>
  <si>
    <t>Iron Pipe 1" Gas</t>
  </si>
  <si>
    <t>بوري "2 كاز حديد</t>
  </si>
  <si>
    <t>Iron Pipe 2" Gas</t>
  </si>
  <si>
    <t>بوري 3/4 كاز حديد</t>
  </si>
  <si>
    <t>Iron Pipe 3/4 Gas</t>
  </si>
  <si>
    <t>Nipple 1/4 Iron</t>
  </si>
  <si>
    <t>تقسيم تي تركي 2.5"</t>
  </si>
  <si>
    <t xml:space="preserve">Split T Turki Pvc 2.5" </t>
  </si>
  <si>
    <t xml:space="preserve">تقسيم واي 2.5" تركي </t>
  </si>
  <si>
    <t xml:space="preserve">Split Y Turki Pvc 2.5" </t>
  </si>
  <si>
    <t>رولت بولط 12ملم 10 + 11.5 سم</t>
  </si>
  <si>
    <t xml:space="preserve">Rawl Bolts  12mm 10 + 11.5 cm Hilti </t>
  </si>
  <si>
    <t xml:space="preserve">حساس دخان + حراري باكيت ابيض مع باتري </t>
  </si>
  <si>
    <t>واير احادي ازرق 2.5 ملم</t>
  </si>
  <si>
    <t>كلوب ليد 8 واط</t>
  </si>
  <si>
    <t>كوندكتر شنادبر 1125 امبير</t>
  </si>
  <si>
    <t>كوندكتر شنادبر 32 امبير</t>
  </si>
  <si>
    <t>كوندكتر شنادبر 40 امبير</t>
  </si>
  <si>
    <t>تيرمنال شوكي  2-4ملم</t>
  </si>
  <si>
    <t>تيرمنال شوكي 2.5-4 ملم</t>
  </si>
  <si>
    <t>تيرمنال شوكي  2.5ملم</t>
  </si>
  <si>
    <t>كيبل ارضي 70ملم</t>
  </si>
  <si>
    <t>كيبل ارضي 120ملم</t>
  </si>
  <si>
    <t>كيبل ارضي 25ملم</t>
  </si>
  <si>
    <t>كيبل ارضي 50ملم</t>
  </si>
  <si>
    <t>كيبل ارضي 95ملم</t>
  </si>
  <si>
    <t>كيبل ارضي 25ملم ستراند</t>
  </si>
  <si>
    <t>Junction Box 11*18 Plastic Gray</t>
  </si>
  <si>
    <t xml:space="preserve">Junction Box 7.5*7.5cm Gray </t>
  </si>
  <si>
    <t xml:space="preserve">Junction  Box 8*8cm Gray </t>
  </si>
  <si>
    <t>سويج سبلت سكامي 2 بول 32 امبير</t>
  </si>
  <si>
    <t>تراي كيبل حديد  10 سم</t>
  </si>
  <si>
    <t>تراي كيبل بلاستك 2* 2 سم</t>
  </si>
  <si>
    <t xml:space="preserve">سويج بلك اف تي ام </t>
  </si>
  <si>
    <t>عكس تراي كيبل حديد 60 سم</t>
  </si>
  <si>
    <t>Iron Electric board 9 Line schnider</t>
  </si>
  <si>
    <t>ادبتر سن خارجي 2.5" PPR</t>
  </si>
  <si>
    <t>Male Adpter 2.5"  PPR</t>
  </si>
  <si>
    <t xml:space="preserve">ادبتر سن داخلي "1.5 PPR </t>
  </si>
  <si>
    <t>Female adpeter 1.5" PPR</t>
  </si>
  <si>
    <t xml:space="preserve">ادبتر سن داخلي "2.5 PPR </t>
  </si>
  <si>
    <t>Female adpeter 2.5" PPR</t>
  </si>
  <si>
    <t>زاوية ابيض بلاستك 6 * 9 سم</t>
  </si>
  <si>
    <t>White Angle PVC 6cm * 9cm  6m</t>
  </si>
  <si>
    <t>Nos.</t>
  </si>
  <si>
    <t>Printer Inks 7835 (Cyan,Black,M</t>
  </si>
  <si>
    <t>Armoured Cable 5*50mm</t>
  </si>
  <si>
    <t>Armoured Cable 3*2.5mm</t>
  </si>
  <si>
    <t>Armoured Cable 5*4mm</t>
  </si>
  <si>
    <t>Armoured Cable 5*10mm</t>
  </si>
  <si>
    <t>Armoured Cable 4*16 mm</t>
  </si>
  <si>
    <t>Armoured Cable 4*240mm</t>
  </si>
  <si>
    <t>Armoured Cable 5*6mm</t>
  </si>
  <si>
    <t>Armoured Cable 4*16mm</t>
  </si>
  <si>
    <t>Armoured Cable 4*25mm</t>
  </si>
  <si>
    <t>Armoured Cable 5*16mm</t>
  </si>
  <si>
    <t>Armoured Cable 5*35mm</t>
  </si>
  <si>
    <t>Armoured Cable 5*25mm</t>
  </si>
  <si>
    <t>Armoured Cable 1*240mm</t>
  </si>
  <si>
    <t>Armoured Cable 1*300mm</t>
  </si>
  <si>
    <t>Armoured Cable 5*16 mm</t>
  </si>
  <si>
    <t>Armoured Cable 3*16mm</t>
  </si>
  <si>
    <t>Armoured Cable 3*10mm</t>
  </si>
  <si>
    <t>Armoured Cable 5*70mm</t>
  </si>
  <si>
    <t>Armoured Cable 1*120mm</t>
  </si>
  <si>
    <t>Armoured Cable 3*4mm</t>
  </si>
  <si>
    <t>Armoured Cable 4*16 +10mm</t>
  </si>
  <si>
    <t xml:space="preserve">Armoured Cable </t>
  </si>
  <si>
    <t xml:space="preserve">20% Discounted Price </t>
  </si>
  <si>
    <t>كابلات سقيفة المعمل (شبه مستعملة) /Outside Area Cables ( Like New )</t>
  </si>
  <si>
    <t>هيسكو 1.1*9.9 م</t>
  </si>
  <si>
    <t>Hesco 1.1*9.9 mt  9cells</t>
  </si>
  <si>
    <t>ستيكر بوش بار</t>
  </si>
  <si>
    <t xml:space="preserve"> Push Bar Sticker</t>
  </si>
  <si>
    <t>Nos</t>
  </si>
  <si>
    <t>مخزن حديد / Steel Store</t>
  </si>
  <si>
    <t xml:space="preserve"> لقمة المنيوم سلفر 6متر تجميع لزد شباك المنيوم </t>
  </si>
  <si>
    <t>Aluminium Holder Silver 6m window</t>
  </si>
  <si>
    <t xml:space="preserve"> تي شباك pvc</t>
  </si>
  <si>
    <t>T white window PVC</t>
  </si>
  <si>
    <t>ستيكر اليكوبون FNC 2023</t>
  </si>
  <si>
    <t>Sticker Alucoband FNC 2023</t>
  </si>
  <si>
    <t>ليفتينك بوينت كونتينرات</t>
  </si>
  <si>
    <t>Containers Lifting Point</t>
  </si>
  <si>
    <t>زاوية ابيض بلاستك 3 * 3 سم</t>
  </si>
  <si>
    <t>White Angle PVC 3cm * 3cm  3m</t>
  </si>
  <si>
    <t xml:space="preserve">كونكتر ثلاثي   WAGO </t>
  </si>
  <si>
    <t>Connector Tripple WAGO</t>
  </si>
  <si>
    <t>جوزة شنادير 2 بول ايرثلكج 32 امبير</t>
  </si>
  <si>
    <t>RCBO 2P 32A 50° Schneider</t>
  </si>
  <si>
    <t xml:space="preserve"> سخان امريكان 114 لتر</t>
  </si>
  <si>
    <t>Boiler 114Liter(American)</t>
  </si>
  <si>
    <t xml:space="preserve">بوري حديد 5*10 2ملم 7.7متر </t>
  </si>
  <si>
    <t>Iron Pipe 5*10 2mm 7.7m</t>
  </si>
  <si>
    <t>عربانة دفع تاير واحد</t>
  </si>
  <si>
    <t>Wagon Single Tire</t>
  </si>
  <si>
    <t xml:space="preserve">بليت 8 ملم 20*10 سم </t>
  </si>
  <si>
    <t xml:space="preserve">Plate 8mm 20*10cm  </t>
  </si>
  <si>
    <t>بليت 10 ملم قياسات مختلفة</t>
  </si>
  <si>
    <t>Plate 10mm</t>
  </si>
  <si>
    <t>بليت 12 ملم 20*34 سم</t>
  </si>
  <si>
    <t>Plate 12mm 20*34cm</t>
  </si>
  <si>
    <t>بليت 15 ملم 24*40 سم</t>
  </si>
  <si>
    <t>Plate 15mm  24*40cm</t>
  </si>
  <si>
    <t xml:space="preserve">شلمان 36 سم  12 متر </t>
  </si>
  <si>
    <t>I-BEAM 36</t>
  </si>
  <si>
    <t xml:space="preserve">شلمان 22 سم  12 متر </t>
  </si>
  <si>
    <t>I-BEAM 22</t>
  </si>
  <si>
    <t>بليت تعويج 3 ملم 6 متر 26*10.6*3سم</t>
  </si>
  <si>
    <t>Iron plate 3mm 6m 3*3*10.6*3</t>
  </si>
  <si>
    <t xml:space="preserve"> جوين فاينل رصاصي</t>
  </si>
  <si>
    <t>حاوية مغلون 1200 لتر</t>
  </si>
  <si>
    <t>Trash Cans 1200Lt</t>
  </si>
  <si>
    <t xml:space="preserve">ساندوج بنل سقفي ايراليكس 5سم 3م </t>
  </si>
  <si>
    <t>Roof sandwich panel  5cm 3m iralex</t>
  </si>
  <si>
    <t xml:space="preserve"> موب اصلي</t>
  </si>
  <si>
    <t xml:space="preserve">ACE Mop </t>
  </si>
  <si>
    <t xml:space="preserve">كونكتر خماسي   WAGO </t>
  </si>
  <si>
    <t>Connector five WAGO 221-0415</t>
  </si>
  <si>
    <t>بوشة مصغرة  1.5"*1.25" كلفنايز</t>
  </si>
  <si>
    <t>Reducer Bushing 1.5"*1.25" Galvanis</t>
  </si>
  <si>
    <t>ربل اسود لماسكة دبل المنيوم</t>
  </si>
  <si>
    <t xml:space="preserve">Black Rubber for Aluminium catch double 50mt </t>
  </si>
  <si>
    <t xml:space="preserve">كلاند بوري حديد 25ملم </t>
  </si>
  <si>
    <t>واير اصفر  2.5 ملم</t>
  </si>
  <si>
    <t>Cover Iron Cable Trunkin 50cm</t>
  </si>
  <si>
    <t>Type 
النوع</t>
  </si>
  <si>
    <t>ادوات</t>
  </si>
  <si>
    <t>اداوت</t>
  </si>
  <si>
    <t>انكر بولت</t>
  </si>
  <si>
    <t>براغي متنوع</t>
  </si>
  <si>
    <t>اغراض ابواب حديد</t>
  </si>
  <si>
    <t>احجار</t>
  </si>
  <si>
    <t>برغي لقمة</t>
  </si>
  <si>
    <t>برغي خشب</t>
  </si>
  <si>
    <t>برغي سمنت بورد</t>
  </si>
  <si>
    <t>متنوع</t>
  </si>
  <si>
    <t>بسامير</t>
  </si>
  <si>
    <t>ستيل واير</t>
  </si>
  <si>
    <t>برينة كونكريت</t>
  </si>
  <si>
    <t>اغراض لحيم</t>
  </si>
  <si>
    <t>برينة لقمة</t>
  </si>
  <si>
    <t>برينة متنوع</t>
  </si>
  <si>
    <t>برينة مغناطيس</t>
  </si>
  <si>
    <t>درنفيس</t>
  </si>
  <si>
    <t>برينة تخريم</t>
  </si>
  <si>
    <t>برينة حديد</t>
  </si>
  <si>
    <t>قايش</t>
  </si>
  <si>
    <t>لفل</t>
  </si>
  <si>
    <t>روت بولت</t>
  </si>
  <si>
    <t>شيش مسنن</t>
  </si>
  <si>
    <t>فيتة</t>
  </si>
  <si>
    <t>كلور باودر</t>
  </si>
  <si>
    <t>Chlorine Powder Spic 50k</t>
  </si>
  <si>
    <t>Pail</t>
  </si>
  <si>
    <t xml:space="preserve">واقي وجه يتركب على خوذة مع قاعدة </t>
  </si>
  <si>
    <t>ستيكر اليكوبون FNC 2022</t>
  </si>
  <si>
    <t>Sticker Alucoband FNC 2022</t>
  </si>
  <si>
    <t>ستيكر علامة خروج</t>
  </si>
  <si>
    <t>Exit Sticker</t>
  </si>
  <si>
    <t xml:space="preserve">نيون لد 4قدم روز </t>
  </si>
  <si>
    <t xml:space="preserve">Neon LED 4Foot Rozh </t>
  </si>
  <si>
    <t xml:space="preserve">توصالة 8" UPVC </t>
  </si>
  <si>
    <t>Coupling 8" UPVC</t>
  </si>
  <si>
    <t>Pipe 8" UPVC</t>
  </si>
  <si>
    <t xml:space="preserve">قفيص حديد بوري"8 دائري </t>
  </si>
  <si>
    <t>Pipe Circular Iron Clamp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</si>
</sst>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44" formatCode="_(&quot;$&quot;* #,##0.00_);_(&quot;$&quot;* \(#,##0.00\);_(&quot;$&quot;* &quot;-&quot;??_);_(@_)"/>
    <numFmt numFmtId="164" formatCode="[$-F800]dddd\,\ mmmm\ dd\,\ yyyy"/>
    <numFmt numFmtId="165" formatCode="&quot;$&quot;#,##0.00"/>
    <numFmt numFmtId="166" formatCode="&quot;$&quot;#,##0.0"/>
    <numFmt numFmtId="167" formatCode="0.0"/>
    <numFmt numFmtId="168" formatCode="_([$IQD]\ * #,##0_);_([$IQD]\ * \(#,##0\);_([$IQD]\ * &quot;-&quot;??_);_(@_)"/>
    <numFmt numFmtId="169" formatCode="_([$IQD]\ * #,##0.0_);_([$IQD]\ * \(#,##0.0\);_([$IQD]\ * &quot;-&quot;??_);_(@_)"/>
    <numFmt numFmtId="170" formatCode="0.000"/>
  </numFmts>
  <fonts count="52">
    <font>
      <sz val="11"/>
      <color theme="1"/>
      <name val="Calibri"/>
      <family val="2"/>
      <scheme val="minor"/>
    </font>
    <font>
      <sz val="11"/>
      <color theme="1"/>
      <name val="Calibri"/>
      <family val="2"/>
      <scheme val="minor"/>
    </font>
    <font>
      <sz val="16"/>
      <color theme="1"/>
      <name val="Calibri"/>
      <family val="2"/>
      <scheme val="minor"/>
    </font>
    <font>
      <b/>
      <sz val="18"/>
      <color rgb="FFFF0000"/>
      <name val="Calibri"/>
      <family val="2"/>
      <scheme val="minor"/>
    </font>
    <font>
      <b/>
      <sz val="18"/>
      <color theme="1"/>
      <name val="Calibri"/>
      <family val="2"/>
      <scheme val="minor"/>
    </font>
    <font>
      <b/>
      <sz val="24"/>
      <color theme="1"/>
      <name val="AL-Majd"/>
      <charset val="178"/>
    </font>
    <font>
      <b/>
      <sz val="24"/>
      <color theme="1" tint="0.249977111117893"/>
      <name val="Calibri"/>
      <family val="2"/>
      <scheme val="minor"/>
    </font>
    <font>
      <b/>
      <sz val="26"/>
      <color theme="1" tint="0.249977111117893"/>
      <name val="Agency FB"/>
      <family val="2"/>
    </font>
    <font>
      <b/>
      <sz val="28"/>
      <color theme="1" tint="0.249977111117893"/>
      <name val="Agency FB"/>
      <family val="2"/>
    </font>
    <font>
      <b/>
      <sz val="18"/>
      <color theme="1" tint="0.249977111117893"/>
      <name val="Agency FB"/>
      <family val="2"/>
    </font>
    <font>
      <b/>
      <sz val="18"/>
      <color theme="2" tint="-0.749992370372631"/>
      <name val="Agency FB"/>
      <family val="2"/>
    </font>
    <font>
      <b/>
      <sz val="18"/>
      <color theme="1" tint="0.249977111117893"/>
      <name val="Calibri"/>
      <family val="2"/>
      <scheme val="minor"/>
    </font>
    <font>
      <sz val="18"/>
      <color theme="4" tint="-0.249977111117893"/>
      <name val="Calibri"/>
      <family val="2"/>
      <scheme val="minor"/>
    </font>
    <font>
      <b/>
      <sz val="16"/>
      <color theme="1"/>
      <name val="Calibri"/>
      <family val="2"/>
      <scheme val="minor"/>
    </font>
    <font>
      <b/>
      <sz val="18"/>
      <color rgb="FF00B050"/>
      <name val="Calibri"/>
      <family val="2"/>
      <scheme val="minor"/>
    </font>
    <font>
      <b/>
      <sz val="20"/>
      <name val="Calibri"/>
      <family val="2"/>
      <scheme val="minor"/>
    </font>
    <font>
      <b/>
      <sz val="26"/>
      <color theme="1"/>
      <name val="Calibri"/>
      <family val="2"/>
      <scheme val="minor"/>
    </font>
    <font>
      <sz val="18"/>
      <color theme="1"/>
      <name val="Calibri"/>
      <family val="2"/>
      <scheme val="minor"/>
    </font>
    <font>
      <b/>
      <sz val="20"/>
      <color theme="1"/>
      <name val="Calibri"/>
      <family val="2"/>
      <scheme val="minor"/>
    </font>
    <font>
      <sz val="11"/>
      <color rgb="FFFF0000"/>
      <name val="Calibri"/>
      <family val="2"/>
      <scheme val="minor"/>
    </font>
    <font>
      <b/>
      <sz val="11"/>
      <color theme="1"/>
      <name val="Calibri"/>
      <family val="2"/>
      <scheme val="minor"/>
    </font>
    <font>
      <b/>
      <sz val="22"/>
      <color theme="1"/>
      <name val="AL-Majd"/>
      <charset val="178"/>
    </font>
    <font>
      <b/>
      <i/>
      <sz val="24"/>
      <color theme="1"/>
      <name val="Calibri"/>
      <family val="2"/>
      <scheme val="minor"/>
    </font>
    <font>
      <b/>
      <i/>
      <sz val="28"/>
      <color theme="2" tint="-0.89999084444715716"/>
      <name val="Calibri"/>
      <family val="2"/>
      <scheme val="minor"/>
    </font>
    <font>
      <b/>
      <i/>
      <sz val="36"/>
      <color theme="2" tint="-0.89999084444715716"/>
      <name val="Agency FB"/>
      <family val="2"/>
    </font>
    <font>
      <b/>
      <i/>
      <sz val="20"/>
      <color theme="2" tint="-0.89999084444715716"/>
      <name val="Calibri"/>
      <family val="2"/>
      <scheme val="minor"/>
    </font>
    <font>
      <b/>
      <i/>
      <sz val="20"/>
      <color theme="1"/>
      <name val="Calibri"/>
      <family val="2"/>
      <scheme val="minor"/>
    </font>
    <font>
      <b/>
      <sz val="11"/>
      <color rgb="FF0070C0"/>
      <name val="Calibri"/>
      <family val="2"/>
      <scheme val="minor"/>
    </font>
    <font>
      <b/>
      <sz val="11"/>
      <color rgb="FFFF0000"/>
      <name val="Calibri"/>
      <family val="2"/>
      <scheme val="minor"/>
    </font>
    <font>
      <b/>
      <sz val="18"/>
      <color theme="4" tint="-0.249977111117893"/>
      <name val="Calibri"/>
      <family val="2"/>
      <scheme val="minor"/>
    </font>
    <font>
      <b/>
      <sz val="18"/>
      <name val="Calibri"/>
      <family val="2"/>
      <scheme val="minor"/>
    </font>
    <font>
      <b/>
      <sz val="26"/>
      <color theme="1"/>
      <name val="AL-Majd"/>
      <charset val="178"/>
    </font>
    <font>
      <b/>
      <sz val="36"/>
      <color theme="1"/>
      <name val="Agency FB"/>
      <family val="2"/>
    </font>
    <font>
      <b/>
      <sz val="20"/>
      <color theme="1"/>
      <name val="AL-Majd"/>
      <charset val="178"/>
    </font>
    <font>
      <b/>
      <sz val="16"/>
      <color rgb="FFFF0000"/>
      <name val="Calibri"/>
      <family val="2"/>
      <scheme val="minor"/>
    </font>
    <font>
      <b/>
      <sz val="11"/>
      <color theme="4" tint="-0.249977111117893"/>
      <name val="Calibri"/>
      <family val="2"/>
      <scheme val="minor"/>
    </font>
    <font>
      <sz val="18"/>
      <name val="Calibri"/>
      <family val="2"/>
      <scheme val="minor"/>
    </font>
    <font>
      <sz val="11"/>
      <color theme="4" tint="-0.249977111117893"/>
      <name val="Calibri"/>
      <family val="2"/>
      <scheme val="minor"/>
    </font>
    <font>
      <sz val="24"/>
      <color theme="1"/>
      <name val="Calibri"/>
      <family val="2"/>
      <scheme val="minor"/>
    </font>
    <font>
      <b/>
      <sz val="16"/>
      <name val="Calibri"/>
      <family val="2"/>
      <scheme val="minor"/>
    </font>
    <font>
      <b/>
      <sz val="22"/>
      <color theme="1"/>
      <name val="Calibri"/>
      <family val="2"/>
      <scheme val="minor"/>
    </font>
    <font>
      <b/>
      <i/>
      <sz val="22"/>
      <color theme="1"/>
      <name val="Calibri"/>
      <family val="2"/>
      <scheme val="minor"/>
    </font>
    <font>
      <b/>
      <sz val="18"/>
      <name val="Agency FB"/>
      <family val="2"/>
    </font>
    <font>
      <b/>
      <sz val="24"/>
      <name val="Calibri"/>
      <family val="2"/>
      <scheme val="minor"/>
    </font>
    <font>
      <b/>
      <sz val="26"/>
      <name val="Agency FB"/>
      <family val="2"/>
    </font>
    <font>
      <b/>
      <sz val="28"/>
      <name val="Agency FB"/>
      <family val="2"/>
    </font>
    <font>
      <b/>
      <sz val="14"/>
      <color theme="1"/>
      <name val="Calibri"/>
      <family val="2"/>
      <scheme val="minor"/>
    </font>
    <font>
      <b/>
      <i/>
      <sz val="20"/>
      <color theme="1"/>
      <name val="Agency FB"/>
      <family val="2"/>
    </font>
    <font>
      <b/>
      <i/>
      <sz val="22"/>
      <color theme="1"/>
      <name val="Agency FB"/>
      <family val="2"/>
    </font>
    <font>
      <b/>
      <sz val="18"/>
      <color theme="4" tint="-0.499984740745262"/>
      <name val="Calibri"/>
      <family val="2"/>
      <scheme val="minor"/>
    </font>
    <font>
      <b/>
      <i/>
      <sz val="26"/>
      <color theme="2" tint="-0.89999084444715716"/>
      <name val="Calibri"/>
      <family val="2"/>
      <scheme val="minor"/>
    </font>
    <font>
      <sz val="16"/>
      <color rgb="FFFF0000"/>
      <name val="Calibri"/>
      <family val="2"/>
      <scheme val="minor"/>
    </font>
  </fonts>
  <fills count="30">
    <fill>
      <patternFill patternType="none"/>
    </fill>
    <fill>
      <patternFill patternType="gray125"/>
    </fill>
    <fill>
      <patternFill patternType="solid">
        <fgColor theme="5"/>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B050"/>
        <bgColor indexed="64"/>
      </patternFill>
    </fill>
    <fill>
      <patternFill patternType="solid">
        <fgColor rgb="FF92D05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5" tint="0.59999389629810485"/>
        <bgColor theme="9"/>
      </patternFill>
    </fill>
    <fill>
      <patternFill patternType="solid">
        <fgColor theme="9" tint="0.79998168889431442"/>
        <bgColor theme="9" tint="0.79998168889431442"/>
      </patternFill>
    </fill>
    <fill>
      <patternFill patternType="solid">
        <fgColor theme="0"/>
        <bgColor indexed="64"/>
      </patternFill>
    </fill>
    <fill>
      <patternFill patternType="solid">
        <fgColor theme="7" tint="0.39997558519241921"/>
        <bgColor theme="9"/>
      </patternFill>
    </fill>
    <fill>
      <patternFill patternType="solid">
        <fgColor theme="5" tint="0.59999389629810485"/>
        <bgColor theme="9" tint="0.79998168889431442"/>
      </patternFill>
    </fill>
    <fill>
      <patternFill patternType="solid">
        <fgColor theme="5" tint="0.59999389629810485"/>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theme="4" tint="0.39997558519241921"/>
        <bgColor theme="9" tint="0.79998168889431442"/>
      </patternFill>
    </fill>
    <fill>
      <patternFill patternType="solid">
        <fgColor theme="9" tint="0.79998168889431442"/>
        <bgColor indexed="64"/>
      </patternFill>
    </fill>
    <fill>
      <patternFill patternType="solid">
        <fgColor theme="8" tint="0.39997558519241921"/>
        <bgColor theme="9" tint="0.79998168889431442"/>
      </patternFill>
    </fill>
    <fill>
      <patternFill patternType="solid">
        <fgColor theme="8" tint="0.39997558519241921"/>
        <bgColor indexed="64"/>
      </patternFill>
    </fill>
    <fill>
      <patternFill patternType="solid">
        <fgColor theme="7" tint="0.79998168889431442"/>
        <bgColor indexed="64"/>
      </patternFill>
    </fill>
    <fill>
      <patternFill patternType="solid">
        <fgColor theme="7" tint="0.79998168889431442"/>
        <bgColor theme="9" tint="0.79998168889431442"/>
      </patternFill>
    </fill>
    <fill>
      <patternFill patternType="solid">
        <fgColor theme="7"/>
        <bgColor theme="9" tint="0.79998168889431442"/>
      </patternFill>
    </fill>
    <fill>
      <patternFill patternType="solid">
        <fgColor theme="7"/>
        <bgColor indexed="64"/>
      </patternFill>
    </fill>
    <fill>
      <patternFill patternType="solid">
        <fgColor theme="8" tint="0.39997558519241921"/>
        <bgColor theme="9"/>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44" fontId="1" fillId="0" borderId="0" applyFont="0" applyFill="0" applyBorder="0" applyAlignment="0" applyProtection="0"/>
  </cellStyleXfs>
  <cellXfs count="307">
    <xf numFmtId="0" fontId="0" fillId="0" borderId="0" xfId="0"/>
    <xf numFmtId="0" fontId="4" fillId="0" borderId="1" xfId="0" applyFont="1" applyBorder="1" applyAlignment="1">
      <alignment horizontal="center" vertical="center" wrapText="1"/>
    </xf>
    <xf numFmtId="0" fontId="6" fillId="10"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9" fillId="10" borderId="1" xfId="0" applyFont="1" applyFill="1" applyBorder="1" applyAlignment="1">
      <alignment horizontal="center" vertical="center" wrapText="1"/>
    </xf>
    <xf numFmtId="165" fontId="10" fillId="10" borderId="1" xfId="0" applyNumberFormat="1" applyFont="1" applyFill="1" applyBorder="1" applyAlignment="1">
      <alignment horizontal="center" vertical="center" wrapText="1"/>
    </xf>
    <xf numFmtId="0" fontId="11" fillId="10" borderId="1" xfId="0" applyFont="1" applyFill="1" applyBorder="1" applyAlignment="1">
      <alignment horizontal="center" vertical="center" wrapText="1"/>
    </xf>
    <xf numFmtId="0" fontId="17" fillId="0" borderId="0" xfId="0" applyFont="1"/>
    <xf numFmtId="0" fontId="18" fillId="2" borderId="1" xfId="0" applyFont="1" applyFill="1" applyBorder="1" applyAlignment="1">
      <alignment horizontal="center" vertical="center"/>
    </xf>
    <xf numFmtId="0" fontId="18"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4" xfId="0" applyFont="1" applyFill="1" applyBorder="1" applyAlignment="1">
      <alignment horizontal="center" vertical="center"/>
    </xf>
    <xf numFmtId="44" fontId="2" fillId="3" borderId="1" xfId="1" applyFont="1" applyFill="1" applyBorder="1" applyAlignment="1">
      <alignment horizontal="center" vertical="center"/>
    </xf>
    <xf numFmtId="44" fontId="2" fillId="3"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2" fillId="4" borderId="4" xfId="0" applyFont="1" applyFill="1" applyBorder="1" applyAlignment="1">
      <alignment horizontal="center" vertical="center"/>
    </xf>
    <xf numFmtId="44" fontId="2" fillId="4" borderId="1" xfId="1" applyFont="1" applyFill="1" applyBorder="1" applyAlignment="1">
      <alignment horizontal="center" vertical="center"/>
    </xf>
    <xf numFmtId="44" fontId="2" fillId="4" borderId="1" xfId="0" applyNumberFormat="1"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4" xfId="0" applyFont="1" applyBorder="1" applyAlignment="1">
      <alignment horizontal="center" vertical="center"/>
    </xf>
    <xf numFmtId="44" fontId="2" fillId="0" borderId="1" xfId="1" applyFont="1" applyFill="1" applyBorder="1" applyAlignment="1">
      <alignment horizontal="center" vertical="center"/>
    </xf>
    <xf numFmtId="2" fontId="2" fillId="0" borderId="1" xfId="0" applyNumberFormat="1" applyFont="1" applyBorder="1" applyAlignment="1">
      <alignment horizontal="center" vertical="center"/>
    </xf>
    <xf numFmtId="44" fontId="2" fillId="0" borderId="1" xfId="0" applyNumberFormat="1"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xf>
    <xf numFmtId="165" fontId="3" fillId="0" borderId="1" xfId="0" applyNumberFormat="1" applyFont="1" applyBorder="1" applyAlignment="1">
      <alignment horizontal="center" vertical="center"/>
    </xf>
    <xf numFmtId="0" fontId="3" fillId="0" borderId="0" xfId="0" applyFont="1"/>
    <xf numFmtId="0" fontId="20" fillId="0" borderId="0" xfId="0" applyFont="1"/>
    <xf numFmtId="0" fontId="19" fillId="0" borderId="0" xfId="0" applyFont="1"/>
    <xf numFmtId="0" fontId="27" fillId="0" borderId="0" xfId="0" applyFont="1"/>
    <xf numFmtId="0" fontId="28" fillId="0" borderId="0" xfId="0" applyFont="1"/>
    <xf numFmtId="0" fontId="0" fillId="0" borderId="0" xfId="0" applyAlignment="1">
      <alignment horizontal="center" vertical="center"/>
    </xf>
    <xf numFmtId="0" fontId="7" fillId="13" borderId="1" xfId="0" applyFont="1" applyFill="1" applyBorder="1" applyAlignment="1">
      <alignment horizontal="center" vertical="center" wrapText="1"/>
    </xf>
    <xf numFmtId="0" fontId="8" fillId="13" borderId="1" xfId="0" applyFont="1" applyFill="1" applyBorder="1" applyAlignment="1">
      <alignment horizontal="center" vertical="center" wrapText="1"/>
    </xf>
    <xf numFmtId="165" fontId="10" fillId="13" borderId="1" xfId="0" applyNumberFormat="1" applyFont="1" applyFill="1" applyBorder="1" applyAlignment="1">
      <alignment horizontal="center" vertical="center" wrapText="1"/>
    </xf>
    <xf numFmtId="0" fontId="11" fillId="13" borderId="1" xfId="0" applyFont="1" applyFill="1" applyBorder="1" applyAlignment="1">
      <alignment horizontal="center" vertical="center" wrapText="1"/>
    </xf>
    <xf numFmtId="0" fontId="13" fillId="14"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165" fontId="3" fillId="15" borderId="1" xfId="0" applyNumberFormat="1" applyFont="1" applyFill="1" applyBorder="1" applyAlignment="1">
      <alignment horizontal="center" vertical="center" wrapText="1"/>
    </xf>
    <xf numFmtId="165" fontId="30" fillId="14" borderId="1" xfId="0" applyNumberFormat="1" applyFont="1" applyFill="1" applyBorder="1" applyAlignment="1">
      <alignment horizontal="center" vertical="center" wrapText="1"/>
    </xf>
    <xf numFmtId="0" fontId="13" fillId="0" borderId="1" xfId="0" applyFont="1" applyBorder="1" applyAlignment="1">
      <alignment horizontal="center" vertical="center" wrapText="1"/>
    </xf>
    <xf numFmtId="0" fontId="29" fillId="0" borderId="1" xfId="0" applyFont="1" applyBorder="1" applyAlignment="1">
      <alignment horizontal="center" vertical="center" wrapText="1"/>
    </xf>
    <xf numFmtId="165" fontId="3" fillId="0" borderId="1" xfId="0" applyNumberFormat="1" applyFont="1" applyBorder="1" applyAlignment="1">
      <alignment horizontal="center" vertical="center" wrapText="1"/>
    </xf>
    <xf numFmtId="165" fontId="30" fillId="0" borderId="1" xfId="0" applyNumberFormat="1" applyFont="1" applyBorder="1" applyAlignment="1">
      <alignment horizontal="center" vertical="center" wrapText="1"/>
    </xf>
    <xf numFmtId="0" fontId="0" fillId="0" borderId="0" xfId="0" applyAlignment="1">
      <alignment horizontal="center" vertical="center" wrapText="1"/>
    </xf>
    <xf numFmtId="0" fontId="18" fillId="16" borderId="1" xfId="0" applyFont="1" applyFill="1" applyBorder="1" applyAlignment="1">
      <alignment horizontal="center" vertical="center"/>
    </xf>
    <xf numFmtId="0" fontId="18" fillId="16" borderId="1" xfId="0" applyFont="1" applyFill="1" applyBorder="1" applyAlignment="1">
      <alignment horizontal="center" vertical="center" wrapText="1"/>
    </xf>
    <xf numFmtId="167" fontId="2" fillId="4" borderId="1" xfId="0" applyNumberFormat="1" applyFont="1" applyFill="1" applyBorder="1" applyAlignment="1">
      <alignment horizontal="center" vertical="center"/>
    </xf>
    <xf numFmtId="0" fontId="18" fillId="8" borderId="1" xfId="0" applyFont="1" applyFill="1" applyBorder="1" applyAlignment="1">
      <alignment horizontal="center" vertical="center"/>
    </xf>
    <xf numFmtId="0" fontId="31" fillId="8" borderId="1" xfId="0" applyFont="1" applyFill="1" applyBorder="1" applyAlignment="1">
      <alignment horizontal="center" vertical="center" wrapText="1"/>
    </xf>
    <xf numFmtId="0" fontId="32" fillId="8" borderId="1" xfId="0" applyFont="1" applyFill="1" applyBorder="1" applyAlignment="1">
      <alignment horizontal="center" vertical="center"/>
    </xf>
    <xf numFmtId="0" fontId="33" fillId="8" borderId="1" xfId="0" applyFont="1" applyFill="1" applyBorder="1" applyAlignment="1">
      <alignment horizontal="center" vertical="center" wrapText="1"/>
    </xf>
    <xf numFmtId="166" fontId="33" fillId="8" borderId="1" xfId="0" applyNumberFormat="1" applyFont="1" applyFill="1" applyBorder="1" applyAlignment="1">
      <alignment horizontal="center" vertical="center" wrapText="1"/>
    </xf>
    <xf numFmtId="2" fontId="33" fillId="8" borderId="1" xfId="0" applyNumberFormat="1" applyFont="1" applyFill="1" applyBorder="1" applyAlignment="1">
      <alignment horizontal="center" vertical="center" wrapText="1"/>
    </xf>
    <xf numFmtId="2" fontId="21" fillId="8" borderId="1" xfId="0" applyNumberFormat="1" applyFont="1" applyFill="1" applyBorder="1" applyAlignment="1">
      <alignment horizontal="center" vertical="center" wrapText="1"/>
    </xf>
    <xf numFmtId="0" fontId="30" fillId="0" borderId="1" xfId="0" applyFont="1" applyBorder="1" applyAlignment="1">
      <alignment horizontal="center" vertical="center"/>
    </xf>
    <xf numFmtId="0" fontId="29" fillId="0" borderId="1" xfId="0" applyFont="1" applyBorder="1" applyAlignment="1">
      <alignment horizontal="center" vertical="center"/>
    </xf>
    <xf numFmtId="44" fontId="34" fillId="0" borderId="1" xfId="0" applyNumberFormat="1" applyFont="1" applyBorder="1" applyAlignment="1">
      <alignment horizontal="center" vertical="center"/>
    </xf>
    <xf numFmtId="166" fontId="30" fillId="0" borderId="1" xfId="0" applyNumberFormat="1" applyFont="1" applyBorder="1" applyAlignment="1">
      <alignment horizontal="center" vertical="center"/>
    </xf>
    <xf numFmtId="0" fontId="29" fillId="17" borderId="1" xfId="0" applyFont="1" applyFill="1" applyBorder="1" applyAlignment="1">
      <alignment horizontal="center" vertical="center"/>
    </xf>
    <xf numFmtId="44" fontId="34" fillId="17" borderId="1" xfId="0" applyNumberFormat="1" applyFont="1" applyFill="1" applyBorder="1" applyAlignment="1">
      <alignment horizontal="center" vertical="center"/>
    </xf>
    <xf numFmtId="166" fontId="30" fillId="17" borderId="1" xfId="0" applyNumberFormat="1" applyFont="1" applyFill="1" applyBorder="1" applyAlignment="1">
      <alignment horizontal="center" vertical="center"/>
    </xf>
    <xf numFmtId="0" fontId="30" fillId="17" borderId="1" xfId="0" applyFont="1" applyFill="1" applyBorder="1" applyAlignment="1">
      <alignment horizontal="center" vertical="center" wrapText="1"/>
    </xf>
    <xf numFmtId="0" fontId="35" fillId="0" borderId="0" xfId="0" applyFont="1"/>
    <xf numFmtId="0" fontId="30" fillId="0" borderId="1" xfId="0" applyFont="1" applyBorder="1" applyAlignment="1">
      <alignment horizontal="center" vertical="center" wrapText="1"/>
    </xf>
    <xf numFmtId="0" fontId="4" fillId="18" borderId="1" xfId="0" applyFont="1" applyFill="1" applyBorder="1" applyAlignment="1">
      <alignment horizontal="center" vertical="center" wrapText="1"/>
    </xf>
    <xf numFmtId="0" fontId="29" fillId="16" borderId="1" xfId="0" applyFont="1" applyFill="1" applyBorder="1" applyAlignment="1">
      <alignment horizontal="center" vertical="center" wrapText="1"/>
    </xf>
    <xf numFmtId="165" fontId="3" fillId="16" borderId="1" xfId="0" applyNumberFormat="1" applyFont="1" applyFill="1" applyBorder="1" applyAlignment="1">
      <alignment horizontal="center" vertical="center" wrapText="1"/>
    </xf>
    <xf numFmtId="0" fontId="30" fillId="18" borderId="1" xfId="0" applyFont="1" applyFill="1" applyBorder="1" applyAlignment="1">
      <alignment horizontal="center" vertical="center" wrapText="1"/>
    </xf>
    <xf numFmtId="165" fontId="30" fillId="18" borderId="1" xfId="0" applyNumberFormat="1" applyFont="1" applyFill="1" applyBorder="1" applyAlignment="1">
      <alignment horizontal="center" vertical="center" wrapText="1"/>
    </xf>
    <xf numFmtId="0" fontId="12" fillId="0" borderId="0" xfId="0" applyFont="1" applyAlignment="1">
      <alignment horizontal="center" vertical="center" wrapText="1"/>
    </xf>
    <xf numFmtId="0" fontId="4" fillId="0" borderId="0" xfId="0" applyFont="1" applyAlignment="1">
      <alignment horizontal="center" vertical="center" wrapText="1"/>
    </xf>
    <xf numFmtId="0" fontId="29" fillId="0" borderId="0" xfId="0" applyFont="1" applyAlignment="1">
      <alignment horizontal="center" vertical="center" wrapText="1"/>
    </xf>
    <xf numFmtId="165" fontId="3" fillId="0" borderId="0" xfId="0" applyNumberFormat="1" applyFont="1" applyAlignment="1">
      <alignment horizontal="center" vertical="center" wrapText="1"/>
    </xf>
    <xf numFmtId="165" fontId="14" fillId="0" borderId="0" xfId="0" applyNumberFormat="1" applyFont="1" applyAlignment="1">
      <alignment horizontal="center" vertical="center" wrapText="1"/>
    </xf>
    <xf numFmtId="0" fontId="0" fillId="0" borderId="0" xfId="0" applyAlignment="1">
      <alignment wrapText="1"/>
    </xf>
    <xf numFmtId="0" fontId="36" fillId="0" borderId="1" xfId="0" applyFont="1" applyBorder="1" applyAlignment="1">
      <alignment horizontal="center" vertical="center" wrapText="1"/>
    </xf>
    <xf numFmtId="0" fontId="30" fillId="0" borderId="1" xfId="0" applyFont="1" applyBorder="1" applyAlignment="1">
      <alignment horizontal="center" wrapText="1"/>
    </xf>
    <xf numFmtId="165" fontId="30" fillId="0" borderId="1" xfId="0" applyNumberFormat="1" applyFont="1" applyBorder="1" applyAlignment="1">
      <alignment horizontal="center" wrapText="1"/>
    </xf>
    <xf numFmtId="0" fontId="0" fillId="0" borderId="1" xfId="0" applyBorder="1" applyAlignment="1">
      <alignment wrapText="1"/>
    </xf>
    <xf numFmtId="0" fontId="36" fillId="11" borderId="1" xfId="0" applyFont="1" applyFill="1" applyBorder="1" applyAlignment="1">
      <alignment horizontal="center" wrapText="1"/>
    </xf>
    <xf numFmtId="0" fontId="4" fillId="11" borderId="1" xfId="0" applyFont="1" applyFill="1" applyBorder="1" applyAlignment="1">
      <alignment horizontal="center" vertical="center" wrapText="1"/>
    </xf>
    <xf numFmtId="0" fontId="30" fillId="11" borderId="1" xfId="0" applyFont="1" applyFill="1" applyBorder="1" applyAlignment="1">
      <alignment horizontal="center" vertical="center" wrapText="1"/>
    </xf>
    <xf numFmtId="165" fontId="3" fillId="19" borderId="1" xfId="0" applyNumberFormat="1" applyFont="1" applyFill="1" applyBorder="1" applyAlignment="1">
      <alignment horizontal="center" vertical="center" wrapText="1"/>
    </xf>
    <xf numFmtId="0" fontId="30" fillId="11" borderId="1" xfId="0" applyFont="1" applyFill="1" applyBorder="1" applyAlignment="1">
      <alignment horizontal="center" wrapText="1"/>
    </xf>
    <xf numFmtId="165" fontId="30" fillId="11" borderId="1" xfId="0" applyNumberFormat="1" applyFont="1" applyFill="1" applyBorder="1" applyAlignment="1">
      <alignment horizontal="center" wrapText="1"/>
    </xf>
    <xf numFmtId="0" fontId="4" fillId="11" borderId="1" xfId="0" applyFont="1" applyFill="1" applyBorder="1" applyAlignment="1">
      <alignment vertical="center" wrapText="1"/>
    </xf>
    <xf numFmtId="0" fontId="0" fillId="0" borderId="1" xfId="0" applyBorder="1" applyAlignment="1">
      <alignment horizontal="center" wrapText="1"/>
    </xf>
    <xf numFmtId="0" fontId="37" fillId="0" borderId="0" xfId="0" applyFont="1" applyAlignment="1">
      <alignment wrapText="1"/>
    </xf>
    <xf numFmtId="0" fontId="20" fillId="0" borderId="0" xfId="0" applyFont="1" applyAlignment="1">
      <alignment wrapText="1"/>
    </xf>
    <xf numFmtId="0" fontId="35" fillId="0" borderId="0" xfId="0" applyFont="1" applyAlignment="1">
      <alignment wrapText="1"/>
    </xf>
    <xf numFmtId="0" fontId="19" fillId="0" borderId="0" xfId="0" applyFont="1" applyAlignment="1">
      <alignment wrapText="1"/>
    </xf>
    <xf numFmtId="0" fontId="12" fillId="0" borderId="0" xfId="0" applyFont="1" applyAlignment="1">
      <alignment horizontal="center" wrapText="1"/>
    </xf>
    <xf numFmtId="0" fontId="4" fillId="0" borderId="0" xfId="0" applyFont="1" applyAlignment="1">
      <alignment horizontal="center" wrapText="1"/>
    </xf>
    <xf numFmtId="0" fontId="29" fillId="0" borderId="0" xfId="0" applyFont="1" applyAlignment="1">
      <alignment horizontal="center" wrapText="1"/>
    </xf>
    <xf numFmtId="0" fontId="37" fillId="0" borderId="9" xfId="0" applyFont="1" applyBorder="1" applyAlignment="1">
      <alignment wrapText="1"/>
    </xf>
    <xf numFmtId="0" fontId="20" fillId="0" borderId="1" xfId="0" applyFont="1" applyBorder="1" applyAlignment="1">
      <alignment wrapText="1"/>
    </xf>
    <xf numFmtId="0" fontId="35" fillId="0" borderId="1" xfId="0" applyFont="1" applyBorder="1" applyAlignment="1">
      <alignment wrapText="1"/>
    </xf>
    <xf numFmtId="0" fontId="19" fillId="0" borderId="1" xfId="0" applyFont="1" applyBorder="1" applyAlignment="1">
      <alignment wrapText="1"/>
    </xf>
    <xf numFmtId="0" fontId="37" fillId="0" borderId="1" xfId="0" applyFont="1" applyBorder="1" applyAlignment="1">
      <alignment wrapText="1"/>
    </xf>
    <xf numFmtId="0" fontId="30" fillId="0" borderId="1" xfId="0" applyFont="1" applyBorder="1" applyAlignment="1">
      <alignment horizontal="center"/>
    </xf>
    <xf numFmtId="165" fontId="30" fillId="0" borderId="8" xfId="0" applyNumberFormat="1" applyFont="1" applyBorder="1" applyAlignment="1">
      <alignment horizontal="center"/>
    </xf>
    <xf numFmtId="0" fontId="11" fillId="10" borderId="2" xfId="0" applyFont="1" applyFill="1" applyBorder="1" applyAlignment="1">
      <alignment horizontal="center" vertical="center" wrapText="1"/>
    </xf>
    <xf numFmtId="0" fontId="12" fillId="0" borderId="2" xfId="0" applyFont="1" applyBorder="1" applyAlignment="1">
      <alignment horizontal="center"/>
    </xf>
    <xf numFmtId="0" fontId="4" fillId="0" borderId="3" xfId="0" applyFont="1" applyBorder="1" applyAlignment="1">
      <alignment horizontal="center"/>
    </xf>
    <xf numFmtId="0" fontId="29" fillId="0" borderId="3" xfId="0" applyFont="1" applyBorder="1" applyAlignment="1">
      <alignment horizontal="center"/>
    </xf>
    <xf numFmtId="165" fontId="3" fillId="0" borderId="4" xfId="0" applyNumberFormat="1" applyFont="1" applyBorder="1" applyAlignment="1">
      <alignment horizontal="center"/>
    </xf>
    <xf numFmtId="0" fontId="0" fillId="0" borderId="0" xfId="0" applyAlignment="1">
      <alignment vertical="center" wrapText="1"/>
    </xf>
    <xf numFmtId="0" fontId="0" fillId="0" borderId="1" xfId="0" applyBorder="1" applyAlignment="1">
      <alignment horizontal="center" vertical="center" wrapText="1"/>
    </xf>
    <xf numFmtId="0" fontId="19" fillId="0" borderId="0" xfId="0" applyFont="1" applyAlignment="1">
      <alignment vertical="center" wrapText="1"/>
    </xf>
    <xf numFmtId="0" fontId="37" fillId="0" borderId="0" xfId="0" applyFont="1" applyAlignment="1">
      <alignment vertical="center" wrapText="1"/>
    </xf>
    <xf numFmtId="0" fontId="20" fillId="0" borderId="0" xfId="0" applyFont="1" applyAlignment="1">
      <alignment vertical="center" wrapText="1"/>
    </xf>
    <xf numFmtId="0" fontId="35" fillId="0" borderId="0" xfId="0" applyFont="1" applyAlignment="1">
      <alignment vertical="center" wrapText="1"/>
    </xf>
    <xf numFmtId="0" fontId="22" fillId="4" borderId="8" xfId="0" applyFont="1" applyFill="1" applyBorder="1" applyAlignment="1">
      <alignment horizontal="center" vertical="center"/>
    </xf>
    <xf numFmtId="0" fontId="23" fillId="4" borderId="8" xfId="0" applyFont="1" applyFill="1" applyBorder="1" applyAlignment="1">
      <alignment horizontal="center" vertical="center"/>
    </xf>
    <xf numFmtId="0" fontId="25" fillId="4" borderId="8" xfId="0" applyFont="1" applyFill="1" applyBorder="1" applyAlignment="1">
      <alignment horizontal="center" vertical="center" wrapText="1"/>
    </xf>
    <xf numFmtId="0" fontId="26" fillId="4" borderId="8" xfId="0" applyFont="1" applyFill="1" applyBorder="1" applyAlignment="1">
      <alignment horizontal="center" vertical="center" wrapText="1"/>
    </xf>
    <xf numFmtId="2" fontId="26" fillId="4" borderId="8" xfId="0" applyNumberFormat="1" applyFont="1" applyFill="1" applyBorder="1" applyAlignment="1">
      <alignment horizontal="center" vertical="center" wrapText="1"/>
    </xf>
    <xf numFmtId="0" fontId="41" fillId="4" borderId="8" xfId="0" applyFont="1" applyFill="1" applyBorder="1" applyAlignment="1">
      <alignment horizontal="center" vertical="center" wrapText="1"/>
    </xf>
    <xf numFmtId="0" fontId="30" fillId="22" borderId="1" xfId="0" applyFont="1" applyFill="1" applyBorder="1" applyAlignment="1">
      <alignment horizontal="center" vertical="center" wrapText="1"/>
    </xf>
    <xf numFmtId="0" fontId="4" fillId="22" borderId="1" xfId="0" applyFont="1" applyFill="1" applyBorder="1" applyAlignment="1">
      <alignment horizontal="center" vertical="center" wrapText="1"/>
    </xf>
    <xf numFmtId="0" fontId="4" fillId="23" borderId="1" xfId="0" applyFont="1" applyFill="1" applyBorder="1" applyAlignment="1">
      <alignment horizontal="center" vertical="center" wrapText="1"/>
    </xf>
    <xf numFmtId="0" fontId="4" fillId="22" borderId="1" xfId="0" applyFont="1" applyFill="1" applyBorder="1" applyAlignment="1">
      <alignment horizontal="center" wrapText="1"/>
    </xf>
    <xf numFmtId="165" fontId="3" fillId="22" borderId="1" xfId="0" applyNumberFormat="1" applyFont="1" applyFill="1" applyBorder="1" applyAlignment="1">
      <alignment horizontal="center" vertical="center" wrapText="1"/>
    </xf>
    <xf numFmtId="165" fontId="30" fillId="22" borderId="1" xfId="0" applyNumberFormat="1" applyFont="1" applyFill="1" applyBorder="1" applyAlignment="1">
      <alignment horizontal="center" vertical="center" wrapText="1"/>
    </xf>
    <xf numFmtId="0" fontId="4" fillId="0" borderId="1" xfId="0" applyFont="1" applyBorder="1" applyAlignment="1">
      <alignment horizontal="center" wrapText="1"/>
    </xf>
    <xf numFmtId="168" fontId="3" fillId="0" borderId="0" xfId="0" applyNumberFormat="1" applyFont="1"/>
    <xf numFmtId="0" fontId="4" fillId="25" borderId="1" xfId="0" applyFont="1" applyFill="1" applyBorder="1" applyAlignment="1">
      <alignment horizontal="center" vertical="center" wrapText="1"/>
    </xf>
    <xf numFmtId="0" fontId="4" fillId="25" borderId="1" xfId="0" applyFont="1" applyFill="1" applyBorder="1" applyAlignment="1">
      <alignment horizontal="center" vertical="center"/>
    </xf>
    <xf numFmtId="0" fontId="30" fillId="25" borderId="1" xfId="0" applyFont="1" applyFill="1" applyBorder="1" applyAlignment="1">
      <alignment horizontal="center" vertical="center"/>
    </xf>
    <xf numFmtId="44" fontId="3" fillId="25" borderId="0" xfId="1" applyFont="1" applyFill="1" applyBorder="1" applyAlignment="1">
      <alignment vertical="center"/>
    </xf>
    <xf numFmtId="169" fontId="14" fillId="0" borderId="0" xfId="0" applyNumberFormat="1" applyFont="1"/>
    <xf numFmtId="44" fontId="3" fillId="0" borderId="1" xfId="0" applyNumberFormat="1" applyFont="1" applyBorder="1" applyAlignment="1">
      <alignment horizontal="center" vertical="center"/>
    </xf>
    <xf numFmtId="44" fontId="30" fillId="0" borderId="1" xfId="0" applyNumberFormat="1" applyFont="1" applyBorder="1" applyAlignment="1">
      <alignment horizontal="center" vertical="center" wrapText="1"/>
    </xf>
    <xf numFmtId="0" fontId="20" fillId="0" borderId="1" xfId="0" applyFont="1" applyBorder="1" applyAlignment="1">
      <alignment horizontal="center" wrapText="1"/>
    </xf>
    <xf numFmtId="0" fontId="28" fillId="0" borderId="0" xfId="0" applyFont="1" applyAlignment="1">
      <alignment wrapText="1"/>
    </xf>
    <xf numFmtId="44" fontId="30" fillId="0" borderId="1" xfId="1" applyFont="1" applyFill="1" applyBorder="1" applyAlignment="1">
      <alignment vertical="center"/>
    </xf>
    <xf numFmtId="0" fontId="4" fillId="16" borderId="1" xfId="0" applyFont="1" applyFill="1" applyBorder="1" applyAlignment="1">
      <alignment horizontal="center" vertical="center" wrapText="1"/>
    </xf>
    <xf numFmtId="0" fontId="4" fillId="16" borderId="1" xfId="0" applyFont="1" applyFill="1" applyBorder="1" applyAlignment="1">
      <alignment horizontal="center" vertical="center"/>
    </xf>
    <xf numFmtId="0" fontId="30" fillId="16" borderId="1" xfId="0" applyFont="1" applyFill="1" applyBorder="1" applyAlignment="1">
      <alignment horizontal="center" vertical="center"/>
    </xf>
    <xf numFmtId="44" fontId="30" fillId="16" borderId="1" xfId="0" applyNumberFormat="1" applyFont="1" applyFill="1" applyBorder="1" applyAlignment="1">
      <alignment horizontal="center" vertical="center"/>
    </xf>
    <xf numFmtId="44" fontId="30" fillId="18" borderId="1" xfId="0" applyNumberFormat="1" applyFont="1" applyFill="1" applyBorder="1" applyAlignment="1">
      <alignment horizontal="center" vertical="center" wrapText="1"/>
    </xf>
    <xf numFmtId="165" fontId="14" fillId="18" borderId="1" xfId="0" applyNumberFormat="1" applyFont="1" applyFill="1" applyBorder="1" applyAlignment="1">
      <alignment horizontal="center" vertical="center" wrapText="1"/>
    </xf>
    <xf numFmtId="0" fontId="43" fillId="26" borderId="1" xfId="0" applyFont="1" applyFill="1" applyBorder="1" applyAlignment="1">
      <alignment horizontal="center" vertical="center" wrapText="1"/>
    </xf>
    <xf numFmtId="0" fontId="44" fillId="26" borderId="1" xfId="0" applyFont="1" applyFill="1" applyBorder="1" applyAlignment="1">
      <alignment horizontal="center" vertical="center" wrapText="1"/>
    </xf>
    <xf numFmtId="0" fontId="45" fillId="26" borderId="1" xfId="0" applyFont="1" applyFill="1" applyBorder="1" applyAlignment="1">
      <alignment horizontal="center" vertical="center" wrapText="1"/>
    </xf>
    <xf numFmtId="0" fontId="42" fillId="26" borderId="1" xfId="0" applyFont="1" applyFill="1" applyBorder="1" applyAlignment="1">
      <alignment horizontal="center" vertical="center" wrapText="1"/>
    </xf>
    <xf numFmtId="165" fontId="42" fillId="26" borderId="1" xfId="0" applyNumberFormat="1" applyFont="1" applyFill="1" applyBorder="1" applyAlignment="1">
      <alignment horizontal="center" vertical="center" wrapText="1"/>
    </xf>
    <xf numFmtId="0" fontId="30" fillId="26" borderId="1" xfId="0" applyFont="1" applyFill="1" applyBorder="1" applyAlignment="1">
      <alignment horizontal="center" vertical="center" wrapText="1"/>
    </xf>
    <xf numFmtId="0" fontId="0" fillId="0" borderId="1" xfId="0" applyBorder="1"/>
    <xf numFmtId="0" fontId="36" fillId="11" borderId="1" xfId="0" applyFont="1" applyFill="1" applyBorder="1" applyAlignment="1">
      <alignment horizontal="center" vertical="center" wrapText="1"/>
    </xf>
    <xf numFmtId="44" fontId="3" fillId="11" borderId="1" xfId="0" applyNumberFormat="1" applyFont="1" applyFill="1" applyBorder="1" applyAlignment="1">
      <alignment horizontal="center" vertical="center" wrapText="1"/>
    </xf>
    <xf numFmtId="167" fontId="30" fillId="11" borderId="1" xfId="0" applyNumberFormat="1" applyFont="1" applyFill="1" applyBorder="1" applyAlignment="1">
      <alignment horizontal="center" vertical="center" wrapText="1"/>
    </xf>
    <xf numFmtId="44" fontId="30" fillId="11" borderId="1" xfId="0" applyNumberFormat="1" applyFont="1" applyFill="1" applyBorder="1" applyAlignment="1">
      <alignment horizontal="center" vertical="center" wrapText="1"/>
    </xf>
    <xf numFmtId="0" fontId="17" fillId="12" borderId="1" xfId="0" applyFont="1" applyFill="1" applyBorder="1" applyAlignment="1">
      <alignment horizontal="center" vertical="center" wrapText="1"/>
    </xf>
    <xf numFmtId="44" fontId="3" fillId="12" borderId="1" xfId="0" applyNumberFormat="1" applyFont="1" applyFill="1" applyBorder="1" applyAlignment="1">
      <alignment horizontal="center" vertical="center"/>
    </xf>
    <xf numFmtId="167" fontId="30" fillId="12" borderId="1" xfId="0" applyNumberFormat="1" applyFont="1" applyFill="1" applyBorder="1" applyAlignment="1">
      <alignment horizontal="center" vertical="center"/>
    </xf>
    <xf numFmtId="0" fontId="4" fillId="20" borderId="8" xfId="0" applyFont="1" applyFill="1" applyBorder="1" applyAlignment="1">
      <alignment horizontal="center"/>
    </xf>
    <xf numFmtId="0" fontId="6" fillId="10" borderId="1" xfId="0" applyFont="1" applyFill="1" applyBorder="1" applyAlignment="1">
      <alignment horizontal="center" vertical="center"/>
    </xf>
    <xf numFmtId="0" fontId="7" fillId="10" borderId="1" xfId="0" applyFont="1" applyFill="1" applyBorder="1" applyAlignment="1">
      <alignment horizontal="center" vertical="center"/>
    </xf>
    <xf numFmtId="0" fontId="8" fillId="10" borderId="1" xfId="0" applyFont="1" applyFill="1" applyBorder="1" applyAlignment="1">
      <alignment horizontal="center" vertical="center"/>
    </xf>
    <xf numFmtId="0" fontId="36" fillId="18" borderId="1" xfId="0" applyFont="1" applyFill="1" applyBorder="1" applyAlignment="1">
      <alignment horizontal="center" vertical="center" wrapText="1"/>
    </xf>
    <xf numFmtId="0" fontId="36" fillId="20" borderId="8" xfId="0" applyFont="1" applyFill="1" applyBorder="1" applyAlignment="1">
      <alignment horizontal="center"/>
    </xf>
    <xf numFmtId="0" fontId="36" fillId="0" borderId="1" xfId="0" applyFont="1" applyBorder="1" applyAlignment="1">
      <alignment horizontal="center"/>
    </xf>
    <xf numFmtId="0" fontId="30" fillId="24" borderId="1" xfId="0" applyFont="1" applyFill="1" applyBorder="1" applyAlignment="1">
      <alignment horizontal="center" vertical="center" wrapText="1"/>
    </xf>
    <xf numFmtId="0" fontId="20" fillId="0" borderId="1" xfId="0" applyFont="1" applyBorder="1" applyAlignment="1">
      <alignment horizontal="center" vertical="center"/>
    </xf>
    <xf numFmtId="0" fontId="46" fillId="27" borderId="1" xfId="0" applyFont="1" applyFill="1" applyBorder="1" applyAlignment="1">
      <alignment horizontal="center" vertical="center"/>
    </xf>
    <xf numFmtId="44" fontId="20" fillId="0" borderId="1" xfId="0" applyNumberFormat="1" applyFont="1" applyBorder="1" applyAlignment="1">
      <alignment horizontal="center" vertical="center"/>
    </xf>
    <xf numFmtId="0" fontId="39" fillId="0" borderId="1" xfId="0" applyFont="1" applyBorder="1" applyAlignment="1">
      <alignment horizontal="center" vertical="center"/>
    </xf>
    <xf numFmtId="44" fontId="30" fillId="0" borderId="8" xfId="0" applyNumberFormat="1" applyFont="1" applyBorder="1" applyAlignment="1">
      <alignment horizontal="center" vertical="center"/>
    </xf>
    <xf numFmtId="44" fontId="4" fillId="0" borderId="2" xfId="0" applyNumberFormat="1" applyFont="1" applyBorder="1" applyAlignment="1">
      <alignment horizontal="center" vertical="center"/>
    </xf>
    <xf numFmtId="167" fontId="30" fillId="0" borderId="1" xfId="0" applyNumberFormat="1" applyFont="1" applyBorder="1" applyAlignment="1">
      <alignment horizontal="center" vertical="center"/>
    </xf>
    <xf numFmtId="0" fontId="12" fillId="14" borderId="1" xfId="0" applyFont="1" applyFill="1" applyBorder="1" applyAlignment="1">
      <alignment horizontal="center" vertical="center" wrapText="1"/>
    </xf>
    <xf numFmtId="0" fontId="29" fillId="15" borderId="1" xfId="0" applyFont="1" applyFill="1" applyBorder="1" applyAlignment="1">
      <alignment horizontal="center" vertical="center" wrapText="1"/>
    </xf>
    <xf numFmtId="0" fontId="29" fillId="14" borderId="1" xfId="0" applyFont="1" applyFill="1" applyBorder="1" applyAlignment="1">
      <alignment horizontal="center" vertical="center" wrapText="1"/>
    </xf>
    <xf numFmtId="0" fontId="30" fillId="17" borderId="1" xfId="0" applyFont="1" applyFill="1" applyBorder="1" applyAlignment="1">
      <alignment horizontal="center" vertical="center"/>
    </xf>
    <xf numFmtId="0" fontId="4" fillId="17" borderId="1" xfId="0" applyFont="1" applyFill="1" applyBorder="1" applyAlignment="1">
      <alignment horizontal="center" vertical="center" wrapText="1"/>
    </xf>
    <xf numFmtId="166" fontId="30" fillId="7" borderId="1" xfId="0" applyNumberFormat="1" applyFont="1" applyFill="1" applyBorder="1" applyAlignment="1">
      <alignment horizontal="center" vertical="center"/>
    </xf>
    <xf numFmtId="44" fontId="30" fillId="6" borderId="1" xfId="0" applyNumberFormat="1" applyFont="1" applyFill="1" applyBorder="1" applyAlignment="1">
      <alignment horizontal="center" vertical="center" wrapText="1"/>
    </xf>
    <xf numFmtId="0" fontId="22" fillId="2" borderId="1" xfId="0" applyFont="1" applyFill="1" applyBorder="1" applyAlignment="1">
      <alignment horizontal="center" vertical="center"/>
    </xf>
    <xf numFmtId="0" fontId="23" fillId="2" borderId="1" xfId="0" applyFont="1" applyFill="1" applyBorder="1" applyAlignment="1">
      <alignment horizontal="center" vertical="center"/>
    </xf>
    <xf numFmtId="0" fontId="24" fillId="2" borderId="1" xfId="0" applyFont="1" applyFill="1" applyBorder="1" applyAlignment="1">
      <alignment horizontal="center" vertical="center"/>
    </xf>
    <xf numFmtId="0" fontId="25" fillId="2" borderId="1" xfId="0" applyFont="1" applyFill="1" applyBorder="1" applyAlignment="1">
      <alignment horizontal="center" vertical="center" wrapText="1"/>
    </xf>
    <xf numFmtId="0" fontId="47" fillId="2" borderId="1" xfId="0" applyFont="1" applyFill="1" applyBorder="1" applyAlignment="1">
      <alignment horizontal="center" vertical="center" wrapText="1"/>
    </xf>
    <xf numFmtId="2" fontId="26" fillId="2" borderId="1" xfId="0" applyNumberFormat="1" applyFont="1" applyFill="1" applyBorder="1" applyAlignment="1">
      <alignment horizontal="center" vertical="center" wrapText="1"/>
    </xf>
    <xf numFmtId="0" fontId="48" fillId="2" borderId="1" xfId="0" applyFont="1" applyFill="1" applyBorder="1" applyAlignment="1">
      <alignment horizontal="center" vertical="center" wrapText="1"/>
    </xf>
    <xf numFmtId="0" fontId="3" fillId="28" borderId="1" xfId="0" applyFont="1" applyFill="1" applyBorder="1" applyAlignment="1">
      <alignment horizontal="center" vertical="center"/>
    </xf>
    <xf numFmtId="0" fontId="4" fillId="28" borderId="1" xfId="0" applyFont="1" applyFill="1" applyBorder="1" applyAlignment="1">
      <alignment horizontal="center" vertical="center"/>
    </xf>
    <xf numFmtId="0" fontId="4" fillId="28" borderId="1" xfId="0" applyFont="1" applyFill="1" applyBorder="1" applyAlignment="1">
      <alignment horizontal="center"/>
    </xf>
    <xf numFmtId="44" fontId="49" fillId="28" borderId="1" xfId="0" applyNumberFormat="1" applyFont="1" applyFill="1" applyBorder="1" applyAlignment="1">
      <alignment horizontal="center" vertical="center"/>
    </xf>
    <xf numFmtId="165" fontId="3" fillId="28" borderId="1" xfId="0" applyNumberFormat="1" applyFont="1" applyFill="1" applyBorder="1" applyAlignment="1">
      <alignment horizontal="center" vertical="center"/>
    </xf>
    <xf numFmtId="44" fontId="49" fillId="0" borderId="1" xfId="0" applyNumberFormat="1" applyFont="1" applyBorder="1" applyAlignment="1">
      <alignment horizontal="center" vertical="center"/>
    </xf>
    <xf numFmtId="166" fontId="3" fillId="12" borderId="1" xfId="0" applyNumberFormat="1" applyFont="1" applyFill="1" applyBorder="1" applyAlignment="1">
      <alignment horizontal="center" vertical="center"/>
    </xf>
    <xf numFmtId="44" fontId="4" fillId="6" borderId="1" xfId="0" applyNumberFormat="1" applyFont="1" applyFill="1" applyBorder="1" applyAlignment="1">
      <alignment horizontal="center" vertical="center"/>
    </xf>
    <xf numFmtId="0" fontId="6" fillId="13" borderId="1" xfId="0" applyFont="1" applyFill="1" applyBorder="1" applyAlignment="1">
      <alignment horizontal="center" vertical="center" wrapText="1"/>
    </xf>
    <xf numFmtId="0" fontId="9" fillId="13" borderId="1" xfId="0" applyFont="1" applyFill="1" applyBorder="1" applyAlignment="1">
      <alignment horizontal="center" vertical="center" wrapText="1"/>
    </xf>
    <xf numFmtId="0" fontId="12" fillId="0" borderId="1" xfId="0" applyFont="1" applyBorder="1" applyAlignment="1">
      <alignment horizontal="center" vertical="center" wrapText="1"/>
    </xf>
    <xf numFmtId="166" fontId="30" fillId="6" borderId="0" xfId="0" applyNumberFormat="1" applyFont="1" applyFill="1" applyAlignment="1">
      <alignment horizontal="center" vertical="center" wrapText="1"/>
    </xf>
    <xf numFmtId="165" fontId="30" fillId="0" borderId="1" xfId="0" applyNumberFormat="1" applyFont="1" applyBorder="1" applyAlignment="1">
      <alignment horizontal="center" vertical="center"/>
    </xf>
    <xf numFmtId="167" fontId="3" fillId="25" borderId="1" xfId="0" applyNumberFormat="1" applyFont="1" applyFill="1" applyBorder="1" applyAlignment="1">
      <alignment horizontal="center" vertical="center"/>
    </xf>
    <xf numFmtId="167" fontId="3" fillId="0" borderId="1" xfId="0" applyNumberFormat="1" applyFont="1" applyBorder="1" applyAlignment="1">
      <alignment horizontal="center" vertical="center"/>
    </xf>
    <xf numFmtId="0" fontId="46" fillId="0" borderId="1" xfId="0" applyFont="1" applyBorder="1" applyAlignment="1">
      <alignment horizontal="center" vertical="center" wrapText="1"/>
    </xf>
    <xf numFmtId="0" fontId="46" fillId="17" borderId="1" xfId="0" applyFont="1" applyFill="1" applyBorder="1" applyAlignment="1">
      <alignment horizontal="center" vertical="center" wrapText="1"/>
    </xf>
    <xf numFmtId="44" fontId="20" fillId="17" borderId="1" xfId="0" applyNumberFormat="1" applyFont="1" applyFill="1" applyBorder="1" applyAlignment="1">
      <alignment horizontal="center" vertical="center"/>
    </xf>
    <xf numFmtId="0" fontId="20" fillId="17" borderId="1" xfId="0" applyFont="1" applyFill="1" applyBorder="1" applyAlignment="1">
      <alignment horizontal="center" vertical="center" wrapText="1"/>
    </xf>
    <xf numFmtId="44" fontId="46" fillId="6" borderId="1" xfId="0" applyNumberFormat="1" applyFont="1" applyFill="1" applyBorder="1" applyAlignment="1">
      <alignment horizontal="center" vertical="center"/>
    </xf>
    <xf numFmtId="2" fontId="49" fillId="28" borderId="1" xfId="0" applyNumberFormat="1" applyFont="1" applyFill="1" applyBorder="1" applyAlignment="1">
      <alignment horizontal="center" vertical="center"/>
    </xf>
    <xf numFmtId="2" fontId="49" fillId="0" borderId="1" xfId="0" applyNumberFormat="1" applyFont="1" applyBorder="1" applyAlignment="1">
      <alignment horizontal="center" vertical="center"/>
    </xf>
    <xf numFmtId="2" fontId="13" fillId="0" borderId="1" xfId="0" applyNumberFormat="1" applyFont="1" applyBorder="1" applyAlignment="1">
      <alignment horizontal="center" vertical="center"/>
    </xf>
    <xf numFmtId="2" fontId="13" fillId="17" borderId="1" xfId="0" applyNumberFormat="1" applyFont="1" applyFill="1" applyBorder="1" applyAlignment="1">
      <alignment horizontal="center" vertical="center"/>
    </xf>
    <xf numFmtId="44" fontId="2" fillId="0" borderId="0" xfId="0" applyNumberFormat="1" applyFont="1" applyAlignment="1">
      <alignment horizontal="center" vertical="center"/>
    </xf>
    <xf numFmtId="0" fontId="50" fillId="4" borderId="8" xfId="0" applyFont="1" applyFill="1" applyBorder="1" applyAlignment="1">
      <alignment horizontal="center" vertical="center"/>
    </xf>
    <xf numFmtId="0" fontId="18" fillId="0" borderId="1" xfId="0" applyFont="1" applyBorder="1" applyAlignment="1">
      <alignment horizontal="center" vertical="center"/>
    </xf>
    <xf numFmtId="0" fontId="4" fillId="0" borderId="0" xfId="0" applyFont="1"/>
    <xf numFmtId="165" fontId="4" fillId="0" borderId="1" xfId="0" applyNumberFormat="1" applyFont="1" applyBorder="1" applyAlignment="1">
      <alignment horizontal="center" vertical="center"/>
    </xf>
    <xf numFmtId="0" fontId="22" fillId="4" borderId="1" xfId="0" applyFont="1" applyFill="1" applyBorder="1" applyAlignment="1">
      <alignment horizontal="center" vertical="center"/>
    </xf>
    <xf numFmtId="0" fontId="50" fillId="4" borderId="1" xfId="0" applyFont="1" applyFill="1" applyBorder="1" applyAlignment="1">
      <alignment horizontal="center" vertical="center"/>
    </xf>
    <xf numFmtId="0" fontId="25" fillId="4" borderId="1" xfId="0" applyFont="1" applyFill="1" applyBorder="1" applyAlignment="1">
      <alignment horizontal="center" vertical="center" wrapText="1"/>
    </xf>
    <xf numFmtId="0" fontId="26" fillId="4" borderId="1" xfId="0" applyFont="1" applyFill="1" applyBorder="1" applyAlignment="1">
      <alignment horizontal="center" vertical="center" wrapText="1"/>
    </xf>
    <xf numFmtId="2" fontId="26" fillId="4" borderId="1" xfId="0" applyNumberFormat="1" applyFont="1" applyFill="1" applyBorder="1" applyAlignment="1">
      <alignment horizontal="center" vertical="center" wrapText="1"/>
    </xf>
    <xf numFmtId="165" fontId="4" fillId="0" borderId="0" xfId="0" applyNumberFormat="1" applyFont="1"/>
    <xf numFmtId="167" fontId="39" fillId="0" borderId="1" xfId="0" applyNumberFormat="1" applyFont="1" applyBorder="1" applyAlignment="1">
      <alignment horizontal="center" vertical="center"/>
    </xf>
    <xf numFmtId="2" fontId="3" fillId="12" borderId="1" xfId="0" applyNumberFormat="1" applyFont="1" applyFill="1" applyBorder="1" applyAlignment="1">
      <alignment horizontal="center" vertical="center"/>
    </xf>
    <xf numFmtId="165" fontId="30" fillId="6" borderId="1" xfId="0" applyNumberFormat="1" applyFont="1" applyFill="1" applyBorder="1" applyAlignment="1">
      <alignment horizontal="center" vertical="center" wrapText="1"/>
    </xf>
    <xf numFmtId="167" fontId="4" fillId="6" borderId="1" xfId="0" applyNumberFormat="1" applyFont="1" applyFill="1" applyBorder="1" applyAlignment="1">
      <alignment horizontal="center" vertical="center"/>
    </xf>
    <xf numFmtId="165" fontId="30" fillId="0" borderId="8" xfId="0" applyNumberFormat="1" applyFont="1" applyBorder="1" applyAlignment="1">
      <alignment horizontal="center" vertical="center"/>
    </xf>
    <xf numFmtId="0" fontId="18" fillId="6" borderId="1" xfId="0" applyFont="1" applyFill="1" applyBorder="1" applyAlignment="1">
      <alignment horizontal="center" vertical="center"/>
    </xf>
    <xf numFmtId="0" fontId="36" fillId="12" borderId="1" xfId="0" applyFont="1" applyFill="1" applyBorder="1" applyAlignment="1">
      <alignment horizontal="center" vertical="center"/>
    </xf>
    <xf numFmtId="165" fontId="3" fillId="0" borderId="1" xfId="0" applyNumberFormat="1" applyFont="1" applyBorder="1" applyAlignment="1">
      <alignment horizontal="center" wrapText="1"/>
    </xf>
    <xf numFmtId="0" fontId="4" fillId="20" borderId="8" xfId="0" applyFont="1" applyFill="1" applyBorder="1" applyAlignment="1">
      <alignment horizontal="center" wrapText="1"/>
    </xf>
    <xf numFmtId="0" fontId="29" fillId="21" borderId="8" xfId="0" applyFont="1" applyFill="1" applyBorder="1" applyAlignment="1">
      <alignment horizontal="center" wrapText="1"/>
    </xf>
    <xf numFmtId="165" fontId="3" fillId="21" borderId="8" xfId="0" applyNumberFormat="1" applyFont="1" applyFill="1" applyBorder="1" applyAlignment="1">
      <alignment horizontal="center" wrapText="1"/>
    </xf>
    <xf numFmtId="0" fontId="30" fillId="20" borderId="8" xfId="0" applyFont="1" applyFill="1" applyBorder="1" applyAlignment="1">
      <alignment horizontal="center" wrapText="1"/>
    </xf>
    <xf numFmtId="165" fontId="30" fillId="20" borderId="8" xfId="0" applyNumberFormat="1" applyFont="1" applyFill="1" applyBorder="1" applyAlignment="1">
      <alignment horizontal="center" wrapText="1"/>
    </xf>
    <xf numFmtId="0" fontId="29" fillId="0" borderId="1" xfId="0" applyFont="1" applyBorder="1" applyAlignment="1">
      <alignment horizontal="center" wrapText="1"/>
    </xf>
    <xf numFmtId="170" fontId="30" fillId="6" borderId="1" xfId="0" applyNumberFormat="1" applyFont="1" applyFill="1" applyBorder="1" applyAlignment="1">
      <alignment horizontal="center" vertical="center" wrapText="1"/>
    </xf>
    <xf numFmtId="170" fontId="15" fillId="6" borderId="1" xfId="0" applyNumberFormat="1" applyFont="1" applyFill="1" applyBorder="1" applyAlignment="1">
      <alignment vertical="center"/>
    </xf>
    <xf numFmtId="2" fontId="4" fillId="6" borderId="4" xfId="0" applyNumberFormat="1" applyFont="1" applyFill="1" applyBorder="1" applyAlignment="1">
      <alignment horizontal="center" vertical="center"/>
    </xf>
    <xf numFmtId="2" fontId="51" fillId="3" borderId="1" xfId="0" applyNumberFormat="1" applyFont="1" applyFill="1" applyBorder="1" applyAlignment="1">
      <alignment horizontal="center" vertical="center"/>
    </xf>
    <xf numFmtId="2" fontId="51" fillId="0" borderId="1" xfId="0" applyNumberFormat="1" applyFont="1" applyBorder="1" applyAlignment="1">
      <alignment horizontal="center" vertical="center"/>
    </xf>
    <xf numFmtId="0" fontId="0" fillId="0" borderId="0" xfId="0" applyAlignment="1">
      <alignment horizontal="center"/>
    </xf>
    <xf numFmtId="44" fontId="30" fillId="25" borderId="0" xfId="1" applyFont="1" applyFill="1" applyBorder="1" applyAlignment="1">
      <alignment horizontal="center" vertical="center"/>
    </xf>
    <xf numFmtId="0" fontId="28" fillId="0" borderId="0" xfId="0" applyFont="1" applyAlignment="1">
      <alignment horizontal="center" wrapText="1"/>
    </xf>
    <xf numFmtId="0" fontId="20" fillId="0" borderId="0" xfId="0" applyFont="1" applyAlignment="1">
      <alignment horizontal="center"/>
    </xf>
    <xf numFmtId="0" fontId="3" fillId="25" borderId="1" xfId="0" applyFont="1" applyFill="1" applyBorder="1" applyAlignment="1">
      <alignment horizontal="center" vertical="center"/>
    </xf>
    <xf numFmtId="44" fontId="30" fillId="25" borderId="0" xfId="1" applyFont="1" applyFill="1" applyBorder="1" applyAlignment="1">
      <alignment vertical="center"/>
    </xf>
    <xf numFmtId="6" fontId="34" fillId="0" borderId="1" xfId="0" applyNumberFormat="1" applyFont="1" applyBorder="1" applyAlignment="1">
      <alignment horizontal="center" vertical="center"/>
    </xf>
    <xf numFmtId="6" fontId="34" fillId="17" borderId="1" xfId="0" applyNumberFormat="1" applyFont="1" applyFill="1" applyBorder="1" applyAlignment="1">
      <alignment horizontal="center" vertical="center"/>
    </xf>
    <xf numFmtId="2" fontId="30" fillId="0" borderId="1" xfId="0" applyNumberFormat="1" applyFont="1" applyBorder="1" applyAlignment="1">
      <alignment horizontal="center" vertical="center" wrapText="1"/>
    </xf>
    <xf numFmtId="2" fontId="30" fillId="18" borderId="1" xfId="0" applyNumberFormat="1" applyFont="1" applyFill="1" applyBorder="1" applyAlignment="1">
      <alignment horizontal="center" vertical="center" wrapText="1"/>
    </xf>
    <xf numFmtId="6" fontId="3" fillId="25" borderId="0" xfId="1" applyNumberFormat="1" applyFont="1" applyFill="1" applyBorder="1" applyAlignment="1">
      <alignment vertical="center"/>
    </xf>
    <xf numFmtId="6" fontId="3" fillId="0" borderId="1" xfId="0" applyNumberFormat="1" applyFont="1" applyBorder="1" applyAlignment="1">
      <alignment horizontal="center" vertical="center"/>
    </xf>
    <xf numFmtId="170" fontId="51" fillId="0" borderId="1" xfId="0" applyNumberFormat="1" applyFont="1" applyBorder="1" applyAlignment="1">
      <alignment horizontal="center" vertical="center"/>
    </xf>
    <xf numFmtId="0" fontId="49" fillId="0" borderId="1" xfId="0" applyFont="1" applyBorder="1" applyAlignment="1">
      <alignment horizontal="center" vertical="center"/>
    </xf>
    <xf numFmtId="2" fontId="30" fillId="0" borderId="1" xfId="0" applyNumberFormat="1" applyFont="1" applyBorder="1" applyAlignment="1">
      <alignment horizontal="center" vertical="center"/>
    </xf>
    <xf numFmtId="2" fontId="30" fillId="16" borderId="1" xfId="0" applyNumberFormat="1" applyFont="1" applyFill="1" applyBorder="1" applyAlignment="1">
      <alignment horizontal="center" vertical="center"/>
    </xf>
    <xf numFmtId="2" fontId="30" fillId="6" borderId="1" xfId="0" applyNumberFormat="1" applyFont="1" applyFill="1" applyBorder="1" applyAlignment="1">
      <alignment horizontal="center" wrapText="1"/>
    </xf>
    <xf numFmtId="0" fontId="46" fillId="6" borderId="1" xfId="0" applyFont="1" applyFill="1" applyBorder="1" applyAlignment="1">
      <alignment horizontal="center" vertical="center"/>
    </xf>
    <xf numFmtId="164" fontId="30" fillId="0" borderId="2" xfId="0" applyNumberFormat="1" applyFont="1" applyBorder="1" applyAlignment="1">
      <alignment horizontal="center" vertical="center"/>
    </xf>
    <xf numFmtId="164" fontId="30" fillId="0" borderId="3" xfId="0" applyNumberFormat="1" applyFont="1" applyBorder="1" applyAlignment="1">
      <alignment horizontal="center" vertical="center"/>
    </xf>
    <xf numFmtId="164" fontId="30" fillId="0" borderId="4" xfId="0" applyNumberFormat="1" applyFont="1" applyBorder="1" applyAlignment="1">
      <alignment horizontal="center" vertical="center"/>
    </xf>
    <xf numFmtId="0" fontId="4" fillId="19" borderId="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164" fontId="16" fillId="0" borderId="1" xfId="0" applyNumberFormat="1" applyFont="1" applyBorder="1" applyAlignment="1">
      <alignment horizontal="center" vertical="center"/>
    </xf>
    <xf numFmtId="0" fontId="4" fillId="6" borderId="2" xfId="0" applyFont="1" applyFill="1" applyBorder="1" applyAlignment="1">
      <alignment horizontal="center" vertical="center"/>
    </xf>
    <xf numFmtId="0" fontId="4" fillId="6" borderId="3" xfId="0" applyFont="1" applyFill="1" applyBorder="1" applyAlignment="1">
      <alignment horizontal="center" vertical="center"/>
    </xf>
    <xf numFmtId="0" fontId="15" fillId="5" borderId="2" xfId="0" applyFont="1" applyFill="1" applyBorder="1" applyAlignment="1">
      <alignment horizontal="center" vertical="center"/>
    </xf>
    <xf numFmtId="0" fontId="15" fillId="5" borderId="3" xfId="0" applyFont="1" applyFill="1" applyBorder="1" applyAlignment="1">
      <alignment horizontal="center" vertical="center"/>
    </xf>
    <xf numFmtId="0" fontId="15" fillId="5" borderId="4" xfId="0" applyFont="1" applyFill="1" applyBorder="1" applyAlignment="1">
      <alignment horizontal="center" vertical="center"/>
    </xf>
    <xf numFmtId="0" fontId="21" fillId="2" borderId="2" xfId="0" applyFont="1" applyFill="1" applyBorder="1" applyAlignment="1">
      <alignment horizontal="center" vertical="center"/>
    </xf>
    <xf numFmtId="0" fontId="21" fillId="2" borderId="3" xfId="0" applyFont="1" applyFill="1" applyBorder="1" applyAlignment="1">
      <alignment horizontal="center" vertical="center"/>
    </xf>
    <xf numFmtId="0" fontId="5" fillId="29" borderId="2" xfId="0" applyFont="1" applyFill="1" applyBorder="1" applyAlignment="1">
      <alignment horizontal="center" vertical="center" wrapText="1"/>
    </xf>
    <xf numFmtId="0" fontId="5" fillId="29" borderId="3" xfId="0" applyFont="1" applyFill="1" applyBorder="1" applyAlignment="1">
      <alignment horizontal="center" vertical="center" wrapText="1"/>
    </xf>
    <xf numFmtId="0" fontId="15" fillId="5" borderId="2" xfId="0" applyFont="1" applyFill="1" applyBorder="1" applyAlignment="1">
      <alignment horizontal="center" vertical="center" wrapText="1"/>
    </xf>
    <xf numFmtId="0" fontId="15" fillId="5" borderId="3"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8" fillId="16" borderId="1" xfId="0" applyFont="1" applyFill="1" applyBorder="1" applyAlignment="1">
      <alignment horizontal="center" vertical="center"/>
    </xf>
    <xf numFmtId="0" fontId="4" fillId="6" borderId="1" xfId="0" applyFont="1" applyFill="1" applyBorder="1" applyAlignment="1">
      <alignment horizontal="center" vertical="center"/>
    </xf>
    <xf numFmtId="0" fontId="21" fillId="8" borderId="1" xfId="0" applyFont="1" applyFill="1" applyBorder="1" applyAlignment="1">
      <alignment horizontal="center" vertical="center"/>
    </xf>
    <xf numFmtId="0" fontId="15" fillId="6" borderId="2" xfId="0" applyFont="1" applyFill="1" applyBorder="1" applyAlignment="1">
      <alignment horizontal="center" vertical="center"/>
    </xf>
    <xf numFmtId="0" fontId="15" fillId="6" borderId="3" xfId="0" applyFont="1" applyFill="1" applyBorder="1" applyAlignment="1">
      <alignment horizontal="center" vertical="center"/>
    </xf>
    <xf numFmtId="0" fontId="15" fillId="6" borderId="4" xfId="0" applyFont="1" applyFill="1" applyBorder="1" applyAlignment="1">
      <alignment horizontal="center" vertical="center"/>
    </xf>
    <xf numFmtId="0" fontId="5" fillId="21" borderId="5" xfId="0" applyFont="1" applyFill="1" applyBorder="1" applyAlignment="1">
      <alignment horizontal="center" vertical="center" wrapText="1"/>
    </xf>
    <xf numFmtId="0" fontId="5" fillId="21" borderId="0" xfId="0" applyFont="1" applyFill="1" applyAlignment="1">
      <alignment horizontal="center" vertical="center" wrapText="1"/>
    </xf>
    <xf numFmtId="0" fontId="15" fillId="6" borderId="1" xfId="0" applyFont="1" applyFill="1" applyBorder="1" applyAlignment="1">
      <alignment horizontal="center" vertical="center"/>
    </xf>
    <xf numFmtId="0" fontId="5" fillId="9" borderId="1" xfId="0" applyFont="1" applyFill="1" applyBorder="1" applyAlignment="1">
      <alignment horizontal="center" vertical="center" wrapText="1"/>
    </xf>
    <xf numFmtId="0" fontId="11" fillId="10" borderId="2" xfId="0" applyFont="1" applyFill="1" applyBorder="1" applyAlignment="1">
      <alignment horizontal="center" vertical="center" wrapText="1"/>
    </xf>
    <xf numFmtId="0" fontId="11" fillId="10" borderId="4" xfId="0" applyFont="1" applyFill="1" applyBorder="1" applyAlignment="1">
      <alignment horizontal="center" vertical="center" wrapText="1"/>
    </xf>
    <xf numFmtId="0" fontId="4" fillId="6" borderId="4" xfId="0" applyFont="1" applyFill="1" applyBorder="1" applyAlignment="1">
      <alignment horizontal="center" vertical="center"/>
    </xf>
    <xf numFmtId="0" fontId="5" fillId="9" borderId="1" xfId="0" applyFont="1" applyFill="1" applyBorder="1" applyAlignment="1">
      <alignment horizontal="center" vertical="center"/>
    </xf>
    <xf numFmtId="0" fontId="40" fillId="4" borderId="2" xfId="0" applyFont="1" applyFill="1" applyBorder="1" applyAlignment="1">
      <alignment horizontal="center" vertical="center"/>
    </xf>
    <xf numFmtId="0" fontId="40" fillId="4" borderId="3" xfId="0" applyFont="1" applyFill="1" applyBorder="1" applyAlignment="1">
      <alignment horizontal="center" vertical="center"/>
    </xf>
    <xf numFmtId="0" fontId="40" fillId="4" borderId="4" xfId="0" applyFont="1" applyFill="1" applyBorder="1" applyAlignment="1">
      <alignment horizontal="center" vertical="center"/>
    </xf>
    <xf numFmtId="0" fontId="18" fillId="6" borderId="1" xfId="0" applyFont="1" applyFill="1" applyBorder="1" applyAlignment="1">
      <alignment horizontal="center" vertical="center"/>
    </xf>
    <xf numFmtId="0" fontId="5" fillId="9" borderId="6" xfId="0" applyFont="1" applyFill="1" applyBorder="1" applyAlignment="1">
      <alignment horizontal="center" vertical="center" wrapText="1"/>
    </xf>
    <xf numFmtId="0" fontId="5" fillId="9" borderId="7" xfId="0" applyFont="1" applyFill="1" applyBorder="1" applyAlignment="1">
      <alignment horizontal="center" vertical="center" wrapText="1"/>
    </xf>
    <xf numFmtId="0" fontId="30" fillId="6" borderId="2" xfId="0" applyFont="1" applyFill="1" applyBorder="1" applyAlignment="1">
      <alignment horizontal="center" vertical="center" wrapText="1"/>
    </xf>
    <xf numFmtId="0" fontId="30" fillId="6" borderId="3" xfId="0" applyFont="1" applyFill="1" applyBorder="1" applyAlignment="1">
      <alignment horizontal="center" vertical="center" wrapText="1"/>
    </xf>
    <xf numFmtId="0" fontId="30" fillId="6" borderId="4" xfId="0" applyFont="1" applyFill="1" applyBorder="1" applyAlignment="1">
      <alignment horizontal="center" vertical="center" wrapText="1"/>
    </xf>
    <xf numFmtId="164" fontId="38" fillId="0" borderId="0" xfId="0" applyNumberFormat="1" applyFont="1" applyAlignment="1">
      <alignment horizontal="center" vertical="center"/>
    </xf>
    <xf numFmtId="0" fontId="40" fillId="4" borderId="1" xfId="0" applyFont="1" applyFill="1" applyBorder="1" applyAlignment="1">
      <alignment horizontal="center" vertical="center"/>
    </xf>
  </cellXfs>
  <cellStyles count="2">
    <cellStyle name="Currency" xfId="1" builtinId="4"/>
    <cellStyle name="Normal" xfId="0" builtinId="0"/>
  </cellStyles>
  <dxfs count="15">
    <dxf>
      <font>
        <b/>
        <i val="0"/>
      </font>
      <fill>
        <patternFill>
          <bgColor rgb="FFFF0000"/>
        </patternFill>
      </fill>
      <border>
        <vertical/>
        <horizontal/>
      </border>
    </dxf>
    <dxf>
      <font>
        <b/>
        <i val="0"/>
      </font>
      <fill>
        <patternFill>
          <bgColor rgb="FFFF0000"/>
        </patternFill>
      </fill>
      <border>
        <vertical/>
        <horizontal/>
      </border>
    </dxf>
    <dxf>
      <font>
        <b/>
        <i val="0"/>
      </font>
      <fill>
        <patternFill>
          <bgColor rgb="FFFF0000"/>
        </patternFill>
      </fill>
      <border>
        <vertical/>
        <horizontal/>
      </border>
    </dxf>
    <dxf>
      <font>
        <b/>
        <i val="0"/>
      </font>
      <fill>
        <patternFill>
          <bgColor rgb="FFFF0000"/>
        </patternFill>
      </fill>
      <border>
        <vertical/>
        <horizontal/>
      </border>
    </dxf>
    <dxf>
      <font>
        <b/>
        <i val="0"/>
      </font>
      <fill>
        <patternFill>
          <bgColor rgb="FFFF0000"/>
        </patternFill>
      </fill>
      <border>
        <vertical/>
        <horizontal/>
      </border>
    </dxf>
    <dxf>
      <font>
        <b/>
        <i val="0"/>
      </font>
      <fill>
        <patternFill>
          <bgColor rgb="FFFF0000"/>
        </patternFill>
      </fill>
      <border>
        <vertical/>
        <horizontal/>
      </border>
    </dxf>
    <dxf>
      <font>
        <b/>
        <i val="0"/>
      </font>
      <fill>
        <patternFill>
          <bgColor rgb="FFFF0000"/>
        </patternFill>
      </fill>
      <border>
        <vertical/>
        <horizontal/>
      </border>
    </dxf>
    <dxf>
      <font>
        <b/>
        <i val="0"/>
      </font>
      <fill>
        <patternFill>
          <bgColor rgb="FFFF0000"/>
        </patternFill>
      </fill>
      <border>
        <vertical/>
        <horizontal/>
      </border>
    </dxf>
    <dxf>
      <font>
        <b/>
        <i val="0"/>
      </font>
      <fill>
        <patternFill>
          <bgColor rgb="FFFF0000"/>
        </patternFill>
      </fill>
      <border>
        <vertical/>
        <horizontal/>
      </border>
    </dxf>
    <dxf>
      <font>
        <b/>
        <i val="0"/>
      </font>
      <fill>
        <patternFill>
          <bgColor rgb="FFFF0000"/>
        </patternFill>
      </fill>
      <border>
        <vertical/>
        <horizontal/>
      </border>
    </dxf>
    <dxf>
      <font>
        <b/>
        <i val="0"/>
      </font>
      <fill>
        <patternFill>
          <bgColor rgb="FFFF0000"/>
        </patternFill>
      </fill>
      <border>
        <vertical/>
        <horizontal/>
      </border>
    </dxf>
    <dxf>
      <font>
        <b/>
        <i val="0"/>
      </font>
      <fill>
        <patternFill>
          <bgColor rgb="FFFF0000"/>
        </patternFill>
      </fill>
      <border>
        <vertical/>
        <horizontal/>
      </border>
    </dxf>
    <dxf>
      <font>
        <b/>
        <i val="0"/>
      </font>
      <fill>
        <patternFill>
          <bgColor rgb="FFFF0000"/>
        </patternFill>
      </fill>
      <border>
        <vertical/>
        <horizontal/>
      </border>
    </dxf>
    <dxf>
      <font>
        <b/>
        <i val="0"/>
      </font>
      <fill>
        <patternFill>
          <bgColor rgb="FFFF0000"/>
        </patternFill>
      </fill>
      <border>
        <vertical/>
        <horizontal/>
      </border>
    </dxf>
    <dxf>
      <font>
        <b/>
        <i val="0"/>
      </font>
      <fill>
        <patternFill>
          <bgColor rgb="FFFF0000"/>
        </patternFill>
      </fill>
      <border>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externalLink" Target="externalLinks/externalLink11.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externalLink" Target="externalLinks/externalLink4.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1966967</xdr:colOff>
      <xdr:row>1</xdr:row>
      <xdr:rowOff>1022684</xdr:rowOff>
    </xdr:to>
    <xdr:pic>
      <xdr:nvPicPr>
        <xdr:cNvPr id="2" name="صورة 3">
          <a:extLst>
            <a:ext uri="{FF2B5EF4-FFF2-40B4-BE49-F238E27FC236}">
              <a16:creationId xmlns:a16="http://schemas.microsoft.com/office/drawing/2014/main" id="{88C78B57-CA45-4BEB-A199-ADB01E4DE8C2}"/>
            </a:ext>
          </a:extLst>
        </xdr:cNvPr>
        <xdr:cNvPicPr>
          <a:picLocks noChangeAspect="1"/>
        </xdr:cNvPicPr>
      </xdr:nvPicPr>
      <xdr:blipFill>
        <a:blip xmlns:r="http://schemas.openxmlformats.org/officeDocument/2006/relationships" r:embed="rId1" cstate="print"/>
        <a:stretch>
          <a:fillRect/>
        </a:stretch>
      </xdr:blipFill>
      <xdr:spPr>
        <a:xfrm>
          <a:off x="0" y="0"/>
          <a:ext cx="2578572" cy="12131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2340295</xdr:colOff>
      <xdr:row>0</xdr:row>
      <xdr:rowOff>1319892</xdr:rowOff>
    </xdr:to>
    <xdr:pic>
      <xdr:nvPicPr>
        <xdr:cNvPr id="2" name="صورة 3">
          <a:extLst>
            <a:ext uri="{FF2B5EF4-FFF2-40B4-BE49-F238E27FC236}">
              <a16:creationId xmlns:a16="http://schemas.microsoft.com/office/drawing/2014/main" id="{64B12994-20FE-4423-B5FA-E938B959D964}"/>
            </a:ext>
          </a:extLst>
        </xdr:cNvPr>
        <xdr:cNvPicPr>
          <a:picLocks noChangeAspect="1"/>
        </xdr:cNvPicPr>
      </xdr:nvPicPr>
      <xdr:blipFill>
        <a:blip xmlns:r="http://schemas.openxmlformats.org/officeDocument/2006/relationships" r:embed="rId1" cstate="print"/>
        <a:stretch>
          <a:fillRect/>
        </a:stretch>
      </xdr:blipFill>
      <xdr:spPr>
        <a:xfrm>
          <a:off x="0" y="0"/>
          <a:ext cx="2802938" cy="13198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2856261</xdr:colOff>
      <xdr:row>0</xdr:row>
      <xdr:rowOff>1654341</xdr:rowOff>
    </xdr:to>
    <xdr:pic>
      <xdr:nvPicPr>
        <xdr:cNvPr id="2" name="صورة 3">
          <a:extLst>
            <a:ext uri="{FF2B5EF4-FFF2-40B4-BE49-F238E27FC236}">
              <a16:creationId xmlns:a16="http://schemas.microsoft.com/office/drawing/2014/main" id="{069AB637-C8F4-43CD-AAEA-24DE93247C63}"/>
            </a:ext>
          </a:extLst>
        </xdr:cNvPr>
        <xdr:cNvPicPr>
          <a:picLocks noChangeAspect="1"/>
        </xdr:cNvPicPr>
      </xdr:nvPicPr>
      <xdr:blipFill>
        <a:blip xmlns:r="http://schemas.openxmlformats.org/officeDocument/2006/relationships" r:embed="rId1" cstate="print"/>
        <a:stretch>
          <a:fillRect/>
        </a:stretch>
      </xdr:blipFill>
      <xdr:spPr>
        <a:xfrm>
          <a:off x="0" y="0"/>
          <a:ext cx="3379202" cy="165434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438149</xdr:colOff>
      <xdr:row>0</xdr:row>
      <xdr:rowOff>1654341</xdr:rowOff>
    </xdr:to>
    <xdr:pic>
      <xdr:nvPicPr>
        <xdr:cNvPr id="3" name="صورة 3">
          <a:extLst>
            <a:ext uri="{FF2B5EF4-FFF2-40B4-BE49-F238E27FC236}">
              <a16:creationId xmlns:a16="http://schemas.microsoft.com/office/drawing/2014/main" id="{159E3716-6B6D-45D7-95A1-5E99B3C62885}"/>
            </a:ext>
          </a:extLst>
        </xdr:cNvPr>
        <xdr:cNvPicPr>
          <a:picLocks noChangeAspect="1"/>
        </xdr:cNvPicPr>
      </xdr:nvPicPr>
      <xdr:blipFill>
        <a:blip xmlns:r="http://schemas.openxmlformats.org/officeDocument/2006/relationships" r:embed="rId1" cstate="print"/>
        <a:stretch>
          <a:fillRect/>
        </a:stretch>
      </xdr:blipFill>
      <xdr:spPr>
        <a:xfrm>
          <a:off x="0" y="0"/>
          <a:ext cx="3379202" cy="165434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331173</xdr:colOff>
      <xdr:row>0</xdr:row>
      <xdr:rowOff>1485900</xdr:rowOff>
    </xdr:to>
    <xdr:pic>
      <xdr:nvPicPr>
        <xdr:cNvPr id="3" name="صورة 3">
          <a:extLst>
            <a:ext uri="{FF2B5EF4-FFF2-40B4-BE49-F238E27FC236}">
              <a16:creationId xmlns:a16="http://schemas.microsoft.com/office/drawing/2014/main" id="{88916D93-847E-4C36-BB2C-CECC0005EB2A}"/>
            </a:ext>
          </a:extLst>
        </xdr:cNvPr>
        <xdr:cNvPicPr>
          <a:picLocks noChangeAspect="1"/>
        </xdr:cNvPicPr>
      </xdr:nvPicPr>
      <xdr:blipFill>
        <a:blip xmlns:r="http://schemas.openxmlformats.org/officeDocument/2006/relationships" r:embed="rId1" cstate="print"/>
        <a:stretch>
          <a:fillRect/>
        </a:stretch>
      </xdr:blipFill>
      <xdr:spPr>
        <a:xfrm>
          <a:off x="0" y="0"/>
          <a:ext cx="3855423" cy="14859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514965</xdr:colOff>
      <xdr:row>0</xdr:row>
      <xdr:rowOff>1485900</xdr:rowOff>
    </xdr:to>
    <xdr:pic>
      <xdr:nvPicPr>
        <xdr:cNvPr id="2" name="صورة 3">
          <a:extLst>
            <a:ext uri="{FF2B5EF4-FFF2-40B4-BE49-F238E27FC236}">
              <a16:creationId xmlns:a16="http://schemas.microsoft.com/office/drawing/2014/main" id="{AF44E5FB-0F8C-45FD-A98B-7906ED3155E4}"/>
            </a:ext>
          </a:extLst>
        </xdr:cNvPr>
        <xdr:cNvPicPr>
          <a:picLocks noChangeAspect="1"/>
        </xdr:cNvPicPr>
      </xdr:nvPicPr>
      <xdr:blipFill>
        <a:blip xmlns:r="http://schemas.openxmlformats.org/officeDocument/2006/relationships" r:embed="rId1" cstate="print"/>
        <a:stretch>
          <a:fillRect/>
        </a:stretch>
      </xdr:blipFill>
      <xdr:spPr>
        <a:xfrm>
          <a:off x="0" y="0"/>
          <a:ext cx="3855423" cy="14859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2447925</xdr:colOff>
      <xdr:row>0</xdr:row>
      <xdr:rowOff>1501522</xdr:rowOff>
    </xdr:to>
    <xdr:pic>
      <xdr:nvPicPr>
        <xdr:cNvPr id="2" name="صورة 3">
          <a:extLst>
            <a:ext uri="{FF2B5EF4-FFF2-40B4-BE49-F238E27FC236}">
              <a16:creationId xmlns:a16="http://schemas.microsoft.com/office/drawing/2014/main" id="{35B073C2-B134-448E-9D31-98383A38661B}"/>
            </a:ext>
          </a:extLst>
        </xdr:cNvPr>
        <xdr:cNvPicPr>
          <a:picLocks noChangeAspect="1"/>
        </xdr:cNvPicPr>
      </xdr:nvPicPr>
      <xdr:blipFill>
        <a:blip xmlns:r="http://schemas.openxmlformats.org/officeDocument/2006/relationships" r:embed="rId1" cstate="print"/>
        <a:stretch>
          <a:fillRect/>
        </a:stretch>
      </xdr:blipFill>
      <xdr:spPr>
        <a:xfrm>
          <a:off x="0" y="0"/>
          <a:ext cx="3067050" cy="150152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9525</xdr:colOff>
      <xdr:row>0</xdr:row>
      <xdr:rowOff>1501522</xdr:rowOff>
    </xdr:to>
    <xdr:pic>
      <xdr:nvPicPr>
        <xdr:cNvPr id="2" name="صورة 3">
          <a:extLst>
            <a:ext uri="{FF2B5EF4-FFF2-40B4-BE49-F238E27FC236}">
              <a16:creationId xmlns:a16="http://schemas.microsoft.com/office/drawing/2014/main" id="{F24AFA52-B02E-41F0-BC67-3411307B80A8}"/>
            </a:ext>
          </a:extLst>
        </xdr:cNvPr>
        <xdr:cNvPicPr>
          <a:picLocks noChangeAspect="1"/>
        </xdr:cNvPicPr>
      </xdr:nvPicPr>
      <xdr:blipFill>
        <a:blip xmlns:r="http://schemas.openxmlformats.org/officeDocument/2006/relationships" r:embed="rId1" cstate="print"/>
        <a:stretch>
          <a:fillRect/>
        </a:stretch>
      </xdr:blipFill>
      <xdr:spPr>
        <a:xfrm>
          <a:off x="0" y="0"/>
          <a:ext cx="3067050" cy="150152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133350</xdr:colOff>
      <xdr:row>0</xdr:row>
      <xdr:rowOff>1501522</xdr:rowOff>
    </xdr:to>
    <xdr:pic>
      <xdr:nvPicPr>
        <xdr:cNvPr id="2" name="صورة 3">
          <a:extLst>
            <a:ext uri="{FF2B5EF4-FFF2-40B4-BE49-F238E27FC236}">
              <a16:creationId xmlns:a16="http://schemas.microsoft.com/office/drawing/2014/main" id="{98F3F02E-A963-40E5-8657-73F0D18C2560}"/>
            </a:ext>
          </a:extLst>
        </xdr:cNvPr>
        <xdr:cNvPicPr>
          <a:picLocks noChangeAspect="1"/>
        </xdr:cNvPicPr>
      </xdr:nvPicPr>
      <xdr:blipFill>
        <a:blip xmlns:r="http://schemas.openxmlformats.org/officeDocument/2006/relationships" r:embed="rId1" cstate="print"/>
        <a:stretch>
          <a:fillRect/>
        </a:stretch>
      </xdr:blipFill>
      <xdr:spPr>
        <a:xfrm>
          <a:off x="0" y="0"/>
          <a:ext cx="3067050" cy="150152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447675</xdr:colOff>
      <xdr:row>0</xdr:row>
      <xdr:rowOff>1501522</xdr:rowOff>
    </xdr:to>
    <xdr:pic>
      <xdr:nvPicPr>
        <xdr:cNvPr id="3" name="صورة 3">
          <a:extLst>
            <a:ext uri="{FF2B5EF4-FFF2-40B4-BE49-F238E27FC236}">
              <a16:creationId xmlns:a16="http://schemas.microsoft.com/office/drawing/2014/main" id="{F01E7AB7-E53F-484E-BDF4-8D2863D59CB4}"/>
            </a:ext>
          </a:extLst>
        </xdr:cNvPr>
        <xdr:cNvPicPr>
          <a:picLocks noChangeAspect="1"/>
        </xdr:cNvPicPr>
      </xdr:nvPicPr>
      <xdr:blipFill>
        <a:blip xmlns:r="http://schemas.openxmlformats.org/officeDocument/2006/relationships" r:embed="rId1" cstate="print"/>
        <a:stretch>
          <a:fillRect/>
        </a:stretch>
      </xdr:blipFill>
      <xdr:spPr>
        <a:xfrm>
          <a:off x="0" y="0"/>
          <a:ext cx="3067050" cy="150152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158750</xdr:rowOff>
    </xdr:from>
    <xdr:to>
      <xdr:col>1</xdr:col>
      <xdr:colOff>2261088</xdr:colOff>
      <xdr:row>0</xdr:row>
      <xdr:rowOff>1660272</xdr:rowOff>
    </xdr:to>
    <xdr:pic>
      <xdr:nvPicPr>
        <xdr:cNvPr id="2" name="صورة 3">
          <a:extLst>
            <a:ext uri="{FF2B5EF4-FFF2-40B4-BE49-F238E27FC236}">
              <a16:creationId xmlns:a16="http://schemas.microsoft.com/office/drawing/2014/main" id="{28FEAFD2-D1D3-4D28-AB8E-AA62ED5C3574}"/>
            </a:ext>
          </a:extLst>
        </xdr:cNvPr>
        <xdr:cNvPicPr>
          <a:picLocks noChangeAspect="1"/>
        </xdr:cNvPicPr>
      </xdr:nvPicPr>
      <xdr:blipFill>
        <a:blip xmlns:r="http://schemas.openxmlformats.org/officeDocument/2006/relationships" r:embed="rId1" cstate="print"/>
        <a:stretch>
          <a:fillRect/>
        </a:stretch>
      </xdr:blipFill>
      <xdr:spPr>
        <a:xfrm>
          <a:off x="0" y="158750"/>
          <a:ext cx="3067050" cy="150152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8</xdr:col>
      <xdr:colOff>0</xdr:colOff>
      <xdr:row>15</xdr:row>
      <xdr:rowOff>225150</xdr:rowOff>
    </xdr:from>
    <xdr:ext cx="184730" cy="937629"/>
    <xdr:sp macro="" textlink="">
      <xdr:nvSpPr>
        <xdr:cNvPr id="2" name="Rectangle 1">
          <a:extLst>
            <a:ext uri="{FF2B5EF4-FFF2-40B4-BE49-F238E27FC236}">
              <a16:creationId xmlns:a16="http://schemas.microsoft.com/office/drawing/2014/main" id="{6110CBF9-6636-450E-82C9-CF3C82242215}"/>
            </a:ext>
          </a:extLst>
        </xdr:cNvPr>
        <xdr:cNvSpPr/>
      </xdr:nvSpPr>
      <xdr:spPr>
        <a:xfrm>
          <a:off x="11191875" y="8197575"/>
          <a:ext cx="184730" cy="937629"/>
        </a:xfrm>
        <a:prstGeom prst="rect">
          <a:avLst/>
        </a:prstGeom>
        <a:noFill/>
      </xdr:spPr>
      <xdr:txBody>
        <a:bodyPr wrap="none" lIns="91440" tIns="45720" rIns="91440" bIns="45720">
          <a:spAutoFit/>
        </a:bodyPr>
        <a:lstStyle/>
        <a:p>
          <a:pPr algn="ctr"/>
          <a:endParaRPr lang="en-US" sz="54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oneCellAnchor>
  <xdr:twoCellAnchor editAs="oneCell">
    <xdr:from>
      <xdr:col>0</xdr:col>
      <xdr:colOff>42333</xdr:colOff>
      <xdr:row>0</xdr:row>
      <xdr:rowOff>0</xdr:rowOff>
    </xdr:from>
    <xdr:to>
      <xdr:col>2</xdr:col>
      <xdr:colOff>783166</xdr:colOff>
      <xdr:row>0</xdr:row>
      <xdr:rowOff>1647632</xdr:rowOff>
    </xdr:to>
    <xdr:pic>
      <xdr:nvPicPr>
        <xdr:cNvPr id="3" name="صورة 3">
          <a:extLst>
            <a:ext uri="{FF2B5EF4-FFF2-40B4-BE49-F238E27FC236}">
              <a16:creationId xmlns:a16="http://schemas.microsoft.com/office/drawing/2014/main" id="{03D2EF75-C600-4A6E-8A3B-B0B2EF2B0D43}"/>
            </a:ext>
          </a:extLst>
        </xdr:cNvPr>
        <xdr:cNvPicPr>
          <a:picLocks noChangeAspect="1"/>
        </xdr:cNvPicPr>
      </xdr:nvPicPr>
      <xdr:blipFill>
        <a:blip xmlns:r="http://schemas.openxmlformats.org/officeDocument/2006/relationships" r:embed="rId1" cstate="print"/>
        <a:stretch>
          <a:fillRect/>
        </a:stretch>
      </xdr:blipFill>
      <xdr:spPr>
        <a:xfrm>
          <a:off x="42333" y="0"/>
          <a:ext cx="3365500" cy="164763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109845</xdr:colOff>
      <xdr:row>0</xdr:row>
      <xdr:rowOff>1619250</xdr:rowOff>
    </xdr:to>
    <xdr:pic>
      <xdr:nvPicPr>
        <xdr:cNvPr id="2" name="صورة 3">
          <a:extLst>
            <a:ext uri="{FF2B5EF4-FFF2-40B4-BE49-F238E27FC236}">
              <a16:creationId xmlns:a16="http://schemas.microsoft.com/office/drawing/2014/main" id="{0350D7CD-FDE1-41D0-ADF0-DF346927BF38}"/>
            </a:ext>
          </a:extLst>
        </xdr:cNvPr>
        <xdr:cNvPicPr>
          <a:picLocks noChangeAspect="1"/>
        </xdr:cNvPicPr>
      </xdr:nvPicPr>
      <xdr:blipFill>
        <a:blip xmlns:r="http://schemas.openxmlformats.org/officeDocument/2006/relationships" r:embed="rId1" cstate="print"/>
        <a:stretch>
          <a:fillRect/>
        </a:stretch>
      </xdr:blipFill>
      <xdr:spPr>
        <a:xfrm>
          <a:off x="0" y="0"/>
          <a:ext cx="3307524" cy="16192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2457450</xdr:colOff>
      <xdr:row>0</xdr:row>
      <xdr:rowOff>1501522</xdr:rowOff>
    </xdr:to>
    <xdr:pic>
      <xdr:nvPicPr>
        <xdr:cNvPr id="2" name="صورة 3">
          <a:extLst>
            <a:ext uri="{FF2B5EF4-FFF2-40B4-BE49-F238E27FC236}">
              <a16:creationId xmlns:a16="http://schemas.microsoft.com/office/drawing/2014/main" id="{F9FE96AD-AC21-4094-A78F-F44076ED97F7}"/>
            </a:ext>
          </a:extLst>
        </xdr:cNvPr>
        <xdr:cNvPicPr>
          <a:picLocks noChangeAspect="1"/>
        </xdr:cNvPicPr>
      </xdr:nvPicPr>
      <xdr:blipFill>
        <a:blip xmlns:r="http://schemas.openxmlformats.org/officeDocument/2006/relationships" r:embed="rId1" cstate="print"/>
        <a:stretch>
          <a:fillRect/>
        </a:stretch>
      </xdr:blipFill>
      <xdr:spPr>
        <a:xfrm>
          <a:off x="0" y="0"/>
          <a:ext cx="3067050" cy="150152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1-%20Store%20Iron.11%20-%20&#1581;&#1583;&#1610;&#1583;1.xlsx" TargetMode="External"/><Relationship Id="rId2" Type="http://schemas.openxmlformats.org/officeDocument/2006/relationships/externalLinkPath" Target="file:///E:\FNC%20Factory%202024\1-%20Store%20Iron.11%20-%20&#1581;&#1583;&#1610;&#1583;1.xlsx" TargetMode="External"/><Relationship Id="rId1" Type="http://schemas.openxmlformats.org/officeDocument/2006/relationships/externalLinkPath" Target="/FNC%20Factory%202024/1-%20Store%20Iron.11%20-%20&#1581;&#1583;&#1610;&#1583;1.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2-%20Store%20General.11%20-&#1605;&#1608;&#1575;&#1583;%20&#1593;&#1575;&#1605;&#1577;.xlsx" TargetMode="External"/><Relationship Id="rId2" Type="http://schemas.openxmlformats.org/officeDocument/2006/relationships/externalLinkPath" Target="file:///E:\FNC%20Factory%202024\2-%20Store%20General.11%20-&#1605;&#1608;&#1575;&#1583;%20&#1593;&#1575;&#1605;&#1577;.xlsx" TargetMode="External"/><Relationship Id="rId1" Type="http://schemas.openxmlformats.org/officeDocument/2006/relationships/externalLinkPath" Target="/FNC%20Factory%202024/2-%20Store%20General.11%20-&#1605;&#1608;&#1575;&#1583;%20&#1593;&#1575;&#1605;&#1577;.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3-Store%20Electrical.111%20-%20&#1605;&#1608;&#1575;&#1583;%20&#1603;&#1607;&#1585;&#1576;&#1575;&#1569;%20.xlsx" TargetMode="External"/><Relationship Id="rId2" Type="http://schemas.openxmlformats.org/officeDocument/2006/relationships/externalLinkPath" Target="file:///E:\FNC%20Factory%202024\3-Store%20Electrical.111%20-%20&#1605;&#1608;&#1575;&#1583;%20&#1603;&#1607;&#1585;&#1576;&#1575;&#1569;%20.xlsx" TargetMode="External"/><Relationship Id="rId1" Type="http://schemas.openxmlformats.org/officeDocument/2006/relationships/externalLinkPath" Target="/FNC%20Factory%202024/3-Store%20Electrical.111%20-%20&#1605;&#1608;&#1575;&#1583;%20&#1603;&#1607;&#1585;&#1576;&#1575;&#1569;%20.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4-Store%20Plumbing.11-%20&#1589;&#1581;&#1610;&#1575;&#1578;.xlsx" TargetMode="External"/><Relationship Id="rId2" Type="http://schemas.openxmlformats.org/officeDocument/2006/relationships/externalLinkPath" Target="file:///E:\FNC%20Factory%202024\4-Store%20Plumbing.11-%20&#1589;&#1581;&#1610;&#1575;&#1578;.xlsx" TargetMode="External"/><Relationship Id="rId1" Type="http://schemas.openxmlformats.org/officeDocument/2006/relationships/externalLinkPath" Target="/FNC%20Factory%202024/4-Store%20Plumbing.11-%20&#1589;&#1581;&#1610;&#1575;&#1578;.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5-Store%20PVC%20+Aluminum.11%20-%20&#1605;&#1582;&#1586;&#1606;%20&#1576;&#1610;%20&#1601;&#1610;%20&#1587;&#1610;%20+%20&#1575;&#1604;&#1605;&#1606;&#1610;&#1608;&#1605;.xlsx" TargetMode="External"/><Relationship Id="rId2" Type="http://schemas.openxmlformats.org/officeDocument/2006/relationships/externalLinkPath" Target="file:///F:\FNC%20Factory%202024\5-Store%20PVC%20+Aluminum.11%20-%20&#1605;&#1582;&#1586;&#1606;%20&#1576;&#1610;%20&#1601;&#1610;%20&#1587;&#1610;%20+%20&#1575;&#1604;&#1605;&#1606;&#1610;&#1608;&#1605;.xlsx" TargetMode="External"/><Relationship Id="rId1" Type="http://schemas.openxmlformats.org/officeDocument/2006/relationships/externalLinkPath" Target="/FNC%20Factory%202024/5-Store%20PVC%20+Aluminum.11%20-%20&#1605;&#1582;&#1586;&#1606;%20&#1576;&#1610;%20&#1601;&#1610;%20&#1587;&#1610;%20+%20&#1575;&#1604;&#1605;&#1606;&#1610;&#1608;&#1605;.xlsx"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6-Store%20Paint%20&amp;Glue.111%20-%20&#1605;&#1582;&#1586;&#1606;%20&#1575;&#1589;&#1576;&#1575;&#1594;.xlsx" TargetMode="External"/><Relationship Id="rId2" Type="http://schemas.openxmlformats.org/officeDocument/2006/relationships/externalLinkPath" Target="file:///E:\FNC%20Factory%202024\6-Store%20Paint%20&amp;Glue.111%20-%20&#1605;&#1582;&#1586;&#1606;%20&#1575;&#1589;&#1576;&#1575;&#1594;.xlsx" TargetMode="External"/><Relationship Id="rId1" Type="http://schemas.openxmlformats.org/officeDocument/2006/relationships/externalLinkPath" Target="/FNC%20Factory%202024/6-Store%20Paint%20&amp;Glue.111%20-%20&#1605;&#1582;&#1586;&#1606;%20&#1575;&#1589;&#1576;&#1575;&#1594;.xlsx"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7-Store%20Split%20AC.11%20-%20%20&#1605;&#1582;&#1586;&#1606;%20&#1587;&#1576;&#1575;&#1604;&#1578;.xlsx" TargetMode="External"/><Relationship Id="rId2" Type="http://schemas.openxmlformats.org/officeDocument/2006/relationships/externalLinkPath" Target="file:///F:\FNC%20Factory%202024\7-Store%20Split%20AC.11%20-%20%20&#1605;&#1582;&#1586;&#1606;%20&#1587;&#1576;&#1575;&#1604;&#1578;.xlsx" TargetMode="External"/><Relationship Id="rId1" Type="http://schemas.openxmlformats.org/officeDocument/2006/relationships/externalLinkPath" Target="/FNC%20Factory%202024/7-Store%20Split%20AC.11%20-%20%20&#1605;&#1582;&#1586;&#1606;%20&#1587;&#1576;&#1575;&#1604;&#1578;.xlsx" TargetMode="External"/></Relationships>
</file>

<file path=xl/externalLinks/_rels/externalLink8.xml.rels><?xml version="1.0" encoding="UTF-8" standalone="yes"?>
<Relationships xmlns="http://schemas.openxmlformats.org/package/2006/relationships"><Relationship Id="rId3" Type="http://schemas.openxmlformats.org/officeDocument/2006/relationships/externalLinkPath" Target="../8-Store%20Furniture.11%20-%20&#1575;&#1579;&#1575;&#1579;.xlsx" TargetMode="External"/><Relationship Id="rId2" Type="http://schemas.openxmlformats.org/officeDocument/2006/relationships/externalLinkPath" Target="file:///F:\FNC%20Factory%202024\8-Store%20Furniture.11%20-%20&#1575;&#1579;&#1575;&#1579;.xlsx" TargetMode="External"/><Relationship Id="rId1" Type="http://schemas.openxmlformats.org/officeDocument/2006/relationships/externalLinkPath" Target="/FNC%20Factory%202024/8-Store%20Furniture.11%20-%20&#1575;&#1579;&#1575;&#1579;.xlsx" TargetMode="External"/></Relationships>
</file>

<file path=xl/externalLinks/_rels/externalLink9.xml.rels><?xml version="1.0" encoding="UTF-8" standalone="yes"?>
<Relationships xmlns="http://schemas.openxmlformats.org/package/2006/relationships"><Relationship Id="rId3" Type="http://schemas.openxmlformats.org/officeDocument/2006/relationships/externalLinkPath" Target="../9-Store%20Tools.11.xlsx" TargetMode="External"/><Relationship Id="rId2" Type="http://schemas.openxmlformats.org/officeDocument/2006/relationships/externalLinkPath" Target="file:///F:\FNC%20Factory%202024\9-Store%20Tools.11.xlsx" TargetMode="External"/><Relationship Id="rId1" Type="http://schemas.openxmlformats.org/officeDocument/2006/relationships/externalLinkPath" Target="/FNC%20Factory%202024/9-Store%20Tools.11.xlsx" TargetMode="External"/></Relationships>
</file>

<file path=xl/externalLinks/_rels/externalLink10.xml.rels><?xml version="1.0" encoding="UTF-8" standalone="yes"?>
<Relationships xmlns="http://schemas.openxmlformats.org/package/2006/relationships"><Relationship Id="rId3" Type="http://schemas.openxmlformats.org/officeDocument/2006/relationships/externalLinkPath" Target="../10-Store%20Sandwitch.Plywood.Vinyl.Alucopon.11%20-&#1587;&#1575;&#1606;&#1583;&#1608;&#1610;&#1580;%20&#1576;&#1606;&#1604;%20+%20&#1576;&#1604;&#1610;&#1608;&#1608;&#1583;%20+%20&#1601;&#1575;&#1610;&#1606;&#1604;%20+%20&#1575;&#1604;&#1610;&#1603;&#1608;&#1576;&#1608;&#1606;.xlsx" TargetMode="External"/><Relationship Id="rId2" Type="http://schemas.openxmlformats.org/officeDocument/2006/relationships/externalLinkPath" Target="file:///F:\FNC%20Factory%202024\10-Store%20Sandwitch.Plywood.Vinyl.Alucopon.11%20-&#1587;&#1575;&#1606;&#1583;&#1608;&#1610;&#1580;%20&#1576;&#1606;&#1604;%20+%20&#1576;&#1604;&#1610;&#1608;&#1608;&#1583;%20+%20&#1601;&#1575;&#1610;&#1606;&#1604;%20+%20&#1575;&#1604;&#1610;&#1603;&#1608;&#1576;&#1608;&#1606;.xlsx" TargetMode="External"/><Relationship Id="rId1" Type="http://schemas.openxmlformats.org/officeDocument/2006/relationships/externalLinkPath" Target="/FNC%20Factory%202024/10-Store%20Sandwitch.Plywood.Vinyl.Alucopon.11%20-&#1587;&#1575;&#1606;&#1583;&#1608;&#1610;&#1580;%20&#1576;&#1606;&#1604;%20+%20&#1576;&#1604;&#1610;&#1608;&#1608;&#1583;%20+%20&#1601;&#1575;&#1610;&#1606;&#1604;%20+%20&#1575;&#1604;&#1610;&#1603;&#1608;&#1576;&#1608;&#1606;.xlsx" TargetMode="External"/></Relationships>
</file>

<file path=xl/externalLinks/_rels/externalLink11.xml.rels><?xml version="1.0" encoding="UTF-8" standalone="yes"?>
<Relationships xmlns="http://schemas.openxmlformats.org/package/2006/relationships"><Relationship Id="rId3" Type="http://schemas.openxmlformats.org/officeDocument/2006/relationships/externalLinkPath" Target="../12-Store%20Safety.11.xlsx" TargetMode="External"/><Relationship Id="rId2" Type="http://schemas.openxmlformats.org/officeDocument/2006/relationships/externalLinkPath" Target="file:///F:\FNC%20Factory%202024\12-Store%20Safety.11.xlsx" TargetMode="External"/><Relationship Id="rId1" Type="http://schemas.openxmlformats.org/officeDocument/2006/relationships/externalLinkPath" Target="/FNC%20Factory%202024/12-Store%20Safety.11.xlsx" TargetMode="External"/></Relationships>
</file>

<file path=xl/externalLinks/_rels/externalLink12.xml.rels><?xml version="1.0" encoding="UTF-8" standalone="yes"?>
<Relationships xmlns="http://schemas.openxmlformats.org/package/2006/relationships"><Relationship Id="rId3" Type="http://schemas.openxmlformats.org/officeDocument/2006/relationships/externalLinkPath" Target="../13-Store%20General%20Construction.11.xlsx" TargetMode="External"/><Relationship Id="rId2" Type="http://schemas.openxmlformats.org/officeDocument/2006/relationships/externalLinkPath" Target="file:///F:\FNC%20Factory%202024\13-Store%20General%20Construction.11.xlsx" TargetMode="External"/><Relationship Id="rId1" Type="http://schemas.openxmlformats.org/officeDocument/2006/relationships/externalLinkPath" Target="/FNC%20Factory%202024/13-Store%20General%20Construction.11.xlsx" TargetMode="External"/></Relationships>
</file>

<file path=xl/externalLinks/_rels/externalLink13.xml.rels><?xml version="1.0" encoding="UTF-8" standalone="yes"?>
<Relationships xmlns="http://schemas.openxmlformats.org/package/2006/relationships"><Relationship Id="rId3" Type="http://schemas.openxmlformats.org/officeDocument/2006/relationships/externalLinkPath" Target="../14-Store%20Disinfectants.cleaner.11%20&#1605;&#1606;&#1592;&#1601;&#1575;&#1578;1.xlsx" TargetMode="External"/><Relationship Id="rId2" Type="http://schemas.openxmlformats.org/officeDocument/2006/relationships/externalLinkPath" Target="file:///F:\FNC%20Factory%202024\14-Store%20Disinfectants.cleaner.11%20&#1605;&#1606;&#1592;&#1601;&#1575;&#1578;1.xlsx" TargetMode="External"/><Relationship Id="rId1" Type="http://schemas.openxmlformats.org/officeDocument/2006/relationships/externalLinkPath" Target="/FNC%20Factory%202024/14-Store%20Disinfectants.cleaner.11%20&#1605;&#1606;&#1592;&#1601;&#1575;&#1578;1.xlsx" TargetMode="External"/></Relationships>
</file>

<file path=xl/externalLinks/_rels/externalLink14.xml.rels><?xml version="1.0" encoding="UTF-8" standalone="yes"?>
<Relationships xmlns="http://schemas.openxmlformats.org/package/2006/relationships"><Relationship Id="rId3" Type="http://schemas.openxmlformats.org/officeDocument/2006/relationships/externalLinkPath" Target="../15-Outside%20Area%20Electric%20Cables.xlsx" TargetMode="External"/><Relationship Id="rId2" Type="http://schemas.openxmlformats.org/officeDocument/2006/relationships/externalLinkPath" Target="file:///F:\FNC%20Factory%202024\15-Outside%20Area%20Electric%20Cables.xlsx" TargetMode="External"/><Relationship Id="rId1" Type="http://schemas.openxmlformats.org/officeDocument/2006/relationships/externalLinkPath" Target="/FNC%20Factory%202024/15-Outside%20Area%20Electric%20Cab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sheetName val="Iron Angle 5 5 3mm 6m"/>
      <sheetName val=" Galvanis Pipe 4 8 2mm 6mt"/>
      <sheetName val=" Gutter Galvanis 2mm 6mm 3.5 10"/>
      <sheetName val=" Iron Plate 10mm"/>
      <sheetName val="Galvanis Plate 2mm 160cm 20 120"/>
      <sheetName val="Galvanis Plate 2mm 180cm 45 805"/>
      <sheetName val="Galvanis Plate 2mm 3mt 37 27.5 "/>
      <sheetName val="Galvanis Plate 2mm 5.05mt "/>
      <sheetName val="Galvanis Plate 2mm 5.15mt "/>
      <sheetName val="Galvanis Plate angel 2mm 4 12cm"/>
      <sheetName val="Galvanis Plate 2mm 85cm 20 120 "/>
      <sheetName val="Galvanis Plate 2mm 4.99mt "/>
      <sheetName val="Galvanis Plate 2mm "/>
      <sheetName val=" Iron Plate 2mm 25 25_x0009__x0009_"/>
      <sheetName val=" Iron Plate Traingle 10mm 30 15"/>
      <sheetName val="HEA Iron 10cm 12m"/>
      <sheetName val="HEA Iron 14cm 12m"/>
      <sheetName val="HEA Iron 16cm 12m"/>
      <sheetName val="HEA Iron 18cm 12m"/>
      <sheetName val="HPE Iron 12cm 12m"/>
      <sheetName val="IPE Iron 10cm 6m_x0009__x0009_"/>
      <sheetName val="IPE Iron 14cm 12m"/>
      <sheetName val="IPE Iron 12cm 12m"/>
      <sheetName val="IPE Iron 12m  20cm"/>
      <sheetName val="IPE Iron 16cm 12m"/>
      <sheetName val="IPE Iron 18cm 12m"/>
      <sheetName val="IPE Iron 20cm 12m"/>
      <sheetName val="IPE Iron 20cm 6m"/>
      <sheetName val="IPE Iron 24cm 12m"/>
      <sheetName val="IPE Iron 22cm 12m"/>
      <sheetName val="IPE Iron 27cm 12m"/>
      <sheetName val="IPE Iron 30cm 12m"/>
      <sheetName val="IPE Iron 40cm 12m"/>
      <sheetName val="IPE Iron 6m  12cm"/>
      <sheetName val="IPE Iron 8 4.5cm 6m"/>
      <sheetName val=" Pipe Galvanis 1.2mm 1&quot; 1&quot; 6m"/>
      <sheetName val="Angle Carvuture Iron 0.6mm 3m 5"/>
      <sheetName val="Angle Iron  10 10 10mm 6mt"/>
      <sheetName val="Angle Iron  10 10 6mm 6mt"/>
      <sheetName val="Angle Iron  2.5 2.5 6mm 6mt"/>
      <sheetName val="Angle Iron 3 3 3mm 6mt"/>
      <sheetName val="Iron Angle 4 4  3mm_x0009_"/>
      <sheetName val="Iron Angle 5 5 4mm "/>
      <sheetName val="Iron Angle 3 3 2mm 6m"/>
      <sheetName val="Angle Iron 6 6 5mm 6mt"/>
      <sheetName val="Angle Iron 7 7 4mm_x0009_"/>
      <sheetName val="Iron Plate 3mm 6mt 3 6 8 19 3cm"/>
      <sheetName val="Angle Trangle 8mm 12 7cm"/>
      <sheetName val="Barbed Wires Single"/>
      <sheetName val="BRC 15 15cm 2 6m 6mm"/>
      <sheetName val="BRC Galvanis 5mm "/>
      <sheetName val="BRC Glavnais 2 2 4mm"/>
      <sheetName val="Circular Barbed Wire 60cm"/>
      <sheetName val="Container 12mt Use 290cm"/>
      <sheetName val="Container 6mt Use"/>
      <sheetName val="Cover Galvanis Plate 2mm  37 27"/>
      <sheetName val="Cover Gutter"/>
      <sheetName val="Cover Gutter Galvanis 1.5mm 320"/>
      <sheetName val="Duoble Iron Door 202 180cm"/>
      <sheetName val="Duoble Iron Door Single 160cm"/>
      <sheetName val="Flashing Plate 0.6mm "/>
      <sheetName val="Flashing Plate 1mm"/>
      <sheetName val="Flashing Plate 1mm  30 60 White"/>
      <sheetName val="Flashing Plate 1mm 1m 25 40 25 "/>
      <sheetName val="Flashing Plate 1mm 1m 7.5 7.5 W"/>
      <sheetName val="Flashing Plate 1mm 4m 3 2 20 Wh"/>
      <sheetName val="Flashing Plate 1mm 6m  1 8 4cm "/>
      <sheetName val="Flashing Plate 1mm 6m  10 40cm "/>
      <sheetName val="Flashing Plate 1mm 6m  5 44 20 "/>
      <sheetName val="Flashing White Plate 1mm 1 2.5 "/>
      <sheetName val="Flashing White Plate 1mm 1.5"/>
      <sheetName val="Flashing White Plate 1mm 1.5 2."/>
      <sheetName val="Flashing White Plate 1mm 1.52.5"/>
      <sheetName val="Flashing White Plate 1mm 13 13"/>
      <sheetName val="Flashing White Plate 1mm 22 22"/>
      <sheetName val="Flashing White Plate 1mm 3m 16."/>
      <sheetName val="Flashing White Plate 1mm 4 10 1"/>
      <sheetName val="Flashing White Plate 1mm 4 6"/>
      <sheetName val="Flashing White Plate 1mm 4 8 1."/>
      <sheetName val="Flashing White Plate 1mm 6 8 7 "/>
      <sheetName val="Grating 1 2m_x0009_"/>
      <sheetName val="Grating 1 3m_x0009_"/>
      <sheetName val="Grating 2 3m"/>
      <sheetName val="Grating 80 300cm_x0009__x0009_"/>
      <sheetName val="Galvanis C Channel 0.6mm "/>
      <sheetName val="Galvanis C Channel 1mm 3mm 3 5."/>
      <sheetName val="Galvanis C Channel 1mm 3mm 2.5 "/>
      <sheetName val="Galvanis C Channel 1mm 3mt 1.5 "/>
      <sheetName val="Galvanis C Channel 1mm 3mt 2.5 "/>
      <sheetName val="Galvanis C Channel 2mm 3mt 25 6"/>
      <sheetName val="Galvanis Pipe 2 4 1.5mm 6m"/>
      <sheetName val="Galvanis Pipe 3mt 48mm with Bas"/>
      <sheetName val="Galvanis Pipe 4 2 2mm"/>
      <sheetName val="Galvanized Pipe 4 4 1.5mm "/>
      <sheetName val="Galvanis Pipe 4 6 2mm"/>
      <sheetName val="Galvanis Pipe 4 4 2mm"/>
      <sheetName val="Galvanis Pipe 4 6cm 1.2mm"/>
      <sheetName val="Galvanis Pipe 4 6cm 1.5mm"/>
      <sheetName val="Galvanis Pipe 4 6cm 2mm"/>
      <sheetName val="Galvanis Plate 0.6mm 125 300cm "/>
      <sheetName val="Galvanis Plate 0.6mm 125 620cm"/>
      <sheetName val="Galvanis Plate 0.6mm 125cm"/>
      <sheetName val="Galvanis Plate 0.6mm 12m 122.5c"/>
      <sheetName val="Galvanis Plate 0.6mm 3.3mt Jenk"/>
      <sheetName val="Galvanis Plate 0.6mm 3mt 3 14cm"/>
      <sheetName val="Galvanis Plate 0.6mm 3mt 3 15.5"/>
      <sheetName val="Galvanis Plate 0.6mm 3mt jenko"/>
      <sheetName val="Galvanis Plate 0.6mm 4mt Jenko"/>
      <sheetName val="Galvanis Plate 0.6mm 8.10m 122."/>
      <sheetName val="Galvanis Plate 1.2mm 3mt 5 15cm"/>
      <sheetName val="Galvanis Plate 1.2mm 3mt 5 35 2"/>
      <sheetName val="Galvanis Plate 1.2mm 3mt 5 8 25"/>
      <sheetName val="Galvanis Plate 1.2mm 3mt 6 10cm"/>
      <sheetName val="Galvanis Plate 1mm 125 300cm"/>
      <sheetName val="Galvanis Plate 1mm 3mt 15cm"/>
      <sheetName val="Galvanis Plate 1mm 3mt 5 4 27 5"/>
      <sheetName val="Galvanis Plate 1mm 3mt 7 27 7cm"/>
      <sheetName val="Galvanis Plate 1mm 4mt 8 22.5cm"/>
      <sheetName val="Galvanis Plate 1mm 4mt 8 5cm"/>
      <sheetName val="Galvanis Plate 1mm 4mt jenko "/>
      <sheetName val="Galvanis Plate 1mm 5.5mt jenko "/>
      <sheetName val="Galvanis Plate 1mm 5m jenko"/>
      <sheetName val="Galvanis Plate 1mm 6mt jenko"/>
      <sheetName val="Iron Angle 5 5 5mm"/>
      <sheetName val="Iron Angle 5mm 7.5 7.5cm "/>
      <sheetName val="Iron Angle 8 8   6mm "/>
      <sheetName val="Iron Angle 8mm  15 15cm 25cm "/>
      <sheetName val="Iron Angle 8mm  15 15cm 25cm wi"/>
      <sheetName val="Iron Angle 8 8 24cm 6mm "/>
      <sheetName val="Iron C Channel 10cm 6m"/>
      <sheetName val="Iron C Channel 12cm 6m"/>
      <sheetName val="Iron C Channel 14cm 6m"/>
      <sheetName val="Iron C Channel 16cm 6m"/>
      <sheetName val="Iron C Channel 18cm 6mt"/>
      <sheetName val="Iron C Channel 3mm 3m_x0009__x0009_"/>
      <sheetName val="Iron C Channel 6.5cm 6m"/>
      <sheetName val="Iron C Channel 8cm 6m"/>
      <sheetName val="Iron Cover Round  6mm 314mm"/>
      <sheetName val="Iron Cowl Panel 1mt Jenko"/>
      <sheetName val="Iron expanded Metal Sheet (BRC)"/>
      <sheetName val="Iron Gutter 3mt 2mm 2 21 14 14 "/>
      <sheetName val="Iron Gutter 4mm 6mt 3 3 10.5 3"/>
      <sheetName val="Iron Jucker Plate 3mm 1.5 3m"/>
      <sheetName val="Iron Jucker Plate 3mm 1 2m"/>
      <sheetName val="Iron Jucker Plate 3mm 2.5 1.25m"/>
      <sheetName val="Iron Jucker Plate 3mm 2.5 1.5m"/>
      <sheetName val="Iron Jucker Plate 3mm 20 23 20"/>
      <sheetName val="Iron Jucker Plate 3mm 75 75cm"/>
      <sheetName val="Iron Jucker Plate 3mm 75cm 4 25"/>
      <sheetName val="Iron Jucker Plate 4mm 1 2mt"/>
      <sheetName val="Iron Jucker Plate 6mm 60 58"/>
      <sheetName val="Iron Jucker Plate 6mm 74 64"/>
      <sheetName val="Iron Pipe  4 4 1.5mm_x0009__x0009__x0009__x0009_"/>
      <sheetName val="Iron pipe  4 6cm 3mm"/>
      <sheetName val="Iron Pipe 1 2cm 1.5mm 6mt"/>
      <sheetName val="Iron Pipe 2.5 2.5 3mm 6mt"/>
      <sheetName val="Iron Pipe 10 10 1.5mm 6mt"/>
      <sheetName val="Iron Pipe 10 10 2mm 6mt"/>
      <sheetName val="Iron Pipe 10 10 3mm 6mt"/>
      <sheetName val="Iron Pipe 10 10 4mm 6mt"/>
      <sheetName val="Iron Pipe 10 10 3mm 8mt"/>
      <sheetName val="Iron Pipe 10 10 5mm 6mt"/>
      <sheetName val="Iron Pipe 10 15  3mm 6mt"/>
      <sheetName val="Iron Pipe 10 15 4mm 6mt"/>
      <sheetName val="Iron Pipe 10 20 4mm 6mt"/>
      <sheetName val="Iron Pipe 12 12 4mm_x0009_"/>
      <sheetName val="Iron Pipe 12 12 6mm"/>
      <sheetName val="Iron Pipe 15 15  3mm_x0009_"/>
      <sheetName val="Iron Pipe 2 4cm  2mm "/>
      <sheetName val="Iron Pipe 2.5 2.5  1.5mm_x0009_"/>
      <sheetName val="Iron Pipe 2.5 2.5  2mm_x0009_"/>
      <sheetName val="Iron Pipe 2.5 5 2mm"/>
      <sheetName val="Iron pipe 3 3 2mm_x0009__x0009_"/>
      <sheetName val="Iron Pipe 4 2cm 2mm"/>
      <sheetName val="Iron Pipe 4 4 2mm_x0009_"/>
      <sheetName val="Iron Pipe 4 4 3mm"/>
      <sheetName val="Iron Pipe 4 6 2mm_x0009_"/>
      <sheetName val="Iron Pipe 4 8 1.5mm"/>
      <sheetName val="Iron Pipe 4 8 2mm"/>
      <sheetName val="Iron Pipe 4 8 3mm_x0009_"/>
      <sheetName val="Iron Pipe 4 8 4mm 6m"/>
      <sheetName val="Iron Pipe 5 10 1.5m 6mt"/>
      <sheetName val="Iron Pipe 5 10 2mm 6mt"/>
      <sheetName val="Iron Pipe 5 10 2mm 7.7m"/>
      <sheetName val="Iron Pipe 5 10 3mm 6mt"/>
      <sheetName val="Iron Pipe 5 10 3mm 7.25mt"/>
      <sheetName val="Iron Pipe 5 10 3mm 7.7m"/>
      <sheetName val="Iron Pipe 5 15 3mm 6mt"/>
      <sheetName val="Iron Pipe 5 15 2mm 6mt"/>
      <sheetName val="Iron Pipe 5 5 2mm 6mt"/>
      <sheetName val="Iron Pipe 5 5 3mm 6mt"/>
      <sheetName val="Iron Pipe 5 5 4mm 6mt"/>
      <sheetName val="Iron Pipe 6 12  3mm 6m"/>
      <sheetName val="Iron Pipe 6 6 3mm"/>
      <sheetName val="Iron Pipe 8 8 2mm"/>
      <sheetName val="Iron Pipe 8 8 3mm_x0009_"/>
      <sheetName val="Iron Pipe 8 8 4mm"/>
      <sheetName val="Iron Pipe Round  5mm"/>
      <sheetName val="Iron Pipe Round 1.4mm 42mm 6mt"/>
      <sheetName val="Iron Pipe Round 1.5mm 76mm"/>
      <sheetName val="Iron Pipe Round 3mm 76mm 6mt"/>
      <sheetName val="Iron Pipe Round 5cm galvanize_x0009__x0009_"/>
      <sheetName val="Iron Pipe Round 3mm 27mm "/>
      <sheetName val="Iron Pipe Round 32mm 20mm 6mt"/>
      <sheetName val="Iron Pipe Round 3mm 11.4cm 6mt"/>
      <sheetName val="Iron Pipe Round 3mm 6cm 6mm"/>
      <sheetName val="Iron Pipe Round 3mm 7.5cm 6m "/>
      <sheetName val="Iron Pipe Round 4mm 21cm 6mt"/>
      <sheetName val="Iron Plate 1.2mm 2.5 1.25mt"/>
      <sheetName val="Iron Plate 1.5mm 2.5 1.25mt"/>
      <sheetName val="Iron Plate 10mm 14 24"/>
      <sheetName val="Iron Plate 10mm 14 26cm"/>
      <sheetName val="Iron Plate 10mm 15 15cm"/>
      <sheetName val="Iron Plate 10mm 15 36cm"/>
      <sheetName val="Iron Plate 10mm 15 42cm"/>
      <sheetName val="Iron Plate 10mm 20 20cm"/>
      <sheetName val="Iron Plate 10mm 20 28cm"/>
      <sheetName val="Iron Plate 10mm 22 22cm"/>
      <sheetName val="Iron plate 10mm 22 22cm "/>
      <sheetName val="Iron Plate 10mm 25 10cm "/>
      <sheetName val="Iron Plate 10mm 25 25cm "/>
      <sheetName val="Iron Plate 10mm 30 30cm"/>
      <sheetName val="Iron Plate 10mm 31 19cm"/>
      <sheetName val="Iron Plate 10mm 31 26cm"/>
      <sheetName val="Iron Plate 10mm 32 54cm"/>
      <sheetName val="Iron Plate 10mm 43.5 43.5cm"/>
      <sheetName val="Iron Plate 10mm 5.5 21.8cm"/>
      <sheetName val="Iron Plate 10mm 7 27.5cm"/>
      <sheetName val="Iron Plate 10mm 8 14cm"/>
      <sheetName val="Iron Plate 10mm 8 18cm"/>
      <sheetName val="Iron Plate 12mm"/>
      <sheetName val="Iron Plate 15mm "/>
      <sheetName val="Iron plate 16mm 24 34cm_x0009_"/>
      <sheetName val="Iron Plate 1mm  1200mm Freame"/>
      <sheetName val="Iron Plate 20mm 30 25"/>
      <sheetName val="Iron Plate 20mm 30 40cm"/>
      <sheetName val="Iron plate 2mm 1.5 3mt"/>
      <sheetName val="Iron plate 2mm 1.5 6mt"/>
      <sheetName val="Iron Plate 2mm 10cm  3mt"/>
      <sheetName val="Iron Plate 2mm 20 35cm"/>
      <sheetName val="Iron Plate 2mm 3 1.25mt"/>
      <sheetName val="Iron Plate 2mm 4cm 6mt"/>
      <sheetName val="Iron Plate 2mm 3m For Container"/>
      <sheetName val="Iron Plate 3mm "/>
      <sheetName val="Iron plate 3mm 6m 2 15 15 9 2_x0009_"/>
      <sheetName val="Iron Plate 3mm 6m 2 9 15 20 2cm"/>
      <sheetName val="Iron plate 3mm 6m 3 3 10.5 3_x0009_"/>
      <sheetName val="Iron plate 3mm 6m 3 3 10.6 3"/>
      <sheetName val="Iron plate 3mm 6m 3 3 15 15 3 3"/>
      <sheetName val="Iron plate 3mm 6m 3 5 10.6 4"/>
      <sheetName val="Iron Plate 3mm 6m 3 5 15 15 5 3"/>
      <sheetName val="Iron Plate 3mm 6m 3 5 5 20 4cm"/>
      <sheetName val="Iron Plate 3mm 6mt 3 3 12 7cm"/>
      <sheetName val="Iron Plate 3mm 6mt 6 10.8 3cm"/>
      <sheetName val="Iron Plate 3mm 6mt 3 3 10.8 3cm"/>
      <sheetName val="Iron Plate 4mm "/>
      <sheetName val="Iron Plate 4mm 3m 3.5 5.3 17.8 "/>
      <sheetName val="Iron Plate 4mm 6m 30 30 106 30"/>
      <sheetName val="Iron Plate 5mm 125 250cm"/>
      <sheetName val="Iron Plate 5mm 4.5 17"/>
      <sheetName val="Iron Plate 5mm 5cm 12 17"/>
      <sheetName val="Iron Plate 5mm 5cm 15 15"/>
      <sheetName val="Iron Plate 6mm "/>
      <sheetName val="Iron Plate 6mm 10 13cm "/>
      <sheetName val="Iron Plate 6mm 11 15cm"/>
      <sheetName val="Iron Plate 6mm 15 15cm"/>
      <sheetName val="Iron Plate 6mm 19 19cm"/>
      <sheetName val="Iron Plate 6mm 25 35"/>
      <sheetName val="Iron Plate 6mm 6mt"/>
      <sheetName val="Iron Plate 6mm 8 8 8cm"/>
      <sheetName val="Iron Plate 8mm"/>
      <sheetName val="Iron Plate 8mm 2 2 15 7"/>
      <sheetName val="Iron Plate 8mm 34 24cm"/>
      <sheetName val="Iron Plte 5mm 12cm 5 17 5"/>
      <sheetName val="Iron Rod  16mm 6m"/>
      <sheetName val="Iron Rod  20mm 6m"/>
      <sheetName val="Iron Rod  25mm "/>
      <sheetName val="Iron Rod Armor 10mm 12m"/>
      <sheetName val="Iron Rod Armor 12mm 12m"/>
      <sheetName val="Iron Rod Armor 14mm 6m"/>
      <sheetName val="Iron Rod Armor 16mm 12m"/>
      <sheetName val="Iron Rod Smooth 10mm 6mt"/>
      <sheetName val="Iron Rod Smooth 12mm 6m"/>
      <sheetName val="Iron Rod Smooth 20mm 6m"/>
      <sheetName val="Iron Rod Smooth 16mm 6m"/>
      <sheetName val="Iron Rod Smooth 30mm 6m"/>
      <sheetName val="Iron Square Metal Tube 10cm 8mm"/>
      <sheetName val="Iron Square Metal Tube 2mm 10cm"/>
      <sheetName val="Iron Square Metal Tube 5cm 3mm "/>
      <sheetName val="Iron Stunfer 6mm 11.5 5cm"/>
      <sheetName val="Iron Trangle 5 5 2mm_x0009_"/>
      <sheetName val="Iron Trangle 5 5 2.5mm"/>
      <sheetName val="Iron White Plate 0.6mm 1.31mt j"/>
      <sheetName val="Iron White Plate 0.6mm 11.5mt j"/>
      <sheetName val="Iron White Plate 0.6mm 3.2mt je"/>
      <sheetName val="Iron White Plate 0.6mm 3.5mt je"/>
      <sheetName val="Iron White Plate 0.6mm 3.6mt Je"/>
      <sheetName val="Iron White Plate 0.6mm 3.95mt j"/>
      <sheetName val="Iron White Plate 0.6mm 3m 2.5 9"/>
      <sheetName val="Iron White Plate 0.6mm 3m 3 13 "/>
      <sheetName val="Iron white plate 0.6mm 4.15mt j"/>
      <sheetName val="Iron White Plate 0.6mm 4.1mt Je"/>
      <sheetName val="Iron White Plate 0.6mm 4.3mt"/>
      <sheetName val="Iron White Plate 0.6mm 4.3mt je"/>
      <sheetName val="Iron White Plate 0.6mm 4.85mt j"/>
      <sheetName val="Iron White Plate 0.6mm 5.5mt je"/>
      <sheetName val="Iron White Plate 0.6mm 5mt jenk"/>
      <sheetName val="Iron white plate 0.6mm 6.1mt je"/>
      <sheetName val="Iron White Plate 0.6mm 6.5mt je"/>
      <sheetName val="Iron White Plate 0.6mm 6mt jenk"/>
      <sheetName val="Iron White Plate 0.6mm 7.2mt Je"/>
      <sheetName val="Iron White Plate 0.6mm 7.3mt je"/>
      <sheetName val="Iron White Plate 0.6mm 7.6mt je"/>
      <sheetName val="Iron White Plate 0.6mm 7.75mt j"/>
      <sheetName val="Iron White Plate 0.6mm 7.86mt j"/>
      <sheetName val="Iron White Plate 0.6mm 8.2mt je"/>
      <sheetName val="Iron white Plate 0.6mm 8.3mt je"/>
      <sheetName val="Iron White Plate 0.6mm 9.23mt j"/>
      <sheetName val="Iror Pipe Round 38mm 6m 2mm"/>
      <sheetName val="Jucker Plate  3mm 1.25 3m"/>
      <sheetName val="Left Iron Door Single 95.5 200."/>
      <sheetName val="Lift Point 10mm 10 15.5cm"/>
      <sheetName val="Lift Point 10mm 10cm 40cm "/>
      <sheetName val="Lifting Point Plate 10mm 15 10c"/>
      <sheetName val="Lift Point 10mm 38mm"/>
      <sheetName val="Lift Point 4mm "/>
      <sheetName val="Lift Point 12mm 15 10"/>
      <sheetName val="Pipe Galvanis 1&quot; 28cm with toot"/>
      <sheetName val="Pipe Galvanis 1&quot; 29cm with toot"/>
      <sheetName val="Pipe Galvanis 1&quot; 31cm with toot"/>
      <sheetName val="Pipe Galvanis 1&quot; 34cm with toot"/>
      <sheetName val="Pipe Galvanis 1&quot; 93cm with toot"/>
      <sheetName val="Pipe Galvanis 36.5mm 6mt"/>
      <sheetName val="Pipe Galvanis 4 8 2mm 6m"/>
      <sheetName val="Pipe Iron 6 12 3mt"/>
      <sheetName val="Pipe Round 169mm 6mm 6mt"/>
      <sheetName val="Plate 10mm 18 12cm "/>
      <sheetName val="Plate 1mm  width 125"/>
      <sheetName val="Plate 1mm Freame"/>
      <sheetName val="Iron Plate 3mm 6mt 3 3 16 15 6 "/>
      <sheetName val="Iron Plate 5mm "/>
      <sheetName val="Plate 25mm"/>
      <sheetName val="Plate 5mm  35 55 cm"/>
      <sheetName val="Plate 5mm 60  40cm"/>
      <sheetName val="Plate 5mm 6m 4 20 40cm"/>
      <sheetName val="Plate 6mm 1m 4 20 40cm"/>
      <sheetName val="Plate 6mm 20 40cm "/>
      <sheetName val="Plate 6mm 25 9cm "/>
      <sheetName val="Plate 8mm 4 16cm"/>
      <sheetName val="Plate 8mm 9 18cm"/>
      <sheetName val="Plate Frame 1mm  18.2cm"/>
      <sheetName val="Plate Frame Galvanis 18.2cm"/>
      <sheetName val="Plate Galvanis 0.6mm 3 1.25m"/>
      <sheetName val="Plate Galvanis 0.6mm 4 1.25m"/>
      <sheetName val="Plate Galvanis 3mm 3m 7 9.7 7"/>
      <sheetName val="Plate Galvanis 3mm 40 36cm"/>
      <sheetName val="Plate Stan Steel 1mm 1.24 2.5mt"/>
      <sheetName val="Plate Stanless Steel 3mm 3 1.53"/>
      <sheetName val="Plate1 1mm  Freame"/>
      <sheetName val="Right Iron Door Single 95.5 200"/>
      <sheetName val="Iron C Channel 3mm 3m"/>
      <sheetName val="Iron plate 16mm 24 34cm"/>
      <sheetName val="Split T Galvanis 4&quot; 10.5cm"/>
      <sheetName val="Sptic Tank "/>
      <sheetName val="Sptic Tank 10000LT"/>
      <sheetName val="Sptic Tank 5000lt"/>
      <sheetName val="Stainless Steel 1.2mm 125cm 10m"/>
      <sheetName val="Steel Plate 0.75mm 300 150cm"/>
      <sheetName val="Thick Square Iron 12mm  6m_x0009__x0009_"/>
      <sheetName val="White Plate 0.6mm 3.5m 18 20"/>
      <sheetName val="White Plate 0.6mm 3.5m 2.5 9 20"/>
      <sheetName val="White Plate 0.6mm 3m 18 20cm"/>
      <sheetName val="White Plate 0.6mm 3m 3 9 3cm"/>
      <sheetName val="White Plate 1mm 4.5mt 3 3 8 25c"/>
      <sheetName val="White Plate 1mm 4.5mt3 8 8 20 2"/>
      <sheetName val="White Plate 1mm 6mt 2 15 20cm"/>
      <sheetName val="White Plate 1mm 6mt 40 165mm"/>
      <sheetName val="White Plate 1mm 6mt 9 17.7cm"/>
      <sheetName val="White Plate Flashing 1mm 2 10 1"/>
      <sheetName val="White Plate Flashing 1mm 2 2 10"/>
      <sheetName val="White Plate Flashing 1mm 2 2 5 "/>
      <sheetName val="White Plate Flashing 1mm 2 2 8 "/>
      <sheetName val="White Plate Flashing 1mm 2 3 26"/>
      <sheetName val="White Plate Flashing 1mm 3 10 1"/>
      <sheetName val="White Plate Flashing 1mm 3 18 1"/>
      <sheetName val="White Plate Flashing 1mm 3 3 7 "/>
      <sheetName val="White Plate Flashing 1mm 3 5.5 "/>
      <sheetName val="White Plate Flashing 1mm 3 5cm"/>
      <sheetName val="White Plate Flashing 1mm 3 8.5 "/>
      <sheetName val="White Plate Flashing 1mm 3 9 9 "/>
      <sheetName val="White Plate Flashing 1mm 4 5cm"/>
      <sheetName val="White Plate Flashing 1mm3.8mt "/>
      <sheetName val="بليت حديد 15 15 8ملم "/>
      <sheetName val="بليت مغلون 3ملم"/>
      <sheetName val="بوري حديد مدور 3ملم 76سم 6م"/>
      <sheetName val="جينكو ابيض 0.6ملم 3.90متر _x0009__x0009_"/>
      <sheetName val="شيش صبة 12ملم 6متر "/>
      <sheetName val="كلفنايز بليت مغلون 6 ملم"/>
      <sheetName val="كيتر مغلون 2ملم 3متر"/>
      <sheetName val="Iron Pipe 6 6 2mm"/>
      <sheetName val="Iron Pipe 2 2cm  2mm "/>
      <sheetName val="Iron Pipe 1.5 1.5 1.5mm 6mt"/>
      <sheetName val="Containers Lifting Point "/>
      <sheetName val="Sptic Tank 5000lt (2)"/>
      <sheetName val="Iron Angle 4 4 2mm , 6mt "/>
      <sheetName val="BRC Galvanis 4mm "/>
      <sheetName val="Galvanizing in Sulaymaniyah Fac"/>
      <sheetName val="IPE Iron 36cm 12m"/>
      <sheetName val="Galvanized C Channel 0.6mm 3m 1"/>
      <sheetName val="Galvanized C Channel 0.6mm 2.5 "/>
      <sheetName val="Galvanized  C Channel 0.6mm 3m "/>
      <sheetName val="harp stone crasher"/>
      <sheetName val="Iron Plate 3mm 6mt 3 6 15 19 3c"/>
      <sheetName val="Iron Plate 3mm 6mt 3 19 8 6 3cm"/>
    </sheetNames>
    <sheetDataSet>
      <sheetData sheetId="0">
        <row r="4">
          <cell r="E4">
            <v>9.5</v>
          </cell>
          <cell r="F4">
            <v>0</v>
          </cell>
        </row>
        <row r="5">
          <cell r="E5">
            <v>12</v>
          </cell>
          <cell r="F5">
            <v>0</v>
          </cell>
        </row>
        <row r="6">
          <cell r="E6">
            <v>19</v>
          </cell>
          <cell r="F6">
            <v>0</v>
          </cell>
        </row>
        <row r="7">
          <cell r="E7">
            <v>40</v>
          </cell>
          <cell r="F7">
            <v>0</v>
          </cell>
        </row>
        <row r="8">
          <cell r="E8">
            <v>78</v>
          </cell>
          <cell r="F8">
            <v>0.2979999999999996</v>
          </cell>
        </row>
        <row r="9">
          <cell r="E9">
            <v>4</v>
          </cell>
          <cell r="F9">
            <v>0</v>
          </cell>
        </row>
        <row r="10">
          <cell r="E10">
            <v>13.5</v>
          </cell>
          <cell r="F10">
            <v>0</v>
          </cell>
        </row>
        <row r="11">
          <cell r="E11">
            <v>19</v>
          </cell>
          <cell r="F11">
            <v>0</v>
          </cell>
        </row>
        <row r="12">
          <cell r="E12">
            <v>22</v>
          </cell>
          <cell r="F12">
            <v>0</v>
          </cell>
        </row>
        <row r="13">
          <cell r="E13">
            <v>12</v>
          </cell>
          <cell r="F13">
            <v>0</v>
          </cell>
        </row>
        <row r="14">
          <cell r="E14">
            <v>35</v>
          </cell>
          <cell r="F14">
            <v>1.25</v>
          </cell>
        </row>
        <row r="15">
          <cell r="E15">
            <v>245</v>
          </cell>
          <cell r="F15">
            <v>0.35</v>
          </cell>
        </row>
        <row r="16">
          <cell r="E16">
            <v>380</v>
          </cell>
          <cell r="F16">
            <v>0</v>
          </cell>
        </row>
        <row r="17">
          <cell r="E17">
            <v>475</v>
          </cell>
          <cell r="F17">
            <v>0.35</v>
          </cell>
        </row>
        <row r="18">
          <cell r="E18">
            <v>56</v>
          </cell>
          <cell r="F18">
            <v>0</v>
          </cell>
        </row>
        <row r="19">
          <cell r="E19">
            <v>74</v>
          </cell>
          <cell r="F19">
            <v>3</v>
          </cell>
        </row>
        <row r="20">
          <cell r="E20">
            <v>100</v>
          </cell>
          <cell r="F20">
            <v>1.3399999999999999</v>
          </cell>
        </row>
        <row r="21">
          <cell r="E21">
            <v>275</v>
          </cell>
          <cell r="F21">
            <v>1</v>
          </cell>
        </row>
        <row r="22">
          <cell r="E22">
            <v>38</v>
          </cell>
          <cell r="F22">
            <v>0</v>
          </cell>
        </row>
        <row r="23">
          <cell r="E23">
            <v>42</v>
          </cell>
          <cell r="F23">
            <v>10</v>
          </cell>
        </row>
        <row r="24">
          <cell r="E24">
            <v>82</v>
          </cell>
          <cell r="F24">
            <v>15</v>
          </cell>
        </row>
        <row r="25">
          <cell r="E25">
            <v>40</v>
          </cell>
          <cell r="F25">
            <v>0</v>
          </cell>
        </row>
        <row r="26">
          <cell r="E26">
            <v>79</v>
          </cell>
          <cell r="F26">
            <v>8</v>
          </cell>
        </row>
        <row r="27">
          <cell r="E27">
            <v>36</v>
          </cell>
          <cell r="F27">
            <v>12.5</v>
          </cell>
        </row>
        <row r="28">
          <cell r="E28">
            <v>59</v>
          </cell>
          <cell r="F28">
            <v>30</v>
          </cell>
        </row>
        <row r="29">
          <cell r="E29">
            <v>41</v>
          </cell>
          <cell r="F29">
            <v>56</v>
          </cell>
        </row>
        <row r="30">
          <cell r="E30">
            <v>25</v>
          </cell>
          <cell r="F30">
            <v>10</v>
          </cell>
        </row>
        <row r="31">
          <cell r="E31">
            <v>2.5</v>
          </cell>
          <cell r="F31">
            <v>32</v>
          </cell>
        </row>
        <row r="32">
          <cell r="E32">
            <v>29.5</v>
          </cell>
          <cell r="F32">
            <v>8</v>
          </cell>
        </row>
        <row r="33">
          <cell r="E33">
            <v>48</v>
          </cell>
          <cell r="F33">
            <v>0</v>
          </cell>
        </row>
        <row r="34">
          <cell r="E34">
            <v>64</v>
          </cell>
          <cell r="F34">
            <v>0</v>
          </cell>
        </row>
        <row r="35">
          <cell r="E35">
            <v>83</v>
          </cell>
          <cell r="F35">
            <v>0</v>
          </cell>
        </row>
        <row r="36">
          <cell r="E36">
            <v>67</v>
          </cell>
          <cell r="F36">
            <v>0</v>
          </cell>
        </row>
        <row r="37">
          <cell r="E37">
            <v>83</v>
          </cell>
          <cell r="F37">
            <v>1</v>
          </cell>
        </row>
        <row r="38">
          <cell r="E38">
            <v>8</v>
          </cell>
          <cell r="F38">
            <v>6</v>
          </cell>
        </row>
        <row r="39">
          <cell r="E39">
            <v>93</v>
          </cell>
          <cell r="F39">
            <v>0</v>
          </cell>
        </row>
        <row r="40">
          <cell r="E40">
            <v>125</v>
          </cell>
          <cell r="F40">
            <v>1</v>
          </cell>
        </row>
        <row r="41">
          <cell r="E41">
            <v>10</v>
          </cell>
          <cell r="F41">
            <v>1.67</v>
          </cell>
        </row>
        <row r="42">
          <cell r="E42">
            <v>13.5</v>
          </cell>
          <cell r="F42">
            <v>0</v>
          </cell>
        </row>
        <row r="43">
          <cell r="E43">
            <v>28</v>
          </cell>
          <cell r="F43">
            <v>0.44999999999999574</v>
          </cell>
        </row>
        <row r="44">
          <cell r="E44">
            <v>21</v>
          </cell>
          <cell r="F44">
            <v>0</v>
          </cell>
        </row>
        <row r="45">
          <cell r="E45">
            <v>33</v>
          </cell>
          <cell r="F45">
            <v>3</v>
          </cell>
        </row>
        <row r="46">
          <cell r="E46">
            <v>45</v>
          </cell>
          <cell r="F46">
            <v>257</v>
          </cell>
        </row>
        <row r="47">
          <cell r="E47">
            <v>14.5</v>
          </cell>
          <cell r="F47">
            <v>0</v>
          </cell>
        </row>
        <row r="48">
          <cell r="E48">
            <v>45</v>
          </cell>
          <cell r="F48">
            <v>26</v>
          </cell>
        </row>
        <row r="49">
          <cell r="E49">
            <v>19</v>
          </cell>
          <cell r="F49">
            <v>0</v>
          </cell>
        </row>
        <row r="50">
          <cell r="E50">
            <v>41</v>
          </cell>
          <cell r="F50">
            <v>0</v>
          </cell>
        </row>
        <row r="51">
          <cell r="E51">
            <v>14</v>
          </cell>
          <cell r="F51">
            <v>3</v>
          </cell>
        </row>
        <row r="52">
          <cell r="E52">
            <v>25</v>
          </cell>
          <cell r="F52">
            <v>0</v>
          </cell>
        </row>
        <row r="53">
          <cell r="E53">
            <v>38</v>
          </cell>
          <cell r="F53">
            <v>0.5</v>
          </cell>
        </row>
        <row r="54">
          <cell r="E54">
            <v>925</v>
          </cell>
          <cell r="F54">
            <v>8.8879999999999999</v>
          </cell>
        </row>
        <row r="55">
          <cell r="E55">
            <v>40</v>
          </cell>
          <cell r="F55">
            <v>330</v>
          </cell>
        </row>
        <row r="56">
          <cell r="E56">
            <v>40</v>
          </cell>
          <cell r="F56">
            <v>0</v>
          </cell>
        </row>
        <row r="57">
          <cell r="E57">
            <v>38</v>
          </cell>
          <cell r="F57">
            <v>21</v>
          </cell>
        </row>
        <row r="58">
          <cell r="E58">
            <v>1.65</v>
          </cell>
          <cell r="F58">
            <v>0</v>
          </cell>
        </row>
        <row r="59">
          <cell r="E59">
            <v>3.7</v>
          </cell>
          <cell r="F59">
            <v>76</v>
          </cell>
        </row>
        <row r="60">
          <cell r="E60">
            <v>10</v>
          </cell>
          <cell r="F60">
            <v>0</v>
          </cell>
        </row>
        <row r="61">
          <cell r="E61">
            <v>15</v>
          </cell>
          <cell r="F61">
            <v>2</v>
          </cell>
        </row>
        <row r="62">
          <cell r="E62">
            <v>785</v>
          </cell>
          <cell r="F62">
            <v>0.96</v>
          </cell>
        </row>
        <row r="63">
          <cell r="E63">
            <v>285</v>
          </cell>
          <cell r="F63">
            <v>0.43400000000000105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sheetName val="Adjustable Ind Wrench 12&quot; Tolse"/>
      <sheetName val="Adjustable Wrench 12&quot; Truper"/>
      <sheetName val="Ajustable Joint Trupper 10&quot;"/>
      <sheetName val="Ajustable Joint Trupper 12&quot;"/>
      <sheetName val="Ajustable Joint Trupper 8&quot;"/>
      <sheetName val="Aluminum Ruler With Angle Bar S"/>
      <sheetName val="Ancher Bolt 16mm 50cm  50 10cm"/>
      <sheetName val="Ancher Bolt 20mm 50+10cm 60cm"/>
      <sheetName val="Ancher Bolt 22mm_x0009_"/>
      <sheetName val="Anger Bolts 18mm _x0009_"/>
      <sheetName val="Ancher Bolts 12mm 10cm   40cm"/>
      <sheetName val="Sheet1"/>
      <sheetName val="Angle Shelf Holder 15.2 20.3cm"/>
      <sheetName val="Ball Bearing "/>
      <sheetName val="Big End Cutting Pliers"/>
      <sheetName val="Big Jig Saw Blade "/>
      <sheetName val="Big Jig Saw Blade Dewalt DT2349"/>
      <sheetName val="Big Jigsaw Blade 9&quot; Star _x0009__x0009_"/>
      <sheetName val="Big Steel funnel 30cm"/>
      <sheetName val="Bit Drill Dewalt DW1163"/>
      <sheetName val="Bit Drill Dewalt"/>
      <sheetName val="Black Bolt 12mm 5cm  Nut+Washer"/>
      <sheetName val="Black Bolt 26.5mm 9cm"/>
      <sheetName val="Black Bolt 6mm 5cm  Nut+Washer"/>
      <sheetName val="Black Nut 24mm"/>
      <sheetName val="Black Rubber Door Board "/>
      <sheetName val="Black Screw 35 3.5mm"/>
      <sheetName val="Blade Brush Cutter"/>
      <sheetName val="Blade Cutter"/>
      <sheetName val="Blade Saw PVC (CD) 500 320"/>
      <sheetName val="Bolt  160   6mm"/>
      <sheetName val="Bolt 100   6.3mm"/>
      <sheetName val="Bolt 10mm"/>
      <sheetName val="Bolt 10mm +Nut+ Washer"/>
      <sheetName val="Bolt 10mm 13cm Silver +Nut+Doub"/>
      <sheetName val="Bolt 10mm 20cm "/>
      <sheetName val="Bolt 10mm 4cm Washer Spring Nut"/>
      <sheetName val="Bolt 125   6.3mm"/>
      <sheetName val="Bolt 12mm "/>
      <sheetName val="Sheet2"/>
      <sheetName val="Bolt 13   3.9mm"/>
      <sheetName val="Bolt 13   4.2mm"/>
      <sheetName val="Bolt 14mm 12.5 cm_x0009__x0009_"/>
      <sheetName val="Bolt 150   6.3mm"/>
      <sheetName val="Bolt 16mm "/>
      <sheetName val="Bolt 6mm "/>
      <sheetName val="Bolt 16mm 15cm"/>
      <sheetName val="Bolt 16mm 7cm +Nut+ Washer"/>
      <sheetName val="Bolt 175   6.3mm"/>
      <sheetName val="Bolt 17mm Nut+Washer"/>
      <sheetName val="Bolt 180   6.3mm"/>
      <sheetName val="Bolt 19   3.9mm"/>
      <sheetName val="Bolt 200   6.3mm_x0009_"/>
      <sheetName val="Bolt 20mm"/>
      <sheetName val="Bolt 25   3.9mm"/>
      <sheetName val="Bolt 25   4.2mm"/>
      <sheetName val="Bolt 25   6.3mm"/>
      <sheetName val="Bolt 25  4.8mm"/>
      <sheetName val="Bolt 32   4.2mm"/>
      <sheetName val="Bolt 38   4.2mm_x0009_"/>
      <sheetName val="Bolt 38   4.8mm"/>
      <sheetName val="Bolt 38   6.3mm"/>
      <sheetName val="Bolt 40 3.5mm"/>
      <sheetName val="Bolt 45    4.2mm"/>
      <sheetName val="Bolt 45 3.5mm"/>
      <sheetName val="Bolt 50   3.9mm Akifix"/>
      <sheetName val="Bolt 50   4.2mm"/>
      <sheetName val="Bolt 50   4.8mm"/>
      <sheetName val="Bolt 50   6.3mm"/>
      <sheetName val="Bolt 5mm 10cm With Nut"/>
      <sheetName val="Bolt 5mm 2cm"/>
      <sheetName val="Bolt 60   4.2mm"/>
      <sheetName val="Bolt 60   4.8mm"/>
      <sheetName val="Bolt 63   6.3mm"/>
      <sheetName val="Bolt 70 4.8mm"/>
      <sheetName val="Bolt 75   4.2mm"/>
      <sheetName val="Bolt 75   6.3mm"/>
      <sheetName val="Bolt 80   4.8mm"/>
      <sheetName val="Bolt 8mm +Nut+Washer"/>
      <sheetName val="Bolt 8mm "/>
      <sheetName val="Bolt Onduvilla 6mm Red"/>
      <sheetName val="Bolt Concrete 7.5mm 10cm"/>
      <sheetName val="Bolt Gypsum Board 25  3.5mm"/>
      <sheetName val="Bolt Holder 10mm 8cm"/>
      <sheetName val="Bolt Sandwich Panel (3 1 4)"/>
      <sheetName val="Bolt Sandwich Panel (5 1 4)"/>
      <sheetName val="Washer Sandwich Panel (3 1 4)"/>
      <sheetName val="Bolt Star 5mm 5cm"/>
      <sheetName val="Bolts 16 4.8mm"/>
      <sheetName val="Carbon Brush Machine"/>
      <sheetName val="Caster Wheels 8&quot; (Iron Tire)"/>
      <sheetName val="Chain With Ring"/>
      <sheetName val="Chamfer Nails"/>
      <sheetName val="Cire Saw Blade DT1960 305 30mm"/>
      <sheetName val="Clamp Steel 6&quot; With Bolt"/>
      <sheetName val="Clamp Steel Bolt"/>
      <sheetName val="Clamp Steel TAPE "/>
      <sheetName val="Clamp Steel Wire 3mm"/>
      <sheetName val="Clamp Steel Wire  10mm"/>
      <sheetName val="Clamp Steel Wire 16mm"/>
      <sheetName val="Clamp Steel Wire 18mm"/>
      <sheetName val="Clamp Steel Wire 12mm"/>
      <sheetName val="Clamp Steel Wire 14mm"/>
      <sheetName val="Clamp Steel Wire 13mm"/>
      <sheetName val="Sheet8"/>
      <sheetName val="Clamp Steel Wire 20mm"/>
      <sheetName val="Clear Tape  5cm"/>
      <sheetName val="Concret Bolt 6mm"/>
      <sheetName val="Concrete (CD) 115"/>
      <sheetName val="Concrete (CD) 115mm 4.5&quot;"/>
      <sheetName val="concrete polishing disc"/>
      <sheetName val="Concrete (CD) 230"/>
      <sheetName val="Concrete Bolts Star _x0009_"/>
      <sheetName val="Concrete Nail 32mm"/>
      <sheetName val="Concrete Nails 1&quot;"/>
      <sheetName val="Wood Nails 1&amp;2&amp;3&quot;"/>
      <sheetName val="Concrete Nails 2&quot;"/>
      <sheetName val="Concrete Tip Bit 6mm 16cm"/>
      <sheetName val="Concrete Tip Bits 10mm"/>
      <sheetName val="Concrete Tip Bits 12mm"/>
      <sheetName val="Concrete Tip Bits 13mm "/>
      <sheetName val="Concrete Tip Bits 11mm "/>
      <sheetName val="Concrete Tip Bits 14mm"/>
      <sheetName val="Concrete Tip Bits 16mm"/>
      <sheetName val="Concrete Tip Bits 18mm "/>
      <sheetName val="Concrete Tip Bits 20mm"/>
      <sheetName val="Concrete Tip Bits 20mm 31cm Zhw"/>
      <sheetName val="Concrete Tip Bits 22mm"/>
      <sheetName val="Concrete Tip Bits 24mm_x0009_"/>
      <sheetName val="Concrete Tip Bits 25mm"/>
      <sheetName val="Concrete Tip Bits 8mm_x0009_"/>
      <sheetName val="Copper Piece For Magma machine"/>
      <sheetName val="Corner Clamp Aluminum Body "/>
      <sheetName val="Coupling Nut 10mm "/>
      <sheetName val="Coupling Tip Bit &quot;1 4 3 8 1 2"/>
      <sheetName val="Coupling Tip Screwdriver 6cm"/>
      <sheetName val="Cover Bolt Steel"/>
      <sheetName val="Curved Jaw Locking 5&quot; TRUPER"/>
      <sheetName val="Curved Jaw Locking 7&quot; TRUPER"/>
      <sheetName val="Cutter PVC (CD) 250mm"/>
      <sheetName val="Cutter Wire 8&quot;"/>
      <sheetName val="Dewalt Ground Rod Driver 1&quot; "/>
      <sheetName val="Door Hinge Iron (Narmada) 12mm "/>
      <sheetName val="Door hinge Iron (Narmada) 20mm"/>
      <sheetName val="Door hinge Iron (Narmada) 22mm"/>
      <sheetName val="Door Hinge Iron (Narmada) 24mm "/>
      <sheetName val="Door hinge Iron (Narmada) 6 8.5"/>
      <sheetName val="Door hinge Iron (Narmada) 9cm 1"/>
      <sheetName val="Door Latch"/>
      <sheetName val="Door Latch 16mm 60cm"/>
      <sheetName val=" Cylinder Lock iron "/>
      <sheetName val="Door Latch Spring 18cm"/>
      <sheetName val="Door latch Spring Iron 30cm"/>
      <sheetName val="Double Tire For Slide Door"/>
      <sheetName val="Double Tire For Slide door Iron"/>
      <sheetName val="Drilling Hole Magnetic 12mm"/>
      <sheetName val="Drilling Hole Magnetic 14mm"/>
      <sheetName val="Drilling Hole Magnetic 16mm"/>
      <sheetName val="Sheet3"/>
      <sheetName val="Drilling Hole Magnetic 18mm"/>
      <sheetName val="Drilling Hole Magnetic20mm"/>
      <sheetName val="Drilling Hole Magnetic 22mm"/>
      <sheetName val="Drilling Hole Magnetic 24mm"/>
      <sheetName val="Driver Scrow Normal_x0009_"/>
      <sheetName val="DX Cartridge 6.8 11 Red "/>
      <sheetName val="Electric Tester Screwdriver "/>
      <sheetName val="Electrical Holder (Handle Weldi"/>
      <sheetName val="Extend In Magnetic TRUPER"/>
      <sheetName val="F Clamps 20&quot; 120cm"/>
      <sheetName val="F Clamps 20&quot; 60cm"/>
      <sheetName val="Fisher + Bolt 8mm "/>
      <sheetName val="Fisher Plastic  8mm"/>
      <sheetName val="Fisher And Screw 6mm"/>
      <sheetName val="Furniture Fixing Angle 10 10cm"/>
      <sheetName val="Furniture Fixing Angle 2 Shelf"/>
      <sheetName val="Furniture Fixing Angle 3 3cm"/>
      <sheetName val="Furniture Fixing Angle 3 Shelf"/>
      <sheetName val="Furniture Fixing Angle 4 4cm"/>
      <sheetName val="Garden  Scissors"/>
      <sheetName val="Geka 36 Diffuser White Teflon M"/>
      <sheetName val="Grinder Cutter (CD) 115 1.2 22."/>
      <sheetName val="Grinder Cutter (CD) 115 3"/>
      <sheetName val="Grinder Cutter (CD) 115 6"/>
      <sheetName val="Grinder Cutter (CD) 22 115 PD P"/>
      <sheetName val="Grinder Cutter (CD) 230 3"/>
      <sheetName val="Grinder Cutter (CD) 230 6"/>
      <sheetName val="Grinder Cutter (CD) 3 350"/>
      <sheetName val="Grinder Cutter (CD) 520 4 40mm"/>
      <sheetName val="Grinder Cutter (CD) AGE 2 120 1"/>
      <sheetName val="Grinder Cutter CD 2.5&quot; 22 115Pd"/>
      <sheetName val="Grinder Cutter CD Dewalt 180 3 "/>
      <sheetName val="Handle Iron Door "/>
      <sheetName val="Head For Handle Welding Magma"/>
      <sheetName val="Head For Handle Welding small"/>
      <sheetName val="Hole Saw  100mm"/>
      <sheetName val="Hole Saw  110mm"/>
      <sheetName val="Hole Saw  18mm"/>
      <sheetName val="Hole Saw  20mm"/>
      <sheetName val="Hole Saw  22mm"/>
      <sheetName val="Hole Saw  26mm "/>
      <sheetName val="Hole Saw  30mm"/>
      <sheetName val="Hole Saw  35mm "/>
      <sheetName val="Hole Saw  38mm "/>
      <sheetName val="Hole Saw  40mm "/>
      <sheetName val="Hole Saw  42mm"/>
      <sheetName val="Hole Saw  50mm"/>
      <sheetName val="Hole Saw  55mm"/>
      <sheetName val="Hole Saw  54mm"/>
      <sheetName val="Hole Saw  60mm"/>
      <sheetName val="Hole Saw  65mm"/>
      <sheetName val="Hole Saw  70mm"/>
      <sheetName val="Hole Saw 10mm"/>
      <sheetName val="Hole Saw 120mm"/>
      <sheetName val="Hole Saw 12mm"/>
      <sheetName val="Hole Saw 140mm_x0009_"/>
      <sheetName val="Hole Saw 145mm"/>
      <sheetName val="Hole Saw 14mm"/>
      <sheetName val="Hole Saw 16mm"/>
      <sheetName val="Hole Saw 19-127mm"/>
      <sheetName val="Hole Saw 20mm wood"/>
      <sheetName val="Hole Saw 22mm wood"/>
      <sheetName val="Hole Saw 25mm wood"/>
      <sheetName val="Hole Saw 40mm wood"/>
      <sheetName val="Hole Saw 25mm"/>
      <sheetName val="Hole Saw 24mm"/>
      <sheetName val="Hole Saw 28mm"/>
      <sheetName val="Hole Saw 30mm wood"/>
      <sheetName val="Hole Saw 32mm_x0009_"/>
      <sheetName val="Hole Saw 35mm wood"/>
      <sheetName val="Hole Saw 45mm"/>
      <sheetName val="Hole Saw 48mm"/>
      <sheetName val="Hole Saw 50mm wood"/>
      <sheetName val="Hole Saw 55mm wood"/>
      <sheetName val="Hole Saw 60mm wood"/>
      <sheetName val="Hole Saw 70mm wood"/>
      <sheetName val="Hole Saw 75mm"/>
      <sheetName val="Hole Saw 75mm wood"/>
      <sheetName val="Hole Saw 120mm wood"/>
      <sheetName val="Hole Saw 80mm_x0009_"/>
      <sheetName val="Hole Saw 85mm_x0009_"/>
      <sheetName val="Hole Saw 90mm_x0009_"/>
      <sheetName val="Hole Saw 95mm"/>
      <sheetName val="Hummer "/>
      <sheetName val="Hummer 4K "/>
      <sheetName val="Hummer Carpenter_x0009_"/>
      <sheetName val="Hummer Rubber"/>
      <sheetName val="Impact Ready Set Dewalt"/>
      <sheetName val="Impact Ready Set Dewalt PW2163"/>
      <sheetName val="Iron Armor Ring 10mm 16 16cm"/>
      <sheetName val="Iron Bolt 10cm 1k"/>
      <sheetName val="Iron Bolt 5cm 1k"/>
      <sheetName val="Iron Bolt 8cm 1k"/>
      <sheetName val="Iron Door latch"/>
      <sheetName val="Iron File 8&quot; Orderly"/>
      <sheetName val="Iron File 8&quot; Somafix SFX 5259"/>
      <sheetName val="Iron Fisher  8mm "/>
      <sheetName val="Iron Fisher  12mm "/>
      <sheetName val="Iron Fisher 10mm"/>
      <sheetName val="Iron Ruler With Angle Bar Set S"/>
      <sheetName val="Iron Spring 9cm_x0009_"/>
      <sheetName val="Iron Tip Bit 5.5mm"/>
      <sheetName val="Iron Tip Bits 10mm"/>
      <sheetName val="Iron Tip Bits 12mm"/>
      <sheetName val="Iron Tip Bits 14mm"/>
      <sheetName val="Iron Tip Bits 16mm"/>
      <sheetName val="Iron Tip Bits 18mm"/>
      <sheetName val="Iron Tip Bits 20mm"/>
      <sheetName val="Iron Tip Bits 3.5mm"/>
      <sheetName val="Iron Tip Bits 3mm_x0009_"/>
      <sheetName val="Iron Tip Bits 4.5mm"/>
      <sheetName val="Iron Tip Bits 4mm"/>
      <sheetName val="Iron Tip Bits 5mm"/>
      <sheetName val="Iron Tip Bits 6mm"/>
      <sheetName val="Iron Tip Bits 8mm"/>
      <sheetName val="key wrench dill"/>
      <sheetName val="Kit Plastic Anchors Value Kit"/>
      <sheetName val="Large Holder With Him"/>
      <sheetName val="Lefting Straps Length 3mt 4ton"/>
      <sheetName val="Lefting Straps Length 6mt 6ton"/>
      <sheetName val="Lefting Straps Length 6mt 8ton"/>
      <sheetName val="Lefting Straps Length 8mt 6ton"/>
      <sheetName val="Lock Container"/>
      <sheetName val="Lock Iron Door"/>
      <sheetName val="Lock Body Iron Door"/>
      <sheetName val="Lock Iron Door 63mm ISOK"/>
      <sheetName val="Long Nose Lock Pliers 4&quot; TRUPER"/>
      <sheetName val="long arm key star"/>
      <sheetName val="long arm key"/>
      <sheetName val="Long Nose Lock Pliers 9&quot; TRUPER"/>
      <sheetName val="MAB Meam Clamps 10mm"/>
      <sheetName val="MAB Meam Clamps 12mm"/>
      <sheetName val="Machine Dais Handle M6-M20"/>
      <sheetName val="Male Coupling For Big Welding M"/>
      <sheetName val="Male Coupling For Small Welding"/>
      <sheetName val="Magma Handle Welding co2+ water"/>
      <sheetName val="Magma Handle Welding co2+o2"/>
      <sheetName val="Manual Wood Chisel 25mm"/>
      <sheetName val="Manual Wood Chisel Shuang jie"/>
      <sheetName val="Mechanics Cs Tool Set  TRUPER"/>
      <sheetName val="Mechanics CS Tool Set Budun "/>
      <sheetName val="Mechanics CS Tool Set CR-V"/>
      <sheetName val="Mirror 60 45cm"/>
      <sheetName val="Paint Mixer Tip Bit"/>
      <sheetName val="Nail Gun 18mm For Air Compresso"/>
      <sheetName val="Nail Gun 25mm For Air Compresso"/>
      <sheetName val="Norm Type Floor Cover 7.5cm Pla"/>
      <sheetName val="Normal Scissors"/>
      <sheetName val="Nut  10mm "/>
      <sheetName val="Nut + Washe 12mm"/>
      <sheetName val="Nut + Washer 16mm"/>
      <sheetName val="Nut 10mm "/>
      <sheetName val="Nut 12mm"/>
      <sheetName val="Nut 14mm"/>
      <sheetName val="Nut 16mm "/>
      <sheetName val="Nut 20mm"/>
      <sheetName val="Nut 22mm_x0009_"/>
      <sheetName val="Nut 27mm"/>
      <sheetName val="Nut Sandwich Panel (3 1 4)"/>
      <sheetName val="Nut&amp;Washer 14mm"/>
      <sheetName val="Nut+Washer 10mm"/>
      <sheetName val="Nut+Washer 20mm"/>
      <sheetName val="Paper Cutter Knife"/>
      <sheetName val="Pliers Tosen 8&quot;"/>
      <sheetName val="Pneumatic Coupling 1 4 Compress"/>
      <sheetName val="Pneumatic Silencer 1 2 Comprese"/>
      <sheetName val="Ratchet Mini Screwdriver Truper"/>
      <sheetName val="Rawl Bolt 16mm 15cm Wurth"/>
      <sheetName val="Rawl Bolt 20mm 20cm "/>
      <sheetName val="Rawl Bolts  10mm 10cm"/>
      <sheetName val="Rawl Bolts  10mm 11.5cm"/>
      <sheetName val="Rawl Bolts  12mm 10cm Hilti"/>
      <sheetName val="Rawl Bolts  16mm 14cm"/>
      <sheetName val="Rawl Bolts  16mm 15cm"/>
      <sheetName val="Rawl Bolts  16mm 20cm"/>
      <sheetName val="Rawl Bolts  20mm 15cm _x0009_"/>
      <sheetName val="Rawl Bolts  20mm 30cm"/>
      <sheetName val="Rawl Bolts  24mm 25cm"/>
      <sheetName val="Rawl Bolts  8mm 10cm "/>
      <sheetName val="Rawl Bolts  8mm 8cm"/>
      <sheetName val="Rawl Bolts 10mm 16cm_x0009_"/>
      <sheetName val="Rawl Bolts 10mm 8cm "/>
      <sheetName val="Rawl Bolts 12mm  12cm_x0009_"/>
      <sheetName val="Rawl Bolts 14mm 12cm "/>
      <sheetName val="Rawl Bolts 14mm 15cm"/>
      <sheetName val="Rawl Bolts 18mm 25cm"/>
      <sheetName val="Rawl Bolts 16mm 10cm "/>
      <sheetName val="Rawl Bolts Gold 8mm"/>
      <sheetName val="Retractable Knife 6I Trupper"/>
      <sheetName val="Ring Steel Wire  18mm_x0009_"/>
      <sheetName val="Ring Steel Wire 10mm"/>
      <sheetName val="Ring Steel Wire 16mm_x0009_"/>
      <sheetName val="Ring Steel Wire 20mm_x0009_"/>
      <sheetName val="Ring Steel Wire 3mm"/>
      <sheetName val="Ring Steel Wire 5mm"/>
      <sheetName val="Ring Steel Wire 8mm"/>
      <sheetName val="Ring Steel Wire U 10mm"/>
      <sheetName val="Ring Steel Wire U 12mm"/>
      <sheetName val="Ring Steel Wire U 5 16mm"/>
      <sheetName val="Ring U Steel Wire 10mm"/>
      <sheetName val="Rivet 64 4.8 11mm  3&quot; 16"/>
      <sheetName val="Rope Rubber Blade Brush Cutter"/>
      <sheetName val="Rubber Sandwich Panel (3 1 4)"/>
      <sheetName val="Sandwich panel (CD) 5cm 185mm"/>
      <sheetName val="Sandwich panel (CD)10cm 300mm"/>
      <sheetName val="Scissors Electrical Pipe 33000"/>
      <sheetName val="Scissors Plate 10&quot;"/>
      <sheetName val="Screw Driver Tolsen"/>
      <sheetName val="Screwdriver Voltage Tester Tols"/>
      <sheetName val="Set Screwdriver Small_x0009_"/>
      <sheetName val="Shackles 3 4 4.75Ton"/>
      <sheetName val="Shackles 7 8 6.5Ton"/>
      <sheetName val="lock Shackles"/>
      <sheetName val="Small Handle For Pump Washer"/>
      <sheetName val="Small Iron Chain 2mt"/>
      <sheetName val="Small Jig Saw Blade "/>
      <sheetName val="Small White Piece For Magma Mac"/>
      <sheetName val="Socket Wrench GENUS"/>
      <sheetName val="Spirit Level 100cm"/>
      <sheetName val="Spirit Level 200cm"/>
      <sheetName val="Spirit Level 30cm"/>
      <sheetName val="Spirit Level 60cm"/>
      <sheetName val="Square Level"/>
      <sheetName val="Square Metal With Bolt 3mm"/>
      <sheetName val="Stand Level"/>
      <sheetName val="steel Threaded Rod 20mm Helty 1"/>
      <sheetName val="Steel Threaded Rod 8mm 3m"/>
      <sheetName val="Steel Threaded Rod 8mm 1M"/>
      <sheetName val="Steel Wire 10mm"/>
      <sheetName val="Steel Wire 16mm"/>
      <sheetName val="Steel Wire 19mm_x0009_"/>
      <sheetName val="Steel Wire 16mm With Rope"/>
      <sheetName val="Steel Wire 8+10+12+16+18mm"/>
      <sheetName val="Steel Wire 8mm"/>
      <sheetName val="Steel Wire 12mm"/>
      <sheetName val="Steel Wire Rope Tension 6mm"/>
      <sheetName val="Steel Wire Rope Tension 10mm"/>
      <sheetName val="Steel Wire Rope Tension 12mm"/>
      <sheetName val="Steel Wire Rope Tension 14mm"/>
      <sheetName val="Steel Wire Rope Tension 16mm"/>
      <sheetName val="Steel Wire Rope Tension 18mm"/>
      <sheetName val="Steel Wire Rope Tension 20mm_x0009_"/>
      <sheetName val="Steel Wire Rope Tension 22mm"/>
      <sheetName val="Steel Wire Rope Tension 32mm"/>
      <sheetName val="Step Drill S.L"/>
      <sheetName val="Step Drill Saw 4-20mm "/>
      <sheetName val="Tape Measure 100mt"/>
      <sheetName val="Tape Measure 10m TRUPER"/>
      <sheetName val="Tape Measure 10mt"/>
      <sheetName val="Tape Measure 30mt"/>
      <sheetName val="Tape Measure 3mt"/>
      <sheetName val="Tape Measure 50mt"/>
      <sheetName val="Tape Measure 5mt"/>
      <sheetName val="Tape Measure 7.5mt"/>
      <sheetName val="Tape Measure 8mt"/>
      <sheetName val="Threaded Rod  1mt 16mm Hilti"/>
      <sheetName val="Threaded Rod 10mm 1mt"/>
      <sheetName val="Threaded Rod 10mm 2mt"/>
      <sheetName val="Threaded Rod 12mm 1mt"/>
      <sheetName val="Threaded Rod 12mm 2mt"/>
      <sheetName val="Threaded Rod 12mm 3m"/>
      <sheetName val="Threaded Rod 14mm 2mt"/>
      <sheetName val="Threaded Rod 22mm 2m"/>
      <sheetName val="Threaded Rod 2mm 5mm With Nut 5"/>
      <sheetName val="Tip Bit Cleanner Iron"/>
      <sheetName val="Tip Bit Cleanner Iron 16mm"/>
      <sheetName val="Tip Bit Iron 25mm"/>
      <sheetName val="Tip Bit Magnets 30mm"/>
      <sheetName val="Tip Bit Star"/>
      <sheetName val="Tip Bits Dais 12mm"/>
      <sheetName val="Tip Bits Dais 5 0.8mm"/>
      <sheetName val="Tip Bits Dais 10mm"/>
      <sheetName val="Tip Bits Holder 13mm"/>
      <sheetName val="Tip Bits Iron 10.75"/>
      <sheetName val="Tip Bits Scerwdriver PH2 75mm"/>
      <sheetName val="Tip Scraping 25 cm "/>
      <sheetName val="Tip Scraping 16&quot; "/>
      <sheetName val="Tip Scraping 4 cm "/>
      <sheetName val="Tire For Door Iron"/>
      <sheetName val="Tire For Slide door+Thick Squar"/>
      <sheetName val="Tire Iron Double Door_x0009_"/>
      <sheetName val="oil for welding machine( magma)"/>
      <sheetName val="Tire Iron Single Door_x0009_"/>
      <sheetName val="Tip Bits Holder 12mm"/>
      <sheetName val="Tip Bits Holder 8 3mm"/>
      <sheetName val=" Tip tips Holder 8mm"/>
      <sheetName val="Tip Bits Holder 10mm"/>
      <sheetName val="TS Cable Cutter Tosen 6&quot;"/>
      <sheetName val="Washer 10mm"/>
      <sheetName val="Washer 10mm 5cm Diameter 1.5mm "/>
      <sheetName val="Washer 11cm  frem machine_x0009_"/>
      <sheetName val="Washer 12mm"/>
      <sheetName val="Washer 14mm "/>
      <sheetName val="Washer 16mm "/>
      <sheetName val="Washer 20mm"/>
      <sheetName val="Washer 22mm_x0009_"/>
      <sheetName val="Washer 34mm "/>
      <sheetName val="Washer 5mm"/>
      <sheetName val="Washer 6mm"/>
      <sheetName val="Washer 9cm  frem machine_x0009_"/>
      <sheetName val="Washer Nut 10mm"/>
      <sheetName val="Washer Spring 8mm"/>
      <sheetName val="Welding Ground Clamp A300"/>
      <sheetName val="Welding Wire 1.2mm Magma"/>
      <sheetName val="Welding Wire 1mm Magma"/>
      <sheetName val="Welding Wire 1mt  5k Magma"/>
      <sheetName val="Welding Wire 2.5mm"/>
      <sheetName val="Welding Wire 3.2mm "/>
      <sheetName val="Welding Wire 4mm "/>
      <sheetName val="winch lifter manuel"/>
      <sheetName val="White Cover Bolts Plastic"/>
      <sheetName val="White Glue Tape "/>
      <sheetName val="Tape 2 sides "/>
      <sheetName val="Wood (CD) 115_x0009_"/>
      <sheetName val="Wood Chamfer 2 2 280cm"/>
      <sheetName val="Wrench Drill Holder"/>
      <sheetName val="Tip Bit PVC &quot;12"/>
      <sheetName val="Threading Tip Bit"/>
      <sheetName val="Bolt 4mm "/>
      <sheetName val="Nail Onduvilla 6mm Red"/>
      <sheetName val="Bolt Onduvilla 10mm Red"/>
      <sheetName val="Bolt Onduvilla 6mm Brown"/>
      <sheetName val="Nail Onduvilla 8mm Red"/>
      <sheetName val="Nail Onduline  8mm Green "/>
      <sheetName val="Nail Onduvilla 8mm Brown"/>
      <sheetName val="Silver Tape For insulation"/>
      <sheetName val="Planer Blades"/>
      <sheetName val="Drilling Hole Magnetic 22mm (2)"/>
      <sheetName val="Wood (CD) 230_x0009_"/>
      <sheetName val="Bolt 16   4.2mm _x0009_"/>
      <sheetName val="Wood Saw "/>
      <sheetName val="Steel saw "/>
      <sheetName val="Ratchet Straps"/>
      <sheetName val="vernier"/>
      <sheetName val="Nail with gunpowder"/>
      <sheetName val="Allen Key Set "/>
      <sheetName val="Big Head For Handle Welding Mag"/>
      <sheetName val="Feeler Gauge"/>
      <sheetName val="Concrete Tip Bits 10mm Dewalt"/>
      <sheetName val="Grinder Cutter (CD) 22 115  (2)"/>
      <sheetName val="Clamp with gunpowder"/>
      <sheetName val="gunpowder"/>
    </sheetNames>
    <sheetDataSet>
      <sheetData sheetId="0">
        <row r="4">
          <cell r="E4">
            <v>7.5</v>
          </cell>
          <cell r="F4">
            <v>0</v>
          </cell>
        </row>
        <row r="5">
          <cell r="E5">
            <v>2.15</v>
          </cell>
          <cell r="F5">
            <v>4</v>
          </cell>
        </row>
        <row r="6">
          <cell r="E6">
            <v>6.99</v>
          </cell>
          <cell r="F6">
            <v>0</v>
          </cell>
        </row>
        <row r="7">
          <cell r="E7">
            <v>3.6</v>
          </cell>
          <cell r="F7">
            <v>0</v>
          </cell>
        </row>
        <row r="8">
          <cell r="E8">
            <v>13</v>
          </cell>
          <cell r="F8">
            <v>0</v>
          </cell>
        </row>
        <row r="9">
          <cell r="E9">
            <v>3.37</v>
          </cell>
          <cell r="F9">
            <v>0</v>
          </cell>
        </row>
        <row r="10">
          <cell r="E10">
            <v>0.90700000000000003</v>
          </cell>
          <cell r="F10">
            <v>0</v>
          </cell>
        </row>
        <row r="11">
          <cell r="E11">
            <v>1.125</v>
          </cell>
          <cell r="F11">
            <v>8</v>
          </cell>
        </row>
        <row r="12">
          <cell r="E12">
            <v>1.2</v>
          </cell>
          <cell r="F12">
            <v>0</v>
          </cell>
        </row>
        <row r="13">
          <cell r="E13">
            <v>1.02</v>
          </cell>
          <cell r="F13">
            <v>0</v>
          </cell>
        </row>
        <row r="14">
          <cell r="E14">
            <v>3</v>
          </cell>
          <cell r="F14">
            <v>4</v>
          </cell>
        </row>
        <row r="15">
          <cell r="E15">
            <v>9</v>
          </cell>
          <cell r="F15">
            <v>0</v>
          </cell>
        </row>
        <row r="16">
          <cell r="E16">
            <v>5</v>
          </cell>
          <cell r="F16">
            <v>5</v>
          </cell>
        </row>
        <row r="17">
          <cell r="E17">
            <v>17</v>
          </cell>
          <cell r="F17">
            <v>0</v>
          </cell>
        </row>
        <row r="18">
          <cell r="E18">
            <v>1.5</v>
          </cell>
          <cell r="F18">
            <v>0</v>
          </cell>
        </row>
        <row r="19">
          <cell r="E19">
            <v>5</v>
          </cell>
          <cell r="F19">
            <v>0</v>
          </cell>
        </row>
        <row r="20">
          <cell r="E20">
            <v>25.85</v>
          </cell>
          <cell r="F20">
            <v>0</v>
          </cell>
        </row>
        <row r="21">
          <cell r="E21">
            <v>44.99</v>
          </cell>
          <cell r="F21">
            <v>0</v>
          </cell>
        </row>
        <row r="22">
          <cell r="E22">
            <v>1.65</v>
          </cell>
          <cell r="F22">
            <v>0</v>
          </cell>
        </row>
        <row r="23">
          <cell r="E23">
            <v>2.44</v>
          </cell>
          <cell r="F23">
            <v>0</v>
          </cell>
        </row>
        <row r="24">
          <cell r="E24">
            <v>3</v>
          </cell>
          <cell r="F24">
            <v>0</v>
          </cell>
        </row>
        <row r="25">
          <cell r="E25">
            <v>2</v>
          </cell>
          <cell r="F25">
            <v>0</v>
          </cell>
        </row>
        <row r="26">
          <cell r="E26">
            <v>0.7</v>
          </cell>
          <cell r="F26">
            <v>0</v>
          </cell>
        </row>
        <row r="27">
          <cell r="E27">
            <v>1.9</v>
          </cell>
          <cell r="F27">
            <v>2</v>
          </cell>
        </row>
        <row r="28">
          <cell r="E28">
            <v>3.448</v>
          </cell>
          <cell r="F28">
            <v>0</v>
          </cell>
        </row>
        <row r="29">
          <cell r="E29">
            <v>1</v>
          </cell>
          <cell r="F29">
            <v>20</v>
          </cell>
        </row>
        <row r="30">
          <cell r="E30">
            <v>30</v>
          </cell>
          <cell r="F30">
            <v>5</v>
          </cell>
        </row>
        <row r="31">
          <cell r="E31">
            <v>3</v>
          </cell>
          <cell r="F31">
            <v>0</v>
          </cell>
        </row>
        <row r="32">
          <cell r="E32">
            <v>14.2</v>
          </cell>
          <cell r="F32">
            <v>6.5</v>
          </cell>
        </row>
        <row r="33">
          <cell r="E33">
            <v>1.5</v>
          </cell>
          <cell r="F33">
            <v>0</v>
          </cell>
        </row>
        <row r="34">
          <cell r="E34">
            <v>1.7</v>
          </cell>
          <cell r="F34">
            <v>0</v>
          </cell>
        </row>
        <row r="35">
          <cell r="E35">
            <v>0.159</v>
          </cell>
          <cell r="F35">
            <v>476.7</v>
          </cell>
        </row>
        <row r="36">
          <cell r="E36">
            <v>2</v>
          </cell>
          <cell r="F36">
            <v>2.4</v>
          </cell>
        </row>
        <row r="37">
          <cell r="E37">
            <v>1.6</v>
          </cell>
          <cell r="F37">
            <v>0</v>
          </cell>
        </row>
        <row r="38">
          <cell r="E38">
            <v>13.3</v>
          </cell>
          <cell r="F38">
            <v>151.5</v>
          </cell>
        </row>
        <row r="39">
          <cell r="E39">
            <v>1.6</v>
          </cell>
          <cell r="F39">
            <v>0</v>
          </cell>
        </row>
        <row r="40">
          <cell r="E40">
            <v>7</v>
          </cell>
          <cell r="F40">
            <v>1</v>
          </cell>
        </row>
        <row r="41">
          <cell r="E41">
            <v>2.25</v>
          </cell>
          <cell r="F41">
            <v>12</v>
          </cell>
        </row>
        <row r="42">
          <cell r="E42">
            <v>2.3809999999999998</v>
          </cell>
          <cell r="F42">
            <v>0</v>
          </cell>
        </row>
        <row r="43">
          <cell r="E43">
            <v>15</v>
          </cell>
          <cell r="F43">
            <v>2</v>
          </cell>
        </row>
        <row r="44">
          <cell r="E44">
            <v>1.35</v>
          </cell>
          <cell r="F44">
            <v>0</v>
          </cell>
        </row>
        <row r="45">
          <cell r="E45">
            <v>1.75</v>
          </cell>
          <cell r="F45">
            <v>0</v>
          </cell>
        </row>
        <row r="46">
          <cell r="E46">
            <v>22.56</v>
          </cell>
          <cell r="F46">
            <v>250</v>
          </cell>
        </row>
        <row r="47">
          <cell r="E47">
            <v>23</v>
          </cell>
          <cell r="F47">
            <v>10</v>
          </cell>
        </row>
        <row r="48">
          <cell r="E48">
            <v>2.5</v>
          </cell>
          <cell r="F48">
            <v>60</v>
          </cell>
        </row>
        <row r="49">
          <cell r="E49">
            <v>28.5</v>
          </cell>
          <cell r="F49">
            <v>0</v>
          </cell>
        </row>
        <row r="50">
          <cell r="E50">
            <v>1.3</v>
          </cell>
          <cell r="F50">
            <v>0</v>
          </cell>
        </row>
        <row r="51">
          <cell r="E51">
            <v>4.25</v>
          </cell>
          <cell r="F51">
            <v>0</v>
          </cell>
        </row>
        <row r="52">
          <cell r="E52">
            <v>1.36</v>
          </cell>
          <cell r="F52">
            <v>0</v>
          </cell>
        </row>
        <row r="53">
          <cell r="E53">
            <v>13.6</v>
          </cell>
          <cell r="F53">
            <v>82</v>
          </cell>
        </row>
        <row r="54">
          <cell r="E54">
            <v>1.8</v>
          </cell>
          <cell r="F54">
            <v>51.5</v>
          </cell>
        </row>
        <row r="55">
          <cell r="E55">
            <v>18</v>
          </cell>
          <cell r="F55">
            <v>8.75</v>
          </cell>
        </row>
        <row r="56">
          <cell r="E56">
            <v>2.25</v>
          </cell>
          <cell r="F56">
            <v>13</v>
          </cell>
        </row>
        <row r="57">
          <cell r="E57">
            <v>1.9</v>
          </cell>
          <cell r="F57">
            <v>1</v>
          </cell>
        </row>
        <row r="58">
          <cell r="E58">
            <v>14.2</v>
          </cell>
          <cell r="F58">
            <v>76.5</v>
          </cell>
        </row>
        <row r="59">
          <cell r="E59">
            <v>4.5</v>
          </cell>
          <cell r="F59">
            <v>0</v>
          </cell>
        </row>
        <row r="60">
          <cell r="E60">
            <v>1.65</v>
          </cell>
          <cell r="F60">
            <v>62</v>
          </cell>
        </row>
        <row r="61">
          <cell r="E61">
            <v>2.5</v>
          </cell>
          <cell r="F61">
            <v>13</v>
          </cell>
        </row>
        <row r="62">
          <cell r="E62">
            <v>3.75</v>
          </cell>
          <cell r="F62">
            <v>1</v>
          </cell>
        </row>
        <row r="63">
          <cell r="E63">
            <v>4.13</v>
          </cell>
          <cell r="F63">
            <v>11</v>
          </cell>
        </row>
        <row r="64">
          <cell r="E64">
            <v>1.75</v>
          </cell>
          <cell r="F64">
            <v>18</v>
          </cell>
        </row>
        <row r="65">
          <cell r="E65">
            <v>13.4</v>
          </cell>
          <cell r="F65">
            <v>118</v>
          </cell>
        </row>
        <row r="66">
          <cell r="E66">
            <v>3.75</v>
          </cell>
          <cell r="F66">
            <v>0</v>
          </cell>
        </row>
        <row r="67">
          <cell r="E67">
            <v>2.5</v>
          </cell>
          <cell r="F67">
            <v>0</v>
          </cell>
        </row>
        <row r="68">
          <cell r="E68">
            <v>12</v>
          </cell>
          <cell r="F68">
            <v>1</v>
          </cell>
        </row>
        <row r="69">
          <cell r="E69">
            <v>10</v>
          </cell>
          <cell r="F69">
            <v>28</v>
          </cell>
        </row>
        <row r="70">
          <cell r="E70">
            <v>13.6</v>
          </cell>
          <cell r="F70">
            <v>22</v>
          </cell>
        </row>
        <row r="71">
          <cell r="E71">
            <v>10</v>
          </cell>
          <cell r="F71">
            <v>0</v>
          </cell>
        </row>
        <row r="72">
          <cell r="E72">
            <v>12.2</v>
          </cell>
          <cell r="F72">
            <v>278</v>
          </cell>
        </row>
        <row r="73">
          <cell r="E73">
            <v>1.65</v>
          </cell>
          <cell r="F73">
            <v>27</v>
          </cell>
        </row>
        <row r="74">
          <cell r="E74">
            <v>1.3</v>
          </cell>
          <cell r="F74">
            <v>0</v>
          </cell>
        </row>
        <row r="75">
          <cell r="E75">
            <v>1.3</v>
          </cell>
          <cell r="F75">
            <v>0</v>
          </cell>
        </row>
        <row r="76">
          <cell r="E76">
            <v>5.2</v>
          </cell>
          <cell r="F76">
            <v>38</v>
          </cell>
        </row>
        <row r="77">
          <cell r="E77">
            <v>2</v>
          </cell>
          <cell r="F77">
            <v>0</v>
          </cell>
        </row>
        <row r="78">
          <cell r="E78">
            <v>8</v>
          </cell>
          <cell r="F78">
            <v>0</v>
          </cell>
        </row>
        <row r="79">
          <cell r="E79">
            <v>6.5</v>
          </cell>
          <cell r="F79">
            <v>0</v>
          </cell>
        </row>
        <row r="80">
          <cell r="E80">
            <v>4.75</v>
          </cell>
          <cell r="F80">
            <v>8</v>
          </cell>
        </row>
        <row r="81">
          <cell r="E81">
            <v>7.5</v>
          </cell>
          <cell r="F81">
            <v>24</v>
          </cell>
        </row>
        <row r="82">
          <cell r="E82">
            <v>1.5</v>
          </cell>
          <cell r="F82">
            <v>27</v>
          </cell>
        </row>
        <row r="83">
          <cell r="E83">
            <v>0.05</v>
          </cell>
          <cell r="F83">
            <v>0</v>
          </cell>
        </row>
        <row r="84">
          <cell r="E84">
            <v>2</v>
          </cell>
          <cell r="F84">
            <v>2</v>
          </cell>
        </row>
        <row r="85">
          <cell r="E85">
            <v>3</v>
          </cell>
          <cell r="F85">
            <v>25</v>
          </cell>
        </row>
        <row r="86">
          <cell r="E86">
            <v>3.42</v>
          </cell>
          <cell r="F86">
            <v>0</v>
          </cell>
        </row>
        <row r="87">
          <cell r="E87">
            <v>2</v>
          </cell>
          <cell r="F87">
            <v>0</v>
          </cell>
        </row>
        <row r="88">
          <cell r="E88">
            <v>3.3</v>
          </cell>
          <cell r="F88">
            <v>0</v>
          </cell>
        </row>
        <row r="89">
          <cell r="E89">
            <v>4</v>
          </cell>
          <cell r="F89">
            <v>3.5</v>
          </cell>
        </row>
        <row r="90">
          <cell r="E90">
            <v>15</v>
          </cell>
          <cell r="F90">
            <v>1</v>
          </cell>
        </row>
        <row r="91">
          <cell r="E91">
            <v>3.5</v>
          </cell>
          <cell r="F91">
            <v>0</v>
          </cell>
        </row>
        <row r="92">
          <cell r="E92">
            <v>8</v>
          </cell>
          <cell r="F92">
            <v>1</v>
          </cell>
        </row>
        <row r="93">
          <cell r="E93">
            <v>17</v>
          </cell>
          <cell r="F93">
            <v>1</v>
          </cell>
        </row>
        <row r="94">
          <cell r="E94">
            <v>0.16700000000000001</v>
          </cell>
          <cell r="F94">
            <v>13</v>
          </cell>
        </row>
        <row r="95">
          <cell r="E95">
            <v>0.47099999999999997</v>
          </cell>
          <cell r="F95">
            <v>0</v>
          </cell>
        </row>
        <row r="96">
          <cell r="E96">
            <v>0.5</v>
          </cell>
          <cell r="F96">
            <v>61</v>
          </cell>
        </row>
        <row r="97">
          <cell r="E97">
            <v>0.5</v>
          </cell>
          <cell r="F97">
            <v>0</v>
          </cell>
        </row>
        <row r="98">
          <cell r="E98">
            <v>0.94499999999999995</v>
          </cell>
          <cell r="F98">
            <v>80</v>
          </cell>
        </row>
        <row r="99">
          <cell r="E99">
            <v>1.8</v>
          </cell>
          <cell r="F99">
            <v>0</v>
          </cell>
        </row>
        <row r="100">
          <cell r="E100">
            <v>2.5</v>
          </cell>
          <cell r="F100">
            <v>7</v>
          </cell>
        </row>
        <row r="101">
          <cell r="E101">
            <v>5.2</v>
          </cell>
          <cell r="F101">
            <v>1</v>
          </cell>
        </row>
        <row r="102">
          <cell r="E102">
            <v>10</v>
          </cell>
          <cell r="F102">
            <v>0</v>
          </cell>
        </row>
        <row r="103">
          <cell r="E103">
            <v>8.5</v>
          </cell>
          <cell r="F103">
            <v>8</v>
          </cell>
        </row>
        <row r="104">
          <cell r="E104">
            <v>0.05</v>
          </cell>
          <cell r="F104">
            <v>408</v>
          </cell>
        </row>
        <row r="105">
          <cell r="E105">
            <v>0.2</v>
          </cell>
          <cell r="F105">
            <v>750</v>
          </cell>
        </row>
        <row r="106">
          <cell r="E106">
            <v>2</v>
          </cell>
          <cell r="F106">
            <v>226</v>
          </cell>
        </row>
        <row r="107">
          <cell r="E107">
            <v>2</v>
          </cell>
          <cell r="F107">
            <v>206</v>
          </cell>
        </row>
        <row r="108">
          <cell r="E108">
            <v>1.2</v>
          </cell>
          <cell r="F108">
            <v>15</v>
          </cell>
        </row>
        <row r="109">
          <cell r="E109">
            <v>0.9</v>
          </cell>
          <cell r="F109">
            <v>1</v>
          </cell>
        </row>
        <row r="110">
          <cell r="E110">
            <v>0.8</v>
          </cell>
          <cell r="F110">
            <v>0</v>
          </cell>
        </row>
        <row r="111">
          <cell r="E111">
            <v>1.2</v>
          </cell>
          <cell r="F111">
            <v>4</v>
          </cell>
        </row>
        <row r="112">
          <cell r="E112">
            <v>1.5</v>
          </cell>
          <cell r="F112">
            <v>26</v>
          </cell>
        </row>
        <row r="113">
          <cell r="E113">
            <v>1.7</v>
          </cell>
          <cell r="F113">
            <v>0</v>
          </cell>
        </row>
        <row r="114">
          <cell r="E114">
            <v>8</v>
          </cell>
          <cell r="F114">
            <v>18</v>
          </cell>
        </row>
        <row r="115">
          <cell r="E115">
            <v>0.5</v>
          </cell>
          <cell r="F115">
            <v>8</v>
          </cell>
        </row>
        <row r="116">
          <cell r="E116">
            <v>0.65</v>
          </cell>
          <cell r="F116">
            <v>0</v>
          </cell>
        </row>
        <row r="117">
          <cell r="E117">
            <v>3</v>
          </cell>
          <cell r="F117">
            <v>31</v>
          </cell>
        </row>
        <row r="118">
          <cell r="E118">
            <v>3.5</v>
          </cell>
          <cell r="F118">
            <v>3</v>
          </cell>
        </row>
        <row r="119">
          <cell r="E119">
            <v>8</v>
          </cell>
          <cell r="F119">
            <v>8</v>
          </cell>
        </row>
        <row r="120">
          <cell r="E120">
            <v>1</v>
          </cell>
          <cell r="F120">
            <v>9</v>
          </cell>
        </row>
        <row r="121">
          <cell r="E121">
            <v>0.15</v>
          </cell>
          <cell r="F121">
            <v>0</v>
          </cell>
        </row>
        <row r="122">
          <cell r="E122">
            <v>1.5</v>
          </cell>
          <cell r="F122">
            <v>0</v>
          </cell>
        </row>
        <row r="123">
          <cell r="E123">
            <v>2</v>
          </cell>
          <cell r="F123">
            <v>2</v>
          </cell>
        </row>
        <row r="124">
          <cell r="E124">
            <v>6.5</v>
          </cell>
          <cell r="F124">
            <v>4</v>
          </cell>
        </row>
        <row r="125">
          <cell r="E125">
            <v>40</v>
          </cell>
          <cell r="F125">
            <v>8</v>
          </cell>
        </row>
        <row r="126">
          <cell r="E126">
            <v>2.75</v>
          </cell>
          <cell r="F126">
            <v>434</v>
          </cell>
        </row>
        <row r="127">
          <cell r="E127">
            <v>65</v>
          </cell>
          <cell r="F127">
            <v>7</v>
          </cell>
        </row>
        <row r="128">
          <cell r="E128">
            <v>40</v>
          </cell>
          <cell r="F128">
            <v>8</v>
          </cell>
        </row>
        <row r="129">
          <cell r="E129">
            <v>2.5</v>
          </cell>
          <cell r="F129">
            <v>0</v>
          </cell>
        </row>
        <row r="130">
          <cell r="E130">
            <v>52.5</v>
          </cell>
          <cell r="F130">
            <v>3</v>
          </cell>
        </row>
        <row r="131">
          <cell r="E131">
            <v>11</v>
          </cell>
          <cell r="F131">
            <v>29</v>
          </cell>
        </row>
        <row r="132">
          <cell r="E132">
            <v>15</v>
          </cell>
          <cell r="F132">
            <v>1</v>
          </cell>
        </row>
        <row r="133">
          <cell r="E133">
            <v>18</v>
          </cell>
          <cell r="F133">
            <v>18</v>
          </cell>
        </row>
        <row r="134">
          <cell r="E134">
            <v>87.25</v>
          </cell>
          <cell r="F134">
            <v>3</v>
          </cell>
        </row>
        <row r="135">
          <cell r="E135">
            <v>0.3</v>
          </cell>
          <cell r="F135">
            <v>0</v>
          </cell>
        </row>
        <row r="136">
          <cell r="E136">
            <v>5</v>
          </cell>
          <cell r="F136">
            <v>0</v>
          </cell>
        </row>
        <row r="137">
          <cell r="E137">
            <v>2</v>
          </cell>
          <cell r="F137">
            <v>20</v>
          </cell>
        </row>
        <row r="138">
          <cell r="E138">
            <v>1</v>
          </cell>
          <cell r="F138">
            <v>0</v>
          </cell>
        </row>
        <row r="139">
          <cell r="E139">
            <v>1.02</v>
          </cell>
          <cell r="F139">
            <v>2</v>
          </cell>
        </row>
        <row r="140">
          <cell r="E140">
            <v>13</v>
          </cell>
          <cell r="F140">
            <v>0</v>
          </cell>
        </row>
        <row r="141">
          <cell r="E141">
            <v>12</v>
          </cell>
          <cell r="F141">
            <v>1</v>
          </cell>
        </row>
        <row r="142">
          <cell r="E142">
            <v>10.8</v>
          </cell>
          <cell r="F142">
            <v>8</v>
          </cell>
        </row>
        <row r="143">
          <cell r="E143">
            <v>12</v>
          </cell>
          <cell r="F143">
            <v>4</v>
          </cell>
        </row>
        <row r="144">
          <cell r="E144">
            <v>13.5</v>
          </cell>
          <cell r="F144">
            <v>10</v>
          </cell>
        </row>
        <row r="145">
          <cell r="E145">
            <v>14.96</v>
          </cell>
          <cell r="F145">
            <v>3</v>
          </cell>
        </row>
        <row r="146">
          <cell r="E146">
            <v>16.326000000000001</v>
          </cell>
          <cell r="F146">
            <v>5</v>
          </cell>
        </row>
        <row r="147">
          <cell r="E147">
            <v>1.5</v>
          </cell>
          <cell r="F147">
            <v>0</v>
          </cell>
        </row>
        <row r="148">
          <cell r="E148">
            <v>0.2</v>
          </cell>
          <cell r="F148">
            <v>350</v>
          </cell>
        </row>
        <row r="149">
          <cell r="E149">
            <v>1</v>
          </cell>
          <cell r="F149">
            <v>2</v>
          </cell>
        </row>
        <row r="150">
          <cell r="E150">
            <v>10</v>
          </cell>
          <cell r="F150">
            <v>6</v>
          </cell>
        </row>
        <row r="151">
          <cell r="E151">
            <v>3.5</v>
          </cell>
          <cell r="F151">
            <v>9</v>
          </cell>
        </row>
        <row r="152">
          <cell r="E152">
            <v>6</v>
          </cell>
          <cell r="F152">
            <v>0</v>
          </cell>
        </row>
        <row r="153">
          <cell r="E153">
            <v>3</v>
          </cell>
          <cell r="F153">
            <v>0</v>
          </cell>
        </row>
        <row r="154">
          <cell r="E154">
            <v>0.45</v>
          </cell>
          <cell r="F154">
            <v>216</v>
          </cell>
        </row>
        <row r="155">
          <cell r="E155">
            <v>4.1700000000000001E-2</v>
          </cell>
          <cell r="F155">
            <v>0</v>
          </cell>
        </row>
        <row r="156">
          <cell r="E156">
            <v>0.65</v>
          </cell>
          <cell r="F156">
            <v>79</v>
          </cell>
        </row>
        <row r="157">
          <cell r="E157">
            <v>15</v>
          </cell>
          <cell r="F157">
            <v>0</v>
          </cell>
        </row>
        <row r="158">
          <cell r="E158">
            <v>0.8</v>
          </cell>
          <cell r="F158">
            <v>5</v>
          </cell>
        </row>
        <row r="159">
          <cell r="E159">
            <v>0.5</v>
          </cell>
          <cell r="F159">
            <v>115</v>
          </cell>
        </row>
        <row r="160">
          <cell r="E160">
            <v>0.8</v>
          </cell>
          <cell r="F160">
            <v>430</v>
          </cell>
        </row>
        <row r="161">
          <cell r="E161">
            <v>1.1000000000000001</v>
          </cell>
          <cell r="F161">
            <v>415</v>
          </cell>
        </row>
        <row r="162">
          <cell r="E162">
            <v>1.5</v>
          </cell>
          <cell r="F162">
            <v>85</v>
          </cell>
        </row>
        <row r="163">
          <cell r="E163">
            <v>2.75</v>
          </cell>
          <cell r="F163">
            <v>434</v>
          </cell>
        </row>
        <row r="164">
          <cell r="E164">
            <v>65</v>
          </cell>
          <cell r="F164">
            <v>7</v>
          </cell>
        </row>
        <row r="165">
          <cell r="E165">
            <v>81.5</v>
          </cell>
          <cell r="F165">
            <v>0</v>
          </cell>
        </row>
        <row r="166">
          <cell r="E166">
            <v>2</v>
          </cell>
          <cell r="F166">
            <v>7</v>
          </cell>
        </row>
        <row r="167">
          <cell r="E167">
            <v>0.8</v>
          </cell>
          <cell r="F167">
            <v>25</v>
          </cell>
        </row>
        <row r="168">
          <cell r="E168">
            <v>1.5</v>
          </cell>
          <cell r="F168">
            <v>11</v>
          </cell>
        </row>
        <row r="169">
          <cell r="E169">
            <v>8.5</v>
          </cell>
          <cell r="F169">
            <v>5</v>
          </cell>
        </row>
        <row r="170">
          <cell r="E170">
            <v>9</v>
          </cell>
          <cell r="F170">
            <v>1</v>
          </cell>
        </row>
        <row r="171">
          <cell r="E171">
            <v>11</v>
          </cell>
          <cell r="F171">
            <v>2</v>
          </cell>
        </row>
        <row r="172">
          <cell r="E172">
            <v>1.25</v>
          </cell>
          <cell r="F172">
            <v>14</v>
          </cell>
        </row>
        <row r="173">
          <cell r="E173">
            <v>1.5</v>
          </cell>
          <cell r="F173">
            <v>5</v>
          </cell>
        </row>
        <row r="174">
          <cell r="E174">
            <v>1.6</v>
          </cell>
          <cell r="F174">
            <v>13</v>
          </cell>
        </row>
        <row r="175">
          <cell r="E175">
            <v>1.75</v>
          </cell>
          <cell r="F175">
            <v>26</v>
          </cell>
        </row>
        <row r="176">
          <cell r="E176">
            <v>2.4</v>
          </cell>
          <cell r="F176">
            <v>2</v>
          </cell>
        </row>
        <row r="177">
          <cell r="E177">
            <v>2.1</v>
          </cell>
          <cell r="F177">
            <v>9</v>
          </cell>
        </row>
        <row r="178">
          <cell r="E178">
            <v>2.5</v>
          </cell>
          <cell r="F178">
            <v>7</v>
          </cell>
        </row>
        <row r="179">
          <cell r="E179">
            <v>2.25</v>
          </cell>
          <cell r="F179">
            <v>2</v>
          </cell>
        </row>
        <row r="180">
          <cell r="E180">
            <v>2.35</v>
          </cell>
          <cell r="F180">
            <v>33</v>
          </cell>
        </row>
        <row r="181">
          <cell r="E181">
            <v>2.5</v>
          </cell>
          <cell r="F181">
            <v>1</v>
          </cell>
        </row>
        <row r="182">
          <cell r="E182">
            <v>3.25</v>
          </cell>
          <cell r="F182">
            <v>7</v>
          </cell>
        </row>
        <row r="183">
          <cell r="E183">
            <v>3.3</v>
          </cell>
          <cell r="F183">
            <v>0</v>
          </cell>
        </row>
        <row r="184">
          <cell r="E184">
            <v>3.75</v>
          </cell>
          <cell r="F184">
            <v>28</v>
          </cell>
        </row>
        <row r="185">
          <cell r="E185">
            <v>3.8</v>
          </cell>
          <cell r="F185">
            <v>15</v>
          </cell>
        </row>
        <row r="186">
          <cell r="E186">
            <v>3.9</v>
          </cell>
          <cell r="F186">
            <v>17</v>
          </cell>
        </row>
        <row r="187">
          <cell r="E187">
            <v>4</v>
          </cell>
          <cell r="F187">
            <v>1</v>
          </cell>
        </row>
        <row r="188">
          <cell r="E188">
            <v>5</v>
          </cell>
          <cell r="F188">
            <v>37</v>
          </cell>
        </row>
        <row r="189">
          <cell r="E189">
            <v>5.4</v>
          </cell>
          <cell r="F189">
            <v>1</v>
          </cell>
        </row>
        <row r="190">
          <cell r="E190">
            <v>5.5</v>
          </cell>
          <cell r="F190">
            <v>7</v>
          </cell>
        </row>
        <row r="191">
          <cell r="E191">
            <v>6</v>
          </cell>
          <cell r="F191">
            <v>12</v>
          </cell>
        </row>
        <row r="192">
          <cell r="E192">
            <v>6.5</v>
          </cell>
          <cell r="F192">
            <v>17</v>
          </cell>
        </row>
        <row r="193">
          <cell r="E193">
            <v>6.5</v>
          </cell>
          <cell r="F193">
            <v>22</v>
          </cell>
        </row>
        <row r="194">
          <cell r="E194">
            <v>7</v>
          </cell>
          <cell r="F194">
            <v>9</v>
          </cell>
        </row>
        <row r="195">
          <cell r="E195">
            <v>8</v>
          </cell>
          <cell r="F195">
            <v>4</v>
          </cell>
        </row>
        <row r="196">
          <cell r="E196">
            <v>6.75</v>
          </cell>
          <cell r="F196">
            <v>10</v>
          </cell>
        </row>
        <row r="197">
          <cell r="E197">
            <v>8</v>
          </cell>
          <cell r="F197">
            <v>2</v>
          </cell>
        </row>
        <row r="198">
          <cell r="E198">
            <v>8.5</v>
          </cell>
          <cell r="F198">
            <v>4</v>
          </cell>
        </row>
        <row r="199">
          <cell r="E199">
            <v>1.9</v>
          </cell>
          <cell r="F199">
            <v>4</v>
          </cell>
        </row>
        <row r="200">
          <cell r="E200">
            <v>1.95</v>
          </cell>
          <cell r="F200">
            <v>4</v>
          </cell>
        </row>
        <row r="201">
          <cell r="E201">
            <v>2.1</v>
          </cell>
          <cell r="F201">
            <v>9</v>
          </cell>
        </row>
        <row r="202">
          <cell r="E202">
            <v>2.8</v>
          </cell>
          <cell r="F202">
            <v>15</v>
          </cell>
        </row>
        <row r="203">
          <cell r="E203">
            <v>3</v>
          </cell>
          <cell r="F203">
            <v>24</v>
          </cell>
        </row>
        <row r="204">
          <cell r="E204">
            <v>3.9</v>
          </cell>
          <cell r="F204">
            <v>2</v>
          </cell>
        </row>
        <row r="205">
          <cell r="E205">
            <v>4.5</v>
          </cell>
          <cell r="F205">
            <v>10</v>
          </cell>
        </row>
        <row r="206">
          <cell r="E206">
            <v>5</v>
          </cell>
          <cell r="F206">
            <v>6</v>
          </cell>
        </row>
        <row r="207">
          <cell r="E207">
            <v>5.8</v>
          </cell>
          <cell r="F207">
            <v>3</v>
          </cell>
        </row>
        <row r="208">
          <cell r="E208">
            <v>6.5</v>
          </cell>
          <cell r="F208">
            <v>5</v>
          </cell>
        </row>
        <row r="209">
          <cell r="E209">
            <v>7</v>
          </cell>
          <cell r="F209">
            <v>19</v>
          </cell>
        </row>
        <row r="210">
          <cell r="E210">
            <v>9</v>
          </cell>
          <cell r="F210">
            <v>3</v>
          </cell>
        </row>
        <row r="211">
          <cell r="E211">
            <v>11</v>
          </cell>
          <cell r="F211">
            <v>2</v>
          </cell>
        </row>
        <row r="212">
          <cell r="E212">
            <v>2.5</v>
          </cell>
          <cell r="F212">
            <v>0</v>
          </cell>
        </row>
        <row r="213">
          <cell r="E213">
            <v>3</v>
          </cell>
          <cell r="F213">
            <v>1</v>
          </cell>
        </row>
        <row r="214">
          <cell r="E214">
            <v>6.5</v>
          </cell>
          <cell r="F214">
            <v>0</v>
          </cell>
        </row>
        <row r="215">
          <cell r="E215">
            <v>2</v>
          </cell>
          <cell r="F215">
            <v>0</v>
          </cell>
        </row>
        <row r="216">
          <cell r="E216">
            <v>3.4</v>
          </cell>
          <cell r="F216">
            <v>0</v>
          </cell>
        </row>
        <row r="217">
          <cell r="E217">
            <v>2</v>
          </cell>
          <cell r="F217">
            <v>7</v>
          </cell>
        </row>
        <row r="218">
          <cell r="E218">
            <v>0.34</v>
          </cell>
          <cell r="F218">
            <v>0</v>
          </cell>
        </row>
        <row r="219">
          <cell r="E219">
            <v>10.199999999999999</v>
          </cell>
          <cell r="F219">
            <v>0</v>
          </cell>
        </row>
        <row r="220">
          <cell r="E220">
            <v>9.9</v>
          </cell>
          <cell r="F220">
            <v>0</v>
          </cell>
        </row>
        <row r="221">
          <cell r="E221">
            <v>4</v>
          </cell>
          <cell r="F221">
            <v>0.8</v>
          </cell>
        </row>
        <row r="222">
          <cell r="E222">
            <v>3.41</v>
          </cell>
          <cell r="F222">
            <v>1.72</v>
          </cell>
        </row>
        <row r="223">
          <cell r="E223">
            <v>1</v>
          </cell>
          <cell r="F223">
            <v>1</v>
          </cell>
        </row>
        <row r="224">
          <cell r="E224">
            <v>1.66</v>
          </cell>
          <cell r="F224">
            <v>1</v>
          </cell>
        </row>
        <row r="225">
          <cell r="E225">
            <v>1.65</v>
          </cell>
          <cell r="F225">
            <v>20</v>
          </cell>
        </row>
        <row r="226">
          <cell r="E226">
            <v>2.75</v>
          </cell>
          <cell r="F226">
            <v>34</v>
          </cell>
        </row>
        <row r="227">
          <cell r="E227">
            <v>3.25</v>
          </cell>
          <cell r="F227">
            <v>22</v>
          </cell>
        </row>
        <row r="228">
          <cell r="E228">
            <v>5.5</v>
          </cell>
          <cell r="F228">
            <v>5</v>
          </cell>
        </row>
        <row r="229">
          <cell r="E229">
            <v>3.4</v>
          </cell>
          <cell r="F229">
            <v>4</v>
          </cell>
        </row>
        <row r="230">
          <cell r="E230">
            <v>12.5</v>
          </cell>
          <cell r="F230">
            <v>1</v>
          </cell>
        </row>
        <row r="231">
          <cell r="E231">
            <v>0.3</v>
          </cell>
          <cell r="F231">
            <v>94</v>
          </cell>
        </row>
        <row r="232">
          <cell r="E232">
            <v>0.55000000000000004</v>
          </cell>
          <cell r="F232">
            <v>0</v>
          </cell>
        </row>
        <row r="233">
          <cell r="E233">
            <v>0.4</v>
          </cell>
          <cell r="F233">
            <v>85</v>
          </cell>
        </row>
        <row r="234">
          <cell r="E234">
            <v>0.35</v>
          </cell>
          <cell r="F234">
            <v>90</v>
          </cell>
        </row>
        <row r="235">
          <cell r="E235">
            <v>0.5</v>
          </cell>
          <cell r="F235">
            <v>49</v>
          </cell>
        </row>
        <row r="236">
          <cell r="E236">
            <v>0.45</v>
          </cell>
          <cell r="F236">
            <v>82</v>
          </cell>
        </row>
        <row r="237">
          <cell r="E237">
            <v>0.45</v>
          </cell>
          <cell r="F237">
            <v>115</v>
          </cell>
        </row>
        <row r="238">
          <cell r="E238">
            <v>1.1000000000000001</v>
          </cell>
          <cell r="F238">
            <v>46</v>
          </cell>
        </row>
        <row r="239">
          <cell r="E239">
            <v>550</v>
          </cell>
          <cell r="F239">
            <v>2</v>
          </cell>
        </row>
        <row r="240">
          <cell r="E240">
            <v>3</v>
          </cell>
          <cell r="F240">
            <v>3</v>
          </cell>
        </row>
        <row r="241">
          <cell r="E241">
            <v>20</v>
          </cell>
          <cell r="F241">
            <v>1</v>
          </cell>
        </row>
        <row r="242">
          <cell r="E242">
            <v>65</v>
          </cell>
          <cell r="F242">
            <v>3</v>
          </cell>
        </row>
        <row r="243">
          <cell r="E243">
            <v>50</v>
          </cell>
          <cell r="F243">
            <v>0</v>
          </cell>
        </row>
        <row r="244">
          <cell r="E244">
            <v>45</v>
          </cell>
          <cell r="F244">
            <v>0</v>
          </cell>
        </row>
        <row r="245">
          <cell r="E245">
            <v>15</v>
          </cell>
          <cell r="F245">
            <v>1</v>
          </cell>
        </row>
        <row r="246">
          <cell r="E246">
            <v>6.1</v>
          </cell>
          <cell r="F246">
            <v>0</v>
          </cell>
        </row>
        <row r="247">
          <cell r="E247">
            <v>4</v>
          </cell>
          <cell r="F247">
            <v>2</v>
          </cell>
        </row>
        <row r="248">
          <cell r="E248">
            <v>7</v>
          </cell>
          <cell r="F248">
            <v>9</v>
          </cell>
        </row>
        <row r="249">
          <cell r="E249">
            <v>2</v>
          </cell>
          <cell r="F249">
            <v>0</v>
          </cell>
        </row>
        <row r="250">
          <cell r="E250">
            <v>1.5</v>
          </cell>
          <cell r="F250">
            <v>18</v>
          </cell>
        </row>
        <row r="251">
          <cell r="E251">
            <v>100</v>
          </cell>
          <cell r="F251">
            <v>1</v>
          </cell>
        </row>
        <row r="252">
          <cell r="E252">
            <v>100</v>
          </cell>
          <cell r="F252">
            <v>0</v>
          </cell>
        </row>
        <row r="253">
          <cell r="E253">
            <v>1.5</v>
          </cell>
          <cell r="F253">
            <v>6</v>
          </cell>
        </row>
        <row r="254">
          <cell r="E254">
            <v>14</v>
          </cell>
          <cell r="F254">
            <v>0</v>
          </cell>
        </row>
        <row r="255">
          <cell r="E255">
            <v>20</v>
          </cell>
          <cell r="F255">
            <v>0</v>
          </cell>
        </row>
        <row r="256">
          <cell r="E256">
            <v>33</v>
          </cell>
          <cell r="F256">
            <v>0</v>
          </cell>
        </row>
        <row r="257">
          <cell r="E257">
            <v>7.5</v>
          </cell>
          <cell r="F257">
            <v>29</v>
          </cell>
        </row>
        <row r="258">
          <cell r="E258">
            <v>2</v>
          </cell>
          <cell r="F258">
            <v>0</v>
          </cell>
        </row>
        <row r="259">
          <cell r="E259">
            <v>25</v>
          </cell>
          <cell r="F259">
            <v>19.66</v>
          </cell>
        </row>
        <row r="260">
          <cell r="E260">
            <v>2</v>
          </cell>
          <cell r="F260">
            <v>2</v>
          </cell>
        </row>
        <row r="261">
          <cell r="E261">
            <v>5.4</v>
          </cell>
          <cell r="F261">
            <v>1</v>
          </cell>
        </row>
        <row r="262">
          <cell r="E262">
            <v>1.5</v>
          </cell>
          <cell r="F262">
            <v>0</v>
          </cell>
        </row>
        <row r="263">
          <cell r="E263">
            <v>1.3</v>
          </cell>
          <cell r="F263">
            <v>0</v>
          </cell>
        </row>
        <row r="264">
          <cell r="E264">
            <v>1.5</v>
          </cell>
          <cell r="F264">
            <v>0</v>
          </cell>
        </row>
        <row r="265">
          <cell r="E265">
            <v>1.4</v>
          </cell>
          <cell r="F265">
            <v>0</v>
          </cell>
        </row>
        <row r="266">
          <cell r="E266">
            <v>1.5</v>
          </cell>
          <cell r="F266">
            <v>0</v>
          </cell>
        </row>
        <row r="267">
          <cell r="E267">
            <v>1.5</v>
          </cell>
          <cell r="F267">
            <v>0</v>
          </cell>
        </row>
        <row r="268">
          <cell r="E268">
            <v>2.04</v>
          </cell>
          <cell r="F268">
            <v>0</v>
          </cell>
        </row>
        <row r="269">
          <cell r="E269">
            <v>1.75</v>
          </cell>
          <cell r="F269">
            <v>0</v>
          </cell>
        </row>
        <row r="270">
          <cell r="E270">
            <v>0.3</v>
          </cell>
          <cell r="F270">
            <v>65</v>
          </cell>
        </row>
        <row r="271">
          <cell r="E271">
            <v>6.5</v>
          </cell>
          <cell r="F271">
            <v>0</v>
          </cell>
        </row>
        <row r="272">
          <cell r="E272">
            <v>3.5</v>
          </cell>
          <cell r="F272">
            <v>300</v>
          </cell>
        </row>
        <row r="273">
          <cell r="E273">
            <v>7.5</v>
          </cell>
          <cell r="F273">
            <v>0</v>
          </cell>
        </row>
        <row r="274">
          <cell r="E274">
            <v>0.27</v>
          </cell>
          <cell r="F274">
            <v>0</v>
          </cell>
        </row>
        <row r="275">
          <cell r="E275">
            <v>0.9</v>
          </cell>
          <cell r="F275">
            <v>429</v>
          </cell>
        </row>
        <row r="276">
          <cell r="E276">
            <v>0.21</v>
          </cell>
          <cell r="F276">
            <v>3032</v>
          </cell>
        </row>
        <row r="277">
          <cell r="E277">
            <v>0.25</v>
          </cell>
          <cell r="F277">
            <v>8</v>
          </cell>
        </row>
        <row r="278">
          <cell r="E278">
            <v>0.9</v>
          </cell>
          <cell r="F278">
            <v>1861</v>
          </cell>
        </row>
        <row r="279">
          <cell r="E279">
            <v>0.48</v>
          </cell>
          <cell r="F279">
            <v>2058</v>
          </cell>
        </row>
        <row r="280">
          <cell r="E280">
            <v>0.67</v>
          </cell>
          <cell r="F280">
            <v>1071</v>
          </cell>
        </row>
        <row r="281">
          <cell r="E281">
            <v>1.1000000000000001</v>
          </cell>
          <cell r="F281">
            <v>980</v>
          </cell>
        </row>
        <row r="282">
          <cell r="E282">
            <v>0.2</v>
          </cell>
          <cell r="F282">
            <v>0</v>
          </cell>
        </row>
        <row r="283">
          <cell r="E283">
            <v>1</v>
          </cell>
          <cell r="F283">
            <v>0</v>
          </cell>
        </row>
        <row r="284">
          <cell r="E284">
            <v>0.15</v>
          </cell>
          <cell r="F284">
            <v>0</v>
          </cell>
        </row>
        <row r="285">
          <cell r="E285">
            <v>0.11</v>
          </cell>
          <cell r="F285">
            <v>0</v>
          </cell>
        </row>
        <row r="286">
          <cell r="E286">
            <v>0.35</v>
          </cell>
          <cell r="F286">
            <v>0</v>
          </cell>
        </row>
        <row r="287">
          <cell r="E287">
            <v>0.35</v>
          </cell>
          <cell r="F287">
            <v>0</v>
          </cell>
        </row>
        <row r="288">
          <cell r="E288">
            <v>0.35</v>
          </cell>
          <cell r="F288">
            <v>36</v>
          </cell>
        </row>
        <row r="289">
          <cell r="E289">
            <v>0.9</v>
          </cell>
          <cell r="F289">
            <v>4</v>
          </cell>
        </row>
        <row r="290">
          <cell r="E290">
            <v>0.5</v>
          </cell>
          <cell r="F290">
            <v>107</v>
          </cell>
        </row>
        <row r="291">
          <cell r="E291">
            <v>0.6</v>
          </cell>
          <cell r="F291">
            <v>38</v>
          </cell>
        </row>
        <row r="292">
          <cell r="E292">
            <v>2</v>
          </cell>
          <cell r="F292">
            <v>0</v>
          </cell>
        </row>
        <row r="293">
          <cell r="E293">
            <v>1</v>
          </cell>
          <cell r="F293">
            <v>0</v>
          </cell>
        </row>
        <row r="294">
          <cell r="E294">
            <v>1.5</v>
          </cell>
          <cell r="F294">
            <v>0</v>
          </cell>
        </row>
        <row r="295">
          <cell r="E295">
            <v>2</v>
          </cell>
          <cell r="F295">
            <v>0</v>
          </cell>
        </row>
        <row r="296">
          <cell r="E296">
            <v>0.2</v>
          </cell>
          <cell r="F296">
            <v>0</v>
          </cell>
        </row>
        <row r="297">
          <cell r="E297">
            <v>0.16800000000000001</v>
          </cell>
          <cell r="F297">
            <v>0</v>
          </cell>
        </row>
        <row r="298">
          <cell r="E298">
            <v>0.16800000000000001</v>
          </cell>
          <cell r="F298">
            <v>0</v>
          </cell>
        </row>
        <row r="299">
          <cell r="E299">
            <v>0.2</v>
          </cell>
          <cell r="F299">
            <v>0</v>
          </cell>
        </row>
        <row r="300">
          <cell r="E300">
            <v>1.1000000000000001</v>
          </cell>
          <cell r="F300">
            <v>0</v>
          </cell>
        </row>
        <row r="301">
          <cell r="E301">
            <v>1.01</v>
          </cell>
          <cell r="F301">
            <v>0</v>
          </cell>
        </row>
        <row r="302">
          <cell r="E302">
            <v>1.5</v>
          </cell>
          <cell r="F302">
            <v>0</v>
          </cell>
        </row>
        <row r="303">
          <cell r="E303">
            <v>5.3</v>
          </cell>
          <cell r="F303">
            <v>0</v>
          </cell>
        </row>
        <row r="304">
          <cell r="E304">
            <v>7</v>
          </cell>
          <cell r="F304">
            <v>9</v>
          </cell>
        </row>
        <row r="305">
          <cell r="E305">
            <v>1</v>
          </cell>
          <cell r="F305">
            <v>39</v>
          </cell>
        </row>
        <row r="306">
          <cell r="E306">
            <v>5</v>
          </cell>
          <cell r="F306">
            <v>0</v>
          </cell>
        </row>
        <row r="307">
          <cell r="E307">
            <v>20</v>
          </cell>
          <cell r="F307">
            <v>0</v>
          </cell>
        </row>
        <row r="308">
          <cell r="E308">
            <v>1</v>
          </cell>
          <cell r="F308">
            <v>2</v>
          </cell>
        </row>
        <row r="309">
          <cell r="E309">
            <v>0.8</v>
          </cell>
          <cell r="F309">
            <v>4</v>
          </cell>
        </row>
        <row r="310">
          <cell r="E310">
            <v>3.5</v>
          </cell>
          <cell r="F310">
            <v>0</v>
          </cell>
        </row>
        <row r="311">
          <cell r="E311">
            <v>1.67</v>
          </cell>
          <cell r="F311">
            <v>4</v>
          </cell>
        </row>
        <row r="312">
          <cell r="E312">
            <v>0.4</v>
          </cell>
          <cell r="F312">
            <v>0</v>
          </cell>
        </row>
        <row r="313">
          <cell r="E313">
            <v>5</v>
          </cell>
          <cell r="F313">
            <v>0</v>
          </cell>
        </row>
        <row r="314">
          <cell r="E314">
            <v>14.2</v>
          </cell>
          <cell r="F314">
            <v>9</v>
          </cell>
        </row>
        <row r="315">
          <cell r="E315">
            <v>2.5</v>
          </cell>
          <cell r="F315">
            <v>33</v>
          </cell>
        </row>
        <row r="316">
          <cell r="E316">
            <v>0.7</v>
          </cell>
          <cell r="F316">
            <v>36</v>
          </cell>
        </row>
        <row r="317">
          <cell r="E317">
            <v>10</v>
          </cell>
          <cell r="F317">
            <v>6</v>
          </cell>
        </row>
        <row r="318">
          <cell r="E318">
            <v>50</v>
          </cell>
          <cell r="F318">
            <v>0</v>
          </cell>
        </row>
        <row r="319">
          <cell r="E319">
            <v>3.5</v>
          </cell>
          <cell r="F319">
            <v>0</v>
          </cell>
        </row>
        <row r="320">
          <cell r="E320">
            <v>7</v>
          </cell>
          <cell r="F320">
            <v>3</v>
          </cell>
        </row>
        <row r="321">
          <cell r="E321">
            <v>50</v>
          </cell>
          <cell r="F321">
            <v>0</v>
          </cell>
        </row>
        <row r="322">
          <cell r="E322">
            <v>0.75</v>
          </cell>
          <cell r="F322">
            <v>0</v>
          </cell>
        </row>
        <row r="323">
          <cell r="E323">
            <v>2.56</v>
          </cell>
          <cell r="F323">
            <v>0</v>
          </cell>
        </row>
        <row r="324">
          <cell r="E324">
            <v>1.25</v>
          </cell>
          <cell r="F324">
            <v>0</v>
          </cell>
        </row>
        <row r="325">
          <cell r="E325">
            <v>180</v>
          </cell>
          <cell r="F325">
            <v>1</v>
          </cell>
        </row>
        <row r="326">
          <cell r="E326">
            <v>260</v>
          </cell>
          <cell r="F326">
            <v>0</v>
          </cell>
        </row>
        <row r="327">
          <cell r="E327">
            <v>0.4</v>
          </cell>
          <cell r="F327">
            <v>0</v>
          </cell>
        </row>
        <row r="328">
          <cell r="E328">
            <v>0.63400000000000001</v>
          </cell>
          <cell r="F328">
            <v>150</v>
          </cell>
        </row>
        <row r="329">
          <cell r="E329">
            <v>1.1000000000000001</v>
          </cell>
          <cell r="F329">
            <v>0</v>
          </cell>
        </row>
        <row r="330">
          <cell r="E330">
            <v>1</v>
          </cell>
          <cell r="F330">
            <v>0</v>
          </cell>
        </row>
        <row r="331">
          <cell r="E331">
            <v>1.3</v>
          </cell>
          <cell r="F331">
            <v>0</v>
          </cell>
        </row>
        <row r="332">
          <cell r="E332">
            <v>2</v>
          </cell>
          <cell r="F332">
            <v>0</v>
          </cell>
        </row>
        <row r="333">
          <cell r="E333">
            <v>2</v>
          </cell>
          <cell r="F333">
            <v>18</v>
          </cell>
        </row>
        <row r="334">
          <cell r="E334">
            <v>2</v>
          </cell>
          <cell r="F334">
            <v>2</v>
          </cell>
        </row>
        <row r="335">
          <cell r="E335">
            <v>3.5</v>
          </cell>
          <cell r="F335">
            <v>49</v>
          </cell>
        </row>
        <row r="336">
          <cell r="E336">
            <v>14</v>
          </cell>
          <cell r="F336">
            <v>2</v>
          </cell>
        </row>
        <row r="337">
          <cell r="E337">
            <v>3</v>
          </cell>
          <cell r="F337">
            <v>0</v>
          </cell>
        </row>
        <row r="338">
          <cell r="E338">
            <v>10</v>
          </cell>
          <cell r="F338">
            <v>1.66</v>
          </cell>
        </row>
        <row r="339">
          <cell r="E339">
            <v>8.5</v>
          </cell>
          <cell r="F339">
            <v>0</v>
          </cell>
        </row>
        <row r="340">
          <cell r="E340">
            <v>2.5</v>
          </cell>
          <cell r="F340">
            <v>5</v>
          </cell>
        </row>
        <row r="341">
          <cell r="E341">
            <v>14.583299999999999</v>
          </cell>
          <cell r="F341">
            <v>0</v>
          </cell>
        </row>
        <row r="342">
          <cell r="E342">
            <v>8</v>
          </cell>
          <cell r="F342">
            <v>0</v>
          </cell>
        </row>
        <row r="343">
          <cell r="E343">
            <v>1</v>
          </cell>
          <cell r="F343">
            <v>9</v>
          </cell>
        </row>
        <row r="344">
          <cell r="E344">
            <v>5</v>
          </cell>
          <cell r="F344">
            <v>2</v>
          </cell>
        </row>
        <row r="345">
          <cell r="E345">
            <v>2</v>
          </cell>
          <cell r="F345">
            <v>4</v>
          </cell>
        </row>
        <row r="346">
          <cell r="E346">
            <v>3</v>
          </cell>
          <cell r="F346">
            <v>12</v>
          </cell>
        </row>
        <row r="347">
          <cell r="E347">
            <v>8</v>
          </cell>
          <cell r="F347">
            <v>0</v>
          </cell>
        </row>
        <row r="348">
          <cell r="E348">
            <v>1.5</v>
          </cell>
          <cell r="F348">
            <v>0</v>
          </cell>
        </row>
        <row r="349">
          <cell r="E349">
            <v>2</v>
          </cell>
          <cell r="F349">
            <v>8</v>
          </cell>
        </row>
        <row r="350">
          <cell r="E350">
            <v>0.75</v>
          </cell>
          <cell r="F350">
            <v>0</v>
          </cell>
        </row>
        <row r="351">
          <cell r="E351">
            <v>1.35</v>
          </cell>
          <cell r="F351">
            <v>0</v>
          </cell>
        </row>
        <row r="352">
          <cell r="E352">
            <v>1.19</v>
          </cell>
          <cell r="F352">
            <v>0</v>
          </cell>
        </row>
        <row r="353">
          <cell r="E353">
            <v>2.2000000000000002</v>
          </cell>
          <cell r="F353">
            <v>0</v>
          </cell>
        </row>
        <row r="354">
          <cell r="E354">
            <v>0.67500000000000004</v>
          </cell>
          <cell r="F354">
            <v>0</v>
          </cell>
        </row>
        <row r="355">
          <cell r="E355">
            <v>3.2679999999999998</v>
          </cell>
          <cell r="F355">
            <v>4</v>
          </cell>
        </row>
        <row r="356">
          <cell r="E356">
            <v>6</v>
          </cell>
          <cell r="F356">
            <v>0</v>
          </cell>
        </row>
        <row r="357">
          <cell r="E357">
            <v>6.89</v>
          </cell>
          <cell r="F357">
            <v>0</v>
          </cell>
        </row>
        <row r="358">
          <cell r="E358">
            <v>3.4</v>
          </cell>
          <cell r="F358">
            <v>2</v>
          </cell>
        </row>
        <row r="359">
          <cell r="E359">
            <v>0.6</v>
          </cell>
          <cell r="F359">
            <v>95</v>
          </cell>
        </row>
        <row r="360">
          <cell r="E360">
            <v>0.55000000000000004</v>
          </cell>
          <cell r="F360">
            <v>21</v>
          </cell>
        </row>
        <row r="361">
          <cell r="E361">
            <v>0.2</v>
          </cell>
          <cell r="F361">
            <v>85</v>
          </cell>
        </row>
        <row r="362">
          <cell r="E362">
            <v>0.34</v>
          </cell>
          <cell r="F362">
            <v>278</v>
          </cell>
        </row>
        <row r="363">
          <cell r="E363">
            <v>0.35</v>
          </cell>
          <cell r="F363">
            <v>178</v>
          </cell>
        </row>
        <row r="364">
          <cell r="E364">
            <v>1</v>
          </cell>
          <cell r="F364">
            <v>0</v>
          </cell>
        </row>
        <row r="365">
          <cell r="E365">
            <v>4.75</v>
          </cell>
          <cell r="F365">
            <v>4</v>
          </cell>
        </row>
        <row r="366">
          <cell r="E366">
            <v>4.75</v>
          </cell>
          <cell r="F366">
            <v>4</v>
          </cell>
        </row>
        <row r="367">
          <cell r="E367">
            <v>4.75</v>
          </cell>
          <cell r="F367">
            <v>37</v>
          </cell>
        </row>
        <row r="368">
          <cell r="E368">
            <v>0.5</v>
          </cell>
          <cell r="F368">
            <v>15</v>
          </cell>
        </row>
        <row r="369">
          <cell r="E369">
            <v>10</v>
          </cell>
          <cell r="F369">
            <v>0</v>
          </cell>
        </row>
        <row r="370">
          <cell r="E370">
            <v>1.4</v>
          </cell>
          <cell r="F370">
            <v>25</v>
          </cell>
        </row>
        <row r="371">
          <cell r="E371">
            <v>2</v>
          </cell>
          <cell r="F371">
            <v>0</v>
          </cell>
        </row>
        <row r="372">
          <cell r="E372">
            <v>1.5</v>
          </cell>
          <cell r="F372">
            <v>0</v>
          </cell>
        </row>
        <row r="373">
          <cell r="E373">
            <v>2</v>
          </cell>
          <cell r="F373">
            <v>0</v>
          </cell>
        </row>
        <row r="374">
          <cell r="E374">
            <v>1.5</v>
          </cell>
          <cell r="F374">
            <v>0</v>
          </cell>
        </row>
        <row r="375">
          <cell r="E375">
            <v>1.5</v>
          </cell>
          <cell r="F375">
            <v>0</v>
          </cell>
        </row>
        <row r="376">
          <cell r="E376">
            <v>1.63</v>
          </cell>
          <cell r="F376">
            <v>0</v>
          </cell>
        </row>
        <row r="377">
          <cell r="E377">
            <v>1.7</v>
          </cell>
          <cell r="F377">
            <v>0</v>
          </cell>
        </row>
        <row r="378">
          <cell r="E378">
            <v>1.4</v>
          </cell>
          <cell r="F378">
            <v>25</v>
          </cell>
        </row>
        <row r="379">
          <cell r="E379">
            <v>5</v>
          </cell>
          <cell r="F379">
            <v>1</v>
          </cell>
        </row>
        <row r="380">
          <cell r="E380">
            <v>24</v>
          </cell>
          <cell r="F380">
            <v>1</v>
          </cell>
        </row>
        <row r="381">
          <cell r="E381">
            <v>26</v>
          </cell>
          <cell r="F381">
            <v>10</v>
          </cell>
        </row>
        <row r="382">
          <cell r="E382">
            <v>2.37</v>
          </cell>
          <cell r="F382">
            <v>39</v>
          </cell>
        </row>
        <row r="383">
          <cell r="E383">
            <v>4.625</v>
          </cell>
          <cell r="F383">
            <v>49</v>
          </cell>
        </row>
        <row r="384">
          <cell r="E384">
            <v>5</v>
          </cell>
          <cell r="F384">
            <v>10</v>
          </cell>
        </row>
        <row r="385">
          <cell r="E385">
            <v>30</v>
          </cell>
          <cell r="F385">
            <v>0</v>
          </cell>
        </row>
        <row r="386">
          <cell r="E386">
            <v>4.5</v>
          </cell>
          <cell r="F386">
            <v>17.5</v>
          </cell>
        </row>
        <row r="387">
          <cell r="E387">
            <v>1.75</v>
          </cell>
          <cell r="F387">
            <v>0</v>
          </cell>
        </row>
        <row r="388">
          <cell r="E388">
            <v>2.5</v>
          </cell>
          <cell r="F388">
            <v>0</v>
          </cell>
        </row>
        <row r="389">
          <cell r="E389">
            <v>20</v>
          </cell>
          <cell r="F389">
            <v>18</v>
          </cell>
        </row>
        <row r="390">
          <cell r="E390">
            <v>7</v>
          </cell>
          <cell r="F390">
            <v>7</v>
          </cell>
        </row>
        <row r="391">
          <cell r="E391">
            <v>7</v>
          </cell>
          <cell r="F391">
            <v>0</v>
          </cell>
        </row>
        <row r="392">
          <cell r="E392">
            <v>2</v>
          </cell>
          <cell r="F392">
            <v>0</v>
          </cell>
        </row>
        <row r="393">
          <cell r="E393">
            <v>5</v>
          </cell>
          <cell r="F393">
            <v>0</v>
          </cell>
        </row>
        <row r="394">
          <cell r="E394">
            <v>6</v>
          </cell>
          <cell r="F394">
            <v>0</v>
          </cell>
        </row>
        <row r="395">
          <cell r="E395">
            <v>1</v>
          </cell>
          <cell r="F395">
            <v>0</v>
          </cell>
        </row>
        <row r="396">
          <cell r="E396">
            <v>2</v>
          </cell>
          <cell r="F396">
            <v>2</v>
          </cell>
        </row>
        <row r="397">
          <cell r="E397">
            <v>1</v>
          </cell>
          <cell r="F397">
            <v>2</v>
          </cell>
        </row>
        <row r="398">
          <cell r="E398">
            <v>2</v>
          </cell>
          <cell r="F398">
            <v>52</v>
          </cell>
        </row>
        <row r="399">
          <cell r="E399">
            <v>5.2</v>
          </cell>
          <cell r="F399">
            <v>335</v>
          </cell>
        </row>
        <row r="400">
          <cell r="E400">
            <v>5.2</v>
          </cell>
          <cell r="F400">
            <v>19</v>
          </cell>
        </row>
        <row r="401">
          <cell r="E401">
            <v>5.2</v>
          </cell>
          <cell r="F401">
            <v>68</v>
          </cell>
        </row>
        <row r="402">
          <cell r="E402">
            <v>5.2</v>
          </cell>
          <cell r="F402">
            <v>41</v>
          </cell>
        </row>
        <row r="403">
          <cell r="E403">
            <v>5.2</v>
          </cell>
          <cell r="F403">
            <v>39</v>
          </cell>
        </row>
        <row r="404">
          <cell r="E404">
            <v>5.2</v>
          </cell>
          <cell r="F404">
            <v>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3">
          <cell r="K3" t="str">
            <v>Bolt  160 * 6mm</v>
          </cell>
        </row>
      </sheetData>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sheetName val="Photoelectric smoke and heat al"/>
      <sheetName val="Alarm Cable 1 2 1.5 0.80 FE180"/>
      <sheetName val="Angle Handle Iron Trunking Cabl"/>
      <sheetName val="Annular&amp;Fork Terminal Different"/>
      <sheetName val="Anti Strom"/>
      <sheetName val="Automatic Boilar (Brad Ford) 20"/>
      <sheetName val="Avometer _x0009_"/>
      <sheetName val="Bain Marie Heater_x0009_"/>
      <sheetName val="Base Base Galvanis For Isolated"/>
      <sheetName val="Base Cable Trunking Ground 16cm"/>
      <sheetName val="Base Cable Trunking ground Iron"/>
      <sheetName val="Base Cable Trunking Wall 10cm"/>
      <sheetName val="Base Cable Trunking Wall 20cm"/>
      <sheetName val="Base Cable Trunking Wall 30cm"/>
      <sheetName val="Base Candle LED 4Foot losco"/>
      <sheetName val="Base Iron Cable Trunking 40cm"/>
      <sheetName val="Base LED BG 60 60Cm 40W"/>
      <sheetName val="Base LED Loceco 60 60Cm 40W"/>
      <sheetName val="Base Tape Lamp With Bulb 15W"/>
      <sheetName val="Base Trunking Cable 60cm Iron G"/>
      <sheetName val="Base Trunking Cable30cm Iron_x0009_"/>
      <sheetName val="Battery 9V _x0009_"/>
      <sheetName val="Battery charging light"/>
      <sheetName val="Battery duracell 2"/>
      <sheetName val="Battery Motorella _x0009_"/>
      <sheetName val="Big Ventilator Industrial 54.5 "/>
      <sheetName val="Black  Wire 1.5mm"/>
      <sheetName val="Black Cable  1 240mm "/>
      <sheetName val="Black Cable  4 5mm "/>
      <sheetName val="Black Cable  4 70 "/>
      <sheetName val="Black Cable  5 10"/>
      <sheetName val="Black Cable  5 2.5mm Berly"/>
      <sheetName val="Black Cable  5 70"/>
      <sheetName val="Black Cable  5 95"/>
      <sheetName val="Black Cable 1 150  XLPE"/>
      <sheetName val="Black Cable 3 1.5mm Berly"/>
      <sheetName val="Black Cable 5  1.5mm "/>
      <sheetName val="Black Cable 3  2.5 Mardeen"/>
      <sheetName val="Black Cable 3  2.5mm"/>
      <sheetName val="Black Cable 5  2.5mm "/>
      <sheetName val="Black Cable 3 10mm"/>
      <sheetName val="Black Cable 3 4mm "/>
      <sheetName val="Black Cable 3 6  XPLE"/>
      <sheetName val="Black Cable 4 120 Ryad XLPE"/>
      <sheetName val="Black Cable 4 10mm"/>
      <sheetName val="Black Cable 4 16 "/>
      <sheetName val="Black Cable 4 25mm "/>
      <sheetName val="Black Cable 4 35 "/>
      <sheetName val="Black Cable 4 50mm "/>
      <sheetName val="Black Cable 5 4mm  "/>
      <sheetName val="Black Cable 4 70mm "/>
      <sheetName val="Black Cable 4 95mm "/>
      <sheetName val="Black Cable 5   6mm  "/>
      <sheetName val="Black Cable 5 10mm"/>
      <sheetName val="Black Cable 5 16"/>
      <sheetName val="Black Cable 5 35 "/>
      <sheetName val="Black Cable 5 50"/>
      <sheetName val="Black Cable Armor 2.5 3 "/>
      <sheetName val="Black Cable Armor 3 16 XLPE"/>
      <sheetName val="Black cable Armor 4  95mm"/>
      <sheetName val="Black Cable Armor 4 150mm "/>
      <sheetName val="Black Cable Armor 4 185 "/>
      <sheetName val="Black Cable Armor 4 25mm HES"/>
      <sheetName val="Black Cable Armor 4 300 XLPE"/>
      <sheetName val="Black Cable Armor 4 35 XLPE"/>
      <sheetName val="Black Cable Armor 4 50mm  XLPE"/>
      <sheetName val="Black Cable Armor 4 5mm HES XLP"/>
      <sheetName val="Black Cable Armor 5 10mm HES"/>
      <sheetName val="Black Cable Armor 5 25mm "/>
      <sheetName val="Black Cable Armor 5 35 "/>
      <sheetName val="Black Cable Armor 5 50mm "/>
      <sheetName val="Black Cable Armor 5 6mm"/>
      <sheetName val="Black Gland cable Plastic 25mm "/>
      <sheetName val="Black Thermal Tape 3M 38mm"/>
      <sheetName val="Black Vinyl Electrical Tape 3M"/>
      <sheetName val="Black Welding Cable 25mm"/>
      <sheetName val="Black Welding Cable 35ml"/>
      <sheetName val="Black Wire 2.5mm"/>
      <sheetName val="Black Wire 4mm"/>
      <sheetName val="Black Wire 6mm"/>
      <sheetName val="Black Wire10mm"/>
      <sheetName val="projector 80W"/>
      <sheetName val="Blue Bus-bar Ground"/>
      <sheetName val="Blue Wire 1.5mm"/>
      <sheetName val="Blue Wire 2.5mm"/>
      <sheetName val="Blue Wire 4mm L.C kabl"/>
      <sheetName val="Blue Wire 6mm "/>
      <sheetName val="Blue Wire10mm"/>
      <sheetName val="Board MDB 4P 400A With MCCB 2Do"/>
      <sheetName val="Board Lock "/>
      <sheetName val="Board Plastic 13 33 25cm "/>
      <sheetName val="Bolt Iron Trunking Cable"/>
      <sheetName val="Box Ground Switch Plug SCF-320 "/>
      <sheetName val="Box Switch Plug Double Single 4"/>
      <sheetName val="Box Switch Plug Single Double "/>
      <sheetName val="Box tools iron Tolsen_x0009_"/>
      <sheetName val="Bracket Support  Trunking Cable"/>
      <sheetName val="Bracket SuppTrunking Cable 30cm"/>
      <sheetName val="Brown Vinyl Electrical Tape 3M"/>
      <sheetName val="Bulb LED BG 810 Lumen 9W=60W"/>
      <sheetName val="Bulb LED Energetic 12W"/>
      <sheetName val="Bulb LED Energetic 8W"/>
      <sheetName val="Bulb LED Robus RSN15050DAS-04 1"/>
      <sheetName val="Bule Vinyl Electrical Tape 3M"/>
      <sheetName val="Bus-bar 1mt 125A "/>
      <sheetName val="Bus-Bar 5mm 3cm 11.3mt"/>
      <sheetName val="Bus-bar Insulator SM-51 5cm"/>
      <sheetName val="Butless 1.5mm"/>
      <sheetName val="Butless 16mm"/>
      <sheetName val="Butless 2.5mm _x0009_"/>
      <sheetName val="Butless 4mm  (Wire lugs) "/>
      <sheetName val="Butless 6mm"/>
      <sheetName val="Butless 10mm  (Wire lugs) "/>
      <sheetName val="Cable Armor 1 300mm "/>
      <sheetName val="Cable Armor 3 10mm"/>
      <sheetName val="Cable Armor 3 4 XLPE"/>
      <sheetName val="Cable Armor 3 6 XLPE "/>
      <sheetName val="Cable Armor 4 120mm XLPE"/>
      <sheetName val="Cable Armor 4 240mm XLPE"/>
      <sheetName val="Cable Armor 4 70mm XLPE"/>
      <sheetName val="Cable Armor 5 120mm XLPE"/>
      <sheetName val="Cable Armor 5 16 XLPE"/>
      <sheetName val="Cable Armor 5 2.5mm Xlpe"/>
      <sheetName val="Cable Black Stranded 1 120mm Ri"/>
      <sheetName val="Cable Copper Clamp 2screw"/>
      <sheetName val="Cable Depth Tester"/>
      <sheetName val="Cable joint 1 150mm model 3m"/>
      <sheetName val="Cable joint 4 50mm model 3m"/>
      <sheetName val="Cable Lug Crimping 4-16mm "/>
      <sheetName val="Cable Tie Steel 30cm"/>
      <sheetName val="Cable Tie Steel 35cm (Flange)"/>
      <sheetName val="Cable Tie Steel 6&quot; (Flange)"/>
      <sheetName val="Call Point LF-MCP-6203"/>
      <sheetName val="Candle LED 4Feet BG 2 20w"/>
      <sheetName val="Cassette Cable Socket BG 25mt"/>
      <sheetName val="Chargable Time Switch 24Hours H"/>
      <sheetName val="Check Device Switch Plug Gazell"/>
      <sheetName val="Circuit Breaker  1P 25A 30° Sch"/>
      <sheetName val="Circuit Breaker  1P 25A 50° Sch"/>
      <sheetName val="Circuit Breaker  2P 25A  30° sc"/>
      <sheetName val="Circuit Breaker  2P 32A  30° sc"/>
      <sheetName val="Circuit Breaker  2P 32A  50° sc"/>
      <sheetName val="Circuit Breaker  3P 20A  30° sc"/>
      <sheetName val="Circuit Breaker  3P 25A  30° sc"/>
      <sheetName val="Circuit Breaker  4P 63A  30° sc"/>
      <sheetName val="Circuit Breaker  4P 63A  50° sc"/>
      <sheetName val="Circuit Breaker 1P 10A  50° Sch"/>
      <sheetName val="Circuit Breaker 1P 10A 30° Schn"/>
      <sheetName val="Circuit Breaker 1P 16A 30° Schn"/>
      <sheetName val="Circuit Breaker 1P 16A 50° Schn"/>
      <sheetName val="Circuit Breaker 1P 20A  30° Sch"/>
      <sheetName val="Circuit Breaker 1P 20A  50° Sch"/>
      <sheetName val="Circuit Breaker 1P 32A 30° Schn"/>
      <sheetName val="Circuit Breaker 1P 32A 50° Schn"/>
      <sheetName val="Circuit Breaker 1P 40A 30° Schn"/>
      <sheetName val="Circuit Breaker 1P 40A 50° Schn"/>
      <sheetName val="Circuit Breaker 1P 63A  30° sc"/>
      <sheetName val="Circuit Breaker 1P 6A 30° Schne"/>
      <sheetName val="Circuit Breaker 2P 10A 50° schn"/>
      <sheetName val="Circuit Breaker 2P 16A 50° schn"/>
      <sheetName val="Circuit Breaker 2P 20A 50° Schn"/>
      <sheetName val="Circuit Breaker 2P 20A 30° Schn"/>
      <sheetName val="Circuit Breaker 2P 25A 50° Schn"/>
      <sheetName val="Circuit Breaker 2P 40A 30° Schn"/>
      <sheetName val="Circuit Breaker 3P 100A °50 Shn"/>
      <sheetName val="Circuit Breaker 3P 16A 30° schn"/>
      <sheetName val="Circuit Breaker 3P 16A 50° Schn"/>
      <sheetName val="Circuit Breaker 3P 20A 50° Schn"/>
      <sheetName val="Circuit Breaker 3P 25A 50° Schn"/>
      <sheetName val="Circuit Breaker 3P 32A 50° Schn"/>
      <sheetName val="Circuit Breaker 3P 32A 30° Schn"/>
      <sheetName val="Circuit Breaker 3P 40A 30° Schn"/>
      <sheetName val="Circuit Breaker 3P 40A 50° Schn"/>
      <sheetName val="Circuit Breaker 3P 63A 50° Schn"/>
      <sheetName val="Circuit Breaker 4P 25A 50° Schn"/>
      <sheetName val="Circuit Breaker 4P 32A 50° Schn"/>
      <sheetName val="Circuit Breaker 4P 40A 30° Schn"/>
      <sheetName val="Circuit Breaker 4P 40A 50° Schn"/>
      <sheetName val="Circuit Breaker 4P 125A 50° ISO"/>
      <sheetName val="Circuit Breaker 4P 63A 50° Schn"/>
      <sheetName val="Circuit Breaker Cover White pla"/>
      <sheetName val="Circuit Breaker Shnider  4P 100"/>
      <sheetName val="Circuit Breaker Shnider 4P 50A "/>
      <sheetName val="Circuit Bus-Bar 1P 63A"/>
      <sheetName val="Circuit Holder 1m"/>
      <sheetName val="Circular Light LED 20W Horoz 42"/>
      <sheetName val=" Circular Light  30W "/>
      <sheetName val="Circular Light LED 18W NZ"/>
      <sheetName val="Circular Light LED 6W NZ"/>
      <sheetName val="Circular Spout Light LED 15W Pl"/>
      <sheetName val="Clamp Ground Rod 16mm  "/>
      <sheetName val="Clamp Meter"/>
      <sheetName val="Clamp Rod Ground 20mm"/>
      <sheetName val="Clamp Rod Ground U 2&quot;(2 Screow)"/>
      <sheetName val="Clamp Wire 1.5 2mm  "/>
      <sheetName val="Clamp Wire 2.5 3mm  "/>
      <sheetName val="Clamp Wire Plastic 8mm"/>
      <sheetName val="Conduit Spring 20mm"/>
      <sheetName val="Conduit Spring 25mm_x0009_"/>
      <sheetName val="Conduit Spring 32mm"/>
      <sheetName val="Connector Couple WAGO 221-2412"/>
      <sheetName val="Contactor Shineider 3P "/>
      <sheetName val="Contactor Shineider 3P 32A LC1D"/>
      <sheetName val="Contactor Shineider 3P 40A LC1D"/>
      <sheetName val="Convertor 400W"/>
      <sheetName val="Electronic Balast 2 36watt"/>
      <sheetName val="Copper Aluminum Clamp 2Screw"/>
      <sheetName val="Copper Bus Bar 10mm 10 20cm"/>
      <sheetName val="Copper Bus Bar 10mm 5 40cm"/>
      <sheetName val="Copper Bus Bar 3mm 25mm "/>
      <sheetName val="Copper Bus Bar 5cm 3cm"/>
      <sheetName val="Copper Cable 2Line Clamp "/>
      <sheetName val="Coupling Iron Trunking Cable "/>
      <sheetName val="Coupling Pipe Ele Pla 32mm "/>
      <sheetName val="Coupling Pipe plastic 50mm"/>
      <sheetName val="Coupling Pipe Electric Iron "/>
      <sheetName val="Coupling Pipe Electric Iron 25m"/>
      <sheetName val="Coupling Pipe Electric Iron 32m"/>
      <sheetName val="Coupling Pipe Electric Plas 25 "/>
      <sheetName val="Coupling Pipe Electric Plastic "/>
      <sheetName val="Coupling Trunking Plastic 5 10c"/>
      <sheetName val="Cover Cable Trunking 40cm"/>
      <sheetName val="Cover Iron EB Waterproof 18line"/>
      <sheetName val="Cover Trunking Cable 10cm Iron "/>
      <sheetName val="Cover Trunking Cable 5cm Iron 2"/>
      <sheetName val="cover Trunking Cable 60cm Iron "/>
      <sheetName val="Cover Trunking Cable20cm Iron 2"/>
      <sheetName val="Cover Trunking Cable30cm Iron 2"/>
      <sheetName val="Crimping Pliers 0.2-6mm Butless"/>
      <sheetName val="Current Transformer DSC-30 60A"/>
      <sheetName val="Current Transformer meter"/>
      <sheetName val="Current Transformer MSQ-40 250A"/>
      <sheetName val="Elbow Iron Trunking Cable 10cm_x0009_"/>
      <sheetName val="Elbow Iron Trunking Cable 20cm_x0009_"/>
      <sheetName val="Elbow Iron Trunking Cable 40cm "/>
      <sheetName val="Elbow Pipe Iron 90° Electrical "/>
      <sheetName val="Elbow Pipe Plastic 20mm"/>
      <sheetName val="Elbow Pipe Plastic 32mm"/>
      <sheetName val="Elbow Pipe Plastic 50mm"/>
      <sheetName val="Elbow Trunking Cable 30cm Iron_x0009_"/>
      <sheetName val="Elbow Trunking Cable 60cm Iron "/>
      <sheetName val="Elbow Trunking Cable 5   10 cm "/>
      <sheetName val="Electric Board 12 Line Plastic "/>
      <sheetName val="Electric Board 12L Schneider SE"/>
      <sheetName val="Electric Board 18L Schneider EZ"/>
      <sheetName val="Electric board 24Line Plastic S"/>
      <sheetName val="Electric Board 36L Tempa"/>
      <sheetName val="Electric Board 42L Schneider A9"/>
      <sheetName val="Electric Board 48L Schneider "/>
      <sheetName val="Electric board 8 Line scame  "/>
      <sheetName val="Electric board 2 Line Plastic  "/>
      <sheetName val="Electric Insect killer Ignite_x0009_"/>
      <sheetName val="Electrical Board 16line Plastic"/>
      <sheetName val="Electrical board 36 line Iron_x0009_"/>
      <sheetName val="Electrical Board Double Door 18"/>
      <sheetName val="Electrical Board Double Door 40"/>
      <sheetName val="Electrical Pump For Air Cooler "/>
      <sheetName val="Electrical Tape_x0009_"/>
      <sheetName val="Emergency Bush XB4-BS545"/>
      <sheetName val="Emergency test switch "/>
      <sheetName val="Selector switch 2 positions XB4"/>
      <sheetName val="Empty Box Plastic 17 40 30cm"/>
      <sheetName val="Empty Box Plastic 60 40 20cm"/>
      <sheetName val="Euvopean Plug Tester Fluke SM10"/>
      <sheetName val="Exit Sign Finder "/>
      <sheetName val="External  Siren"/>
      <sheetName val="External Angle Trunking Cable 5"/>
      <sheetName val="Extreme Cat6 Connector With Cov"/>
      <sheetName val="Fan Refreger Vmark Flow 172 150"/>
      <sheetName val="Fan Refrigerator 27cm Elco With"/>
      <sheetName val="Female Plug Socket Triple Outle"/>
      <sheetName val="Female Socket  3P A32"/>
      <sheetName val="Female Socket  5p-63A"/>
      <sheetName val="Female Socket 3p-63A GEWISS_x0009_"/>
      <sheetName val="Female Socket 4P-63A GW630052H"/>
      <sheetName val="Female Socket 5P-32A EC Electtr"/>
      <sheetName val="Final Cover Trunking Cable 5  "/>
      <sheetName val="Fire Alarm Cable Erse 1 2 1.5+0"/>
      <sheetName val="Fire Alarm Cable Norden 2 1.5mm"/>
      <sheetName val="Standard fire alarm cable 2 cor"/>
      <sheetName val="Fire Alarm Cable Seckin 500mt"/>
      <sheetName val="Fire Alarm Heat Derector LF-HD-"/>
      <sheetName val="Fire Board Lichfield "/>
      <sheetName val="Flex Gland Hose Armor 3 4_x0009__x0009_"/>
      <sheetName val="Fling Lgnitor "/>
      <sheetName val="Fluorescent Lamp White Philips "/>
      <sheetName val="Fluke 1663"/>
      <sheetName val="Fork Type Terminal 2-4mm"/>
      <sheetName val="Fork Type Terminal 2.5mm"/>
      <sheetName val="Fork Type Terminal CK4002 M4 4m"/>
      <sheetName val="Gland Cable Armor 20mm Recsan"/>
      <sheetName val="Gland Cable Armor 25mm "/>
      <sheetName val="Gland cable Armor 32mm_x0009_"/>
      <sheetName val="Gland Cable Armor 40mm "/>
      <sheetName val="Gland Cable Armor 50mm"/>
      <sheetName val="Gland Cable Armor 63mm"/>
      <sheetName val="Gland cable Armor 75mm_x0009_"/>
      <sheetName val="Gland Cable Plactic 11mm"/>
      <sheetName val="Gland cable Plactic 13.5mm"/>
      <sheetName val="Gland Cable Plactic 16mm"/>
      <sheetName val="Gland Cable Plactic 21mm"/>
      <sheetName val="Gland Cable Plactic 29mm"/>
      <sheetName val="Gland cable Plactic 36mm"/>
      <sheetName val="Gland cable Plactic42mm"/>
      <sheetName val="Gland cable Plactic 48mm"/>
      <sheetName val="Gland Cable Plastic 19mm"/>
      <sheetName val="Gland Cable Plastic 25mm"/>
      <sheetName val="Gland cable Plastic 9mm_x0009_"/>
      <sheetName val="Gland cable Plastic 63mm"/>
      <sheetName val="Gland cable Steel 16mm"/>
      <sheetName val="Gland Cable Steel 19mm"/>
      <sheetName val="Gland Cable Steel 21mm"/>
      <sheetName val="Gland Cable Steel 25mm"/>
      <sheetName val="Gland Cable Steel 29mm"/>
      <sheetName val="Gland Cable Steel 32mm"/>
      <sheetName val="Gland Cable Steel 36mm"/>
      <sheetName val="Gland Cable Steel 42mm"/>
      <sheetName val="Gland cable Steel 48mm"/>
      <sheetName val="Gland Cable Steel 63mm"/>
      <sheetName val="Gland Pipe Iron Electrical 1 2 "/>
      <sheetName val="Gland Pipe Iron Electrical 3 4 "/>
      <sheetName val="Gray Wire 4mm"/>
      <sheetName val="Green Bus-bar Ground"/>
      <sheetName val="Ground Cable  150mm"/>
      <sheetName val="Ground Cable 1 70mm "/>
      <sheetName val="Ground Cable 120mm Hisar Kablo"/>
      <sheetName val="Ground Cable 25mm "/>
      <sheetName val="Ground Cable 50mm"/>
      <sheetName val="Ground Cable 95mm "/>
      <sheetName val="Ground Cable Stranded 1 25mm HE"/>
      <sheetName val="Grounding Material TDM 10k"/>
      <sheetName val="Ground Rod 12mm  3m"/>
      <sheetName val="Ground Rod 16mm  3m"/>
      <sheetName val="Ground Rod 20mm  3m"/>
      <sheetName val="Ground Switch Plug Jocker Leven"/>
      <sheetName val="Ground Wire 1.5mm"/>
      <sheetName val="Ground Wire 16mm "/>
      <sheetName val="Ground Wire 10mm Hisar"/>
      <sheetName val="Ground Wire 2.5mm"/>
      <sheetName val="Ground Wire 35mm"/>
      <sheetName val="Ground Wire 4mm"/>
      <sheetName val="Ground Wire 6mm"/>
      <sheetName val="Hand Turn On Grinder "/>
      <sheetName val="Handle Trunking Cable 30cm Roof"/>
      <sheetName val="Handle Trunking Cable 30cm Wall"/>
      <sheetName val="Handle Trunking Cable 40cm Iron"/>
      <sheetName val="Head Light 14led PRC"/>
      <sheetName val="Head Plug Triple 13A"/>
      <sheetName val="Heater Boilar  200v-2000-3000W"/>
      <sheetName val="Heater Boilar (Brad Ford) 200v-"/>
      <sheetName val="Heater Boilar 15kw"/>
      <sheetName val="Heater Containor 1mt"/>
      <sheetName val="Heater Devarost 3TR For Frezeer"/>
      <sheetName val="Heater Element 230V 1550W Joint"/>
      <sheetName val="Heater Rod Inside 80cm"/>
      <sheetName val="Hose Flex Armor 20mm Black"/>
      <sheetName val="Ignitor 70-400w"/>
      <sheetName val="Indoor Fire Alarm LF-AV-6126"/>
      <sheetName val="Industrial Connector GW62015H"/>
      <sheetName val="Industrial Plug Inlet Wall-Muon"/>
      <sheetName val="Indutrial Male Plug Outlets"/>
      <sheetName val="Inside And Out Side Bend 10cm T"/>
      <sheetName val="Inside And Out Side Bend 20cm T"/>
      <sheetName val="Insulator Lighting Arrestor "/>
      <sheetName val="Internal Electrical Board 36 li"/>
      <sheetName val="Internal trangle Trunking Cable"/>
      <sheetName val="Iron Base Board 25cm 24l"/>
      <sheetName val="Iron Base Board 42.5 13 15cm "/>
      <sheetName val="Iron Base Board 61 31 141cm "/>
      <sheetName val="Iron Board Waterproof 30 60 80c"/>
      <sheetName val="Iron Board Waterproof 60 40 for"/>
      <sheetName val="Iron Box Double Switch plug"/>
      <sheetName val="Iron Box Single Switch plug 3.5"/>
      <sheetName val="Iron Box tripple Switch plug "/>
      <sheetName val="Iron C Profile  3mt 41 41mm "/>
      <sheetName val="Iron Cable Trunking 40cm"/>
      <sheetName val="Iron Clamp pipe 20mm"/>
      <sheetName val="Iron Clamp pipe 25mm"/>
      <sheetName val="Iron Electric Board 42line Temp"/>
      <sheetName val="Iron Electric board Water Proof"/>
      <sheetName val="Iron Electric Board Waterproof "/>
      <sheetName val="Iron Electric board WaterProof7"/>
      <sheetName val="Trunking Cable Iron 5cm"/>
      <sheetName val="Iron Electrical Board 48line  T"/>
      <sheetName val="Iron Ground Switch Plug  Levent"/>
      <sheetName val="Iron Pipe Electrical 1 2 EMT 20"/>
      <sheetName val="Iron Pipe Electrical 3 4 EMT "/>
      <sheetName val="Iron Reducer Trunking Cable 20 "/>
      <sheetName val="Iron Reducer Trunking Cable 30 "/>
      <sheetName val="Joint Box Iron Single_x0009_"/>
      <sheetName val="Joint Iron Trunking Cable _x0009_"/>
      <sheetName val="Joint Trunking Cable 5   10 cm "/>
      <sheetName val="junction Box 11 11cm White Mutl"/>
      <sheetName val="Junction double  25mm"/>
      <sheetName val="Junction Quadruple  25mm"/>
      <sheetName val="Junction Single  25mm"/>
      <sheetName val="Junction tripple  25mm"/>
      <sheetName val="LDNIO SC3604 10A Power Strip 3 "/>
      <sheetName val="LED levant 2835 240 M ( 6M) 24V"/>
      <sheetName val="Voltage Regulator R250"/>
      <sheetName val="projector 400W _x0009_"/>
      <sheetName val="projector 50W"/>
      <sheetName val="Light Circular 15W "/>
      <sheetName val="Light Circular 20W "/>
      <sheetName val="Light Circular 22W BG"/>
      <sheetName val="Light Circular 24W Rozh"/>
      <sheetName val="Light Classic Wood Suspension W"/>
      <sheetName val="Light Led 5W Lamp"/>
      <sheetName val="Light LED Oval 15W Spark"/>
      <sheetName val="Light Oval 15W Fomsi_x0009__x0009_"/>
      <sheetName val="Light Oval 20W "/>
      <sheetName val="Light Oval 24W MC Electric"/>
      <sheetName val="Light Oval 24W Rozh"/>
      <sheetName val="Light Read Library LED 9W"/>
      <sheetName val="Light Read Library LED D26"/>
      <sheetName val="Light Recharge BG Emergency"/>
      <sheetName val="Light Roof 150W plesan"/>
      <sheetName val="Light Roof 150W Plesan Another "/>
      <sheetName val="light solar recharging"/>
      <sheetName val="Lighting Arrestor Schnider "/>
      <sheetName val="Load Bank 100KW "/>
      <sheetName val="Male Bush plastic 20mm_x0009_"/>
      <sheetName val="Male Bush plastic 25mm_x0009_"/>
      <sheetName val="Male Outlet Extension Triple Fo"/>
      <sheetName val="Male Socket  3P A32"/>
      <sheetName val="Male Socket  5P-63A"/>
      <sheetName val="Male Socket 4P-63A GW661452"/>
      <sheetName val="Male Socket 5P-32A EC Electtro "/>
      <sheetName val="Male+Female Plug Socket Single "/>
      <sheetName val="Material Earth Link Screw"/>
      <sheetName val="MCCB 3P 125A Schneider "/>
      <sheetName val="MCCB 3P 160A schneider "/>
      <sheetName val="MCCB 3P 250A schneider _x0009__x0009__x0009__x0009_"/>
      <sheetName val="MCCB 3P 32A schneider "/>
      <sheetName val="MCCB 3P 40A schneider "/>
      <sheetName val="MCCB 3P 63A schneider "/>
      <sheetName val="MCCB 3P 80A Schneider "/>
      <sheetName val="MCCB 4P 100A Schneider"/>
      <sheetName val="MCCB 4P 125A Schneider"/>
      <sheetName val="MCCB 4P 160A Schneider"/>
      <sheetName val="MCCB 3P 630A Schneider"/>
      <sheetName val="MCCB 4P 250A Schneider"/>
      <sheetName val="MCCB 4P 32A schneider "/>
      <sheetName val="MCCB 4P 80A Schneider "/>
      <sheetName val="MCCB Schneider  3P 100A "/>
      <sheetName val="Metal Lamp  400W"/>
      <sheetName val="MG-9100 Smoke Detector With MG-"/>
      <sheetName val="ML-1170.Maxlogic beam type smok"/>
      <sheetName val="Sheet1"/>
      <sheetName val="ML-1232.N Fire Panel-2 Loop"/>
      <sheetName val="ML-1390.Maxlogic addressable sy"/>
      <sheetName val="ML-1410.SCI Sounder With Short "/>
      <sheetName val="ML-1420.SCI Beacon With Short C"/>
      <sheetName val="ML-1460.SCI System Sounder &amp;Bea"/>
      <sheetName val="ML-1490.Maxlogic Addressable so"/>
      <sheetName val="ML-1710 Manual Call Point"/>
      <sheetName val="Neon LED 4Foot BG"/>
      <sheetName val="Neon LED 4Foot Losco"/>
      <sheetName val="Neon Light Fixture 4foot Liper"/>
      <sheetName val="Neutral Bus Bar 30cm "/>
      <sheetName val="Normal Exit Light  "/>
      <sheetName val="Nut Iron Trunking Cable _x0009_"/>
      <sheetName val="Nylon Bag Flange 45cm"/>
      <sheetName val="Panel Fan Boread Dossy 12 12 22"/>
      <sheetName val="Photocell  10A  Vito_x0009_"/>
      <sheetName val="Photocell 15482 Schneider"/>
      <sheetName val="Pipe Gland 20mm Plastic_x0009__x0009_"/>
      <sheetName val="Pipe Gland 25mm Plastic"/>
      <sheetName val="Pipe Gland 32mm Plastic"/>
      <sheetName val="Pipe Gland 50mm Plastic"/>
      <sheetName val="Plactic Electric board 9 Line "/>
      <sheetName val="Plactic Electric board portable"/>
      <sheetName val="Plastic Box Single Switch plug"/>
      <sheetName val="Plastic Box Double Switch plug"/>
      <sheetName val="Plastic Cravty Lover 100mm"/>
      <sheetName val="Plug Socket Double To Tripple "/>
      <sheetName val="Plastic Junction Couple  20mm"/>
      <sheetName val="Plastic Junction Triple  20mm"/>
      <sheetName val="Plastic Manhole Earthing 25 25c"/>
      <sheetName val="Plastic Pipe Clamp  1 Screw 20m"/>
      <sheetName val="Plastic Pipe Clamp  1 Screw 25m"/>
      <sheetName val="Plastic Pipe Clamp  2 Screw 20m"/>
      <sheetName val="Plastic Pipe Clamp  2 Screw 25m"/>
      <sheetName val="Plastic Pipe Clamp  2 Screw 32m"/>
      <sheetName val="Plastic Pipe Electrical 20mm 3m"/>
      <sheetName val="Plastic Pipe Electrical 25mm Ge"/>
      <sheetName val="Plastic Pipe Electrical 32mm Ge"/>
      <sheetName val="Plastic Pipe Electrical 50mm Ge"/>
      <sheetName val="Pliers Weldin Mould L160 - HCPK"/>
      <sheetName val="Plug Couple Turn On BG"/>
      <sheetName val="Projector 100W "/>
      <sheetName val="Projector 200W Levent "/>
      <sheetName val="Projector 20W Levant"/>
      <sheetName val="Projector Solar Energy 150w"/>
      <sheetName val="Push Button Boxes 1ine EX"/>
      <sheetName val="Rain Iron Electric Board 108Lin"/>
      <sheetName val="RCBO  1P 20A 50° Schneider"/>
      <sheetName val="RCBO  4P 63A 50° Schnider"/>
      <sheetName val="RCBO 1P 10A 30° Schneider"/>
      <sheetName val="RCBO 1P 10A 50° Schneider"/>
      <sheetName val="RCBO 1P 16A  50° Schneider"/>
      <sheetName val="RCBO 1P 6A  50° Schneider"/>
      <sheetName val="RCBO 1P 25A 50° Schneider"/>
      <sheetName val="RCBO 1P 32A 50° Schneider"/>
      <sheetName val="RCBO 2P 25A 50 Schnieder"/>
      <sheetName val="RCBO 2P 40A Schneider"/>
      <sheetName val="RCBO 4P 100A °50 Shneider"/>
      <sheetName val="RCBO 4P 32A 50° Schneider"/>
      <sheetName val="RCBO 4P 40A 30° Schneider "/>
      <sheetName val="RCBO 4P 40A 50° Schneider "/>
      <sheetName val="Emergency Light Levant"/>
      <sheetName val="Red Button Switch BG 45A"/>
      <sheetName val="Red Isolated Bus-Bar SM.40 "/>
      <sheetName val="Red Wire 1.5mm "/>
      <sheetName val="Red Wire 2.5mm"/>
      <sheetName val="Red Wire 4mm "/>
      <sheetName val="Junction Box 10 15 Plastic Gray"/>
      <sheetName val="Junction Box 11 18 Plastic Gray"/>
      <sheetName val="Junction Box 7.5 7.5cm Gray "/>
      <sheetName val="Junction Box 8 8cm Gray "/>
      <sheetName val="Relay Finder 230V"/>
      <sheetName val="Relay Output LF-RM-6106"/>
      <sheetName val="Richarge Battry 6v"/>
      <sheetName val="Rod Gap Arrester"/>
      <sheetName val="Roof Projector 200W Levent "/>
      <sheetName val="Rubber Washer 20mm For Gland Ca"/>
      <sheetName val="Satellite cable"/>
      <sheetName val="Clamp 20mm ( U ) 2cable"/>
      <sheetName val="Copper Clamp ( U )  70mm"/>
      <sheetName val="shapes Butless "/>
      <sheetName val="Shrenk Cable MT"/>
      <sheetName val="Single Switch Plug Normal "/>
      <sheetName val="Single Light Switch Iron "/>
      <sheetName val="Small Brush For Weldin Mould"/>
      <sheetName val="Smoke Detector Numens 203 Ac Dc"/>
      <sheetName val="Smoke Detector LF-PE-6201"/>
      <sheetName val="Smoke Detector Turki_x0009_"/>
      <sheetName val="Socket Internet For Box Ground "/>
      <sheetName val="Split Quadru TR-c Iron 10cm"/>
      <sheetName val="Split Quadruple Trunking-30cm "/>
      <sheetName val="Split Quadruple Trunking-Cable "/>
      <sheetName val="Split T Trunking Cable 5   10 c"/>
      <sheetName val="Split T Trunking-Cable Iron 10c"/>
      <sheetName val="Split T Trunking-Cable Iron 30c"/>
      <sheetName val="Split T Trunking-Cable Iron 50c"/>
      <sheetName val="Split T Trunking-Cable Iron20cm"/>
      <sheetName val="Spot Light 12W konur"/>
      <sheetName val="Spout Light 15W LED Venus "/>
      <sheetName val="Spout Light 16W LED  9cm"/>
      <sheetName val="Spout Light 18W LED Adham "/>
      <sheetName val="Spout Light 24W Levent"/>
      <sheetName val="Spout Light 9W Horoz"/>
      <sheetName val="Spring Wire Pull 20m_x0009_"/>
      <sheetName val="Spring Wire Pull 25mt_x0009_"/>
      <sheetName val="Spring Wire Pull 50mt"/>
      <sheetName val="Spring Wire Pull 10mm"/>
      <sheetName val="Square Glue Nylon Bag Flange Bo"/>
      <sheetName val="Stranded Cable Black 1 50mm "/>
      <sheetName val="Switch 0 1  3P 25A"/>
      <sheetName val="Switch 0 1 4P 100A ABB"/>
      <sheetName val="Switch 0 1 Scame 2P 20A_x0009_"/>
      <sheetName val="Switch 0 1 scame 2P 32A_x0009_"/>
      <sheetName val="Switch 0 1 Scame 3P 20A_x0009_"/>
      <sheetName val="Switch 0 1 Scame 4P 20A"/>
      <sheetName val="Switch 0 1 scame 4P 32A"/>
      <sheetName val="Switch 0 1 scame 4P 40A"/>
      <sheetName val="Switch 0 1 scame 4P 63A_x0009_"/>
      <sheetName val="Switch Plug Bouble+metal Box 13"/>
      <sheetName val="Switch Plug Jocker Normal Doubl"/>
      <sheetName val="Switch Plug Normal Double BG Ne"/>
      <sheetName val="Switch plug Jocker Single (BG)"/>
      <sheetName val="Light Switch Single BG"/>
      <sheetName val="Light Switch Tripple BG"/>
      <sheetName val="Switch 0 1 2 STAR DELTA 25A 4P"/>
      <sheetName val="Switch With Key Mutlsan"/>
      <sheetName val="Split T Iron Trunking Cable 40c"/>
      <sheetName val="Tape Copper Clamp "/>
      <sheetName val="Tape Measure laser Bosch"/>
      <sheetName val="Terminal  Crimping Tools WX-16"/>
      <sheetName val="Terminal 10mm_x0009_"/>
      <sheetName val="Terminal 120mm "/>
      <sheetName val="Terminal 150mm "/>
      <sheetName val="Terminal 16mm"/>
      <sheetName val="Sheet2"/>
      <sheetName val="Terminal 240mm"/>
      <sheetName val="Terminal 25mm"/>
      <sheetName val="Terminal 300mm"/>
      <sheetName val="Terminal 35mm"/>
      <sheetName val="Terminal 50mm"/>
      <sheetName val="Terminal 6mm"/>
      <sheetName val="Terminal 70mm_x0009_"/>
      <sheetName val="Terminal 95mm_x0009_"/>
      <sheetName val="Terminal Block 10mm"/>
      <sheetName val="Thermostat 30-120C"/>
      <sheetName val="Thermostat Dixell"/>
      <sheetName val="Solenoid Coil EVR Donfoss"/>
      <sheetName val="Black Internal Fan For Frezeer "/>
      <sheetName val="Timer Volume Emas"/>
      <sheetName val="Touch Free Exit Sensor ZKTECO"/>
      <sheetName val="Satellite Socket (switch plug) "/>
      <sheetName val="Trunking Cable 10 10cm Plastic"/>
      <sheetName val="Trunking Cable 10cm Iron 2.5m"/>
      <sheetName val="Trunking Cable 2 2cm Plastic"/>
      <sheetName val="Trunking Cable 2.5 2.5cm Plasti"/>
      <sheetName val="Trunking Cable 1.6 1.6cm Plasti"/>
      <sheetName val="Trunking Cable 2 4cm Plastic"/>
      <sheetName val="Trunking Cable 20cm Iron 2.5m_x0009__x0009_"/>
      <sheetName val="Trunking Cable 30cm Iron 2.5m"/>
      <sheetName val="Trunking Cable 4 4cm Plastic_x0009__x0009_"/>
      <sheetName val="Trunking Cable 10cm 2mm Iron 2."/>
      <sheetName val="Trunking Cable 5 10cm Plastic"/>
      <sheetName val="Trunking Cable 6 6cm Plastic"/>
      <sheetName val="Trunking Cable 6 8cm Plastic"/>
      <sheetName val="Trunking Cable 60cm Iron 2.5m"/>
      <sheetName val="Trunking Cable Gray 7cm Plastic"/>
      <sheetName val="U Support 5cm 2mt Trunking Cabl"/>
      <sheetName val="UTP6M-MSD Cat6 CM 23AWG 4P 305m"/>
      <sheetName val="Ventilation Flexible Duct"/>
      <sheetName val="Ventilation TT 150mm "/>
      <sheetName val="Ventilator 10&quot; BG "/>
      <sheetName val="Ventilator 12&quot;BG_x0009_"/>
      <sheetName val="Ventilator 6&quot; Circular  BG"/>
      <sheetName val="Ventilator 4&quot; shami"/>
      <sheetName val="Ventilator 4&quot; _x0009_"/>
      <sheetName val=" Ventilator 8&quot; Sinar _x0009_"/>
      <sheetName val="Ventilator Type LHV 225 (Espan"/>
      <sheetName val="Ventilator Type Saso 4&quot; b10"/>
      <sheetName val="Ventilator Type tt100  (ukrani"/>
      <sheetName val="Ventilator 8&quot; Type Boskan"/>
      <sheetName val="Ventilator Industrial 28cm Dama"/>
      <sheetName val="Ventilator Industrial 38 38cm"/>
      <sheetName val="Ventilator Industrial 49 49cm "/>
      <sheetName val="Ventilator Industrial 60cm JT F"/>
      <sheetName val="Ventilator Industrial 85 85cm "/>
      <sheetName val="Ventilator Plastic Cravty Lover"/>
      <sheetName val="Ventilator Plastic Disk Diffuse"/>
      <sheetName val="Ventilator Type ES 8&quot;"/>
      <sheetName val="Ventilator Type LHV 160 (Espani"/>
      <sheetName val="Ventilator Type Mutlusan 6&quot;"/>
      <sheetName val="Ventilator Type Sinar 12&quot;"/>
      <sheetName val="Vernier Caliper 150mm"/>
      <sheetName val="Wall Bulb Lantern"/>
      <sheetName val="Wall Fan Ramco RF360"/>
      <sheetName val="Wall Handle Trunking Cable 10cm"/>
      <sheetName val="Wall Ventilator Industrial 40cm"/>
      <sheetName val="Brown Wire 1.5mm"/>
      <sheetName val="Brown Wire 2.5mm"/>
      <sheetName val="Brown Wire 4mm"/>
      <sheetName val="Brown Wire 10mm"/>
      <sheetName val="Brown Wire 6mm"/>
      <sheetName val="Waring Light Rotator "/>
      <sheetName val="Washer Iron Trunking Cable _x0009_"/>
      <sheetName val="Water Pump For Air Cooler HDTOR"/>
      <sheetName val="Waterproof Box Couple Plastic B"/>
      <sheetName val="Waterproof Box Single Plastic B"/>
      <sheetName val="Waterproof Electrical board 100"/>
      <sheetName val="Waterproof Electrical board 105"/>
      <sheetName val="Waterproof Electrical board 154"/>
      <sheetName val="Waterproof Electrical board 18l"/>
      <sheetName val="Waterproof Electrical board 24 "/>
      <sheetName val="Waterproof Electrical board 2Gl"/>
      <sheetName val="Waterproof Electrical board 4Do"/>
      <sheetName val="Waterproof Electrical Board 50 "/>
      <sheetName val="Waterproof Electrical board 60 "/>
      <sheetName val="Waterproof Electrical Board 65 "/>
      <sheetName val="Waterproof Electrical board Dou"/>
      <sheetName val="Waterproof Electrical Board MT"/>
      <sheetName val="Weldin Mould - Shape WM 65"/>
      <sheetName val="Weldin Mould T Shape WM 115"/>
      <sheetName val="Welding Powder 150gr "/>
      <sheetName val="White Lastic For Bus-bar Circui"/>
      <sheetName val="White Light 2.5   1mm "/>
      <sheetName val="White Nylon Bag Flange 20cm"/>
      <sheetName val="White Nylon Bag Flange 37cm"/>
      <sheetName val="White Nylon Bag Flange 75cm"/>
      <sheetName val="White Wire 5   1.5 mm "/>
      <sheetName val="White Wire 1.5 3mm"/>
      <sheetName val="White Wire 2 2.5mm "/>
      <sheetName val="White Wire 2.5 3mm "/>
      <sheetName val="White Wire 2.5 3mm Gulf "/>
      <sheetName val="White Wire 2.5 3mm HES"/>
      <sheetName val="White Wire 5 2.5mm  l.C KABL"/>
      <sheetName val="White Wire 3 4 Berly"/>
      <sheetName val="White Wire 3 4 Gulf "/>
      <sheetName val="White Wire 3 4 HES"/>
      <sheetName val="White Wire 3 6 Golf Jordun GC "/>
      <sheetName val="White Wire 3 6 HES"/>
      <sheetName val="White Wire 5 4mm "/>
      <sheetName val="White Wire 5   2.5mm "/>
      <sheetName val="White Wire 5   6mm "/>
      <sheetName val="White Wire 5 10mm "/>
      <sheetName val="White Wire Conncetor"/>
      <sheetName val="Wire 1.5 2mm  "/>
      <sheetName val="Wire Clips Female 4-6mm"/>
      <sheetName val="wire clips male 4-6mm"/>
      <sheetName val="Wire Copper Without 50mm"/>
      <sheetName val="Wire Copper Without 95mm"/>
      <sheetName val="Wire Copper Without Ins150mm "/>
      <sheetName val="Wire Copper Without Insulation "/>
      <sheetName val="Wire Nut Joint 2.5mm "/>
      <sheetName val="Wire Nut Joints 4mm(Yallow,Gree"/>
      <sheetName val="Yellow Annular Terminal "/>
      <sheetName val="yellow Wire 2.5mm "/>
      <sheetName val="Electric board 8 Line legrand"/>
      <sheetName val="Electric board Havells iron 24 "/>
      <sheetName val="Electric board N&amp;Z 12 Line"/>
      <sheetName val=" Spot Light 5W LED Vito"/>
      <sheetName val=" Spot Light 6W LED 3Colors"/>
      <sheetName val=" Spot Light Circular 20W Horoz "/>
      <sheetName val=" Spot Light Circular 30W "/>
      <sheetName val=" Spot Light Wall Horoz 56W HL82"/>
      <sheetName val="Ventilator 8&quot; Eason"/>
      <sheetName val=" Ventilator 8&quot; Series"/>
      <sheetName val="Board schneider Iron 18Line SEA"/>
      <sheetName val="Board schneider Iron 30Line "/>
      <sheetName val="Bracket Support Trunking Cable "/>
      <sheetName val="Clamp Cable Trunking 5cm"/>
      <sheetName val="voltage transformer Light LED 6"/>
      <sheetName val="Cover T  Iron Cable Trunking 20"/>
      <sheetName val="Cover Elbow Iron Cable Trunking"/>
      <sheetName val="Elbow Iron Trunking Cable 15cm "/>
      <sheetName val="Elbow Iron Trunking Cable 5cm"/>
      <sheetName val="Elbow Pipe 25mm"/>
      <sheetName val="Gland cable Steel 13.5mm"/>
      <sheetName val="Light Projector 1000W "/>
      <sheetName val="Light Projector 125W "/>
      <sheetName val="Light Roof ITOROS.HL. 832"/>
      <sheetName val="Light Roof ITOROS.HL. 833"/>
      <sheetName val="Normal Bulb 80W"/>
      <sheetName val="Circuit Breaker 1P 6A 50° Schne"/>
      <sheetName val="Electric board 6 Line plastic"/>
      <sheetName val="Electric board 30L iron Tempa"/>
      <sheetName val="Plastic Box triple Switch plug"/>
      <sheetName val="Ele board 12 Line Plas legrand "/>
      <sheetName val="Stick"/>
      <sheetName val="Ele Board 12line Plastic Mutols"/>
      <sheetName val="Ele Board Plastic 4 line EC"/>
      <sheetName val="Ele Board Plastic 8 line EC"/>
      <sheetName val="Ele Board Plastic 24 line EC"/>
      <sheetName val="Projector 400W Detay"/>
      <sheetName val="Switch plug Jocker Single  Legr"/>
      <sheetName val="Switch plug Jocker Double FYM"/>
      <sheetName val="Switch plug Jocker Double Adiso"/>
      <sheetName val="Switch Plug BG Satalite FTM"/>
      <sheetName val="Switch Plug BG Internet"/>
      <sheetName val="Internet Cable "/>
      <sheetName val="Switch levation Internet"/>
      <sheetName val="Rj 45 network with boot"/>
      <sheetName val="Thermal Detector"/>
      <sheetName val="Trunking Cable 4 8cm Plastic"/>
      <sheetName val="Junction Box 10 10cm iron Gray"/>
      <sheetName val="Junction Box 11 11cm iron Gray"/>
      <sheetName val="Junction Box 8 8cm Plastic Gray"/>
      <sheetName val="White Box Switch Plug Single Pl"/>
      <sheetName val="Wall Light HL 653"/>
      <sheetName val="Industrial Ventilator 20 20cm"/>
      <sheetName val="Trunking Cable 2.5 4cm Plastic"/>
      <sheetName val="Trunking Cable 1.2 1.2cm"/>
      <sheetName val="Thermostate F 1000"/>
      <sheetName val="Handle Iron Trunking Cable Wall"/>
      <sheetName val="Handle Iron Trunking Cable 50cm"/>
      <sheetName val="Handle Iron Trunking Cable 7cm"/>
      <sheetName val="Iron  Electric board 50 40 20"/>
      <sheetName val="Iron  Electric board 15 30 40"/>
      <sheetName val="Iron  Electric board 15 25 30"/>
      <sheetName val="Socket 3p 16a (male + female)"/>
      <sheetName val="Antina Internet "/>
      <sheetName val="Black Iron Double Box Swig"/>
      <sheetName val="Black iron box Lee Swig black g"/>
      <sheetName val="Elbow Iron Trunking Cable 60cm "/>
      <sheetName val="Self Regulating Heating Cable ,"/>
      <sheetName val="PETK-1 ATEX for cold applied, i"/>
      <sheetName val="TERMINATOR ZP-XP TERMINATOR ZP-"/>
      <sheetName val="FT-1L-33 Polyester mounting tap"/>
      <sheetName val="Circuit Breaker 2P 63A 30° Schn"/>
      <sheetName val="MCCB 4P 630A Schneider"/>
      <sheetName val="RCBO 2P 20A 50° Schneider"/>
      <sheetName val="Circuit Breaker 3P 80A 50° Schn"/>
      <sheetName val="Circuit Breaker 2P 16A 30° Schn"/>
      <sheetName val="Circuit Breaker 3P 63A 30° Schn"/>
      <sheetName val="RCBO 4P 63A 30° merlin Gerin"/>
      <sheetName val="RCBO 4P 25A Schneider"/>
      <sheetName val="Empty Box Plastic 13 20 30cm"/>
      <sheetName val="Light Read Library LED 150W"/>
      <sheetName val="Timer Th-189"/>
      <sheetName val="Empty Box Plastic 17 40 50cm"/>
      <sheetName val="Plastic Box  44 79 79cm"/>
      <sheetName val="Plastic Cover switch plug Box  "/>
      <sheetName val="Barbers switch plug "/>
      <sheetName val="Barbers switch plug box "/>
      <sheetName val="Ground Connector 10mm blue + gr"/>
      <sheetName val="Holder Test "/>
      <sheetName val="Terminal 185mm"/>
      <sheetName val="Junction Box 10 11 Plastic Gra"/>
      <sheetName val="Junction Box 12.5 12.5 iron"/>
      <sheetName val="Motion Digital Sensor 360deg "/>
      <sheetName val="Roof Ventilator ( not electrica"/>
      <sheetName val="Projector 300w"/>
      <sheetName val=" Spot Light Wall Horoz 7W + 23w"/>
      <sheetName val="Spot Light 32w Okang"/>
      <sheetName val="Light Rotator small"/>
      <sheetName val="Gland Pipe Iron Electrical 1&quot;"/>
      <sheetName val="Flex Gland Hose Armor 1&quot;"/>
      <sheetName val="Flex Gland Hose Armor 1.25&quot;"/>
      <sheetName val="Clamp Ground Rod 1 screw 16mm"/>
      <sheetName val="Blue Internet Cable "/>
      <sheetName val="Black Cable 7  1.5mm "/>
      <sheetName val="Ventilator Type LHV 190 (Es )"/>
      <sheetName val="light Read horoz hlg53"/>
      <sheetName val="Bulb Led Philips 120w"/>
      <sheetName val="Light Read Library vito horoz"/>
      <sheetName val="Light Read Library wall horoz "/>
      <sheetName val="Smoke Detector Vito"/>
      <sheetName val="Handle Iron Trunking Cable  20c"/>
      <sheetName val="Trunking Cable 4 6cm Plastic"/>
      <sheetName val="Cover Iron Cable Trunkin 50cm"/>
      <sheetName val="Iron Trunking Cable 50cm"/>
      <sheetName val="Cover Iron Trunking Cable 15cm"/>
      <sheetName val="Exit sign with projector"/>
      <sheetName val="Cover Trunking Cable 8 cm plast"/>
      <sheetName val="Gray Trunking Cable 4.5 10cm p"/>
      <sheetName val="Handle Iron Trunking Cable 5cm"/>
      <sheetName val="Iron Trunking Cable 15cm"/>
      <sheetName val="Waterproof Electrical board 70l"/>
      <sheetName val="Waterproof Electrical board 24l"/>
      <sheetName val="Electrical board 18l Schnider"/>
      <sheetName val="Light Oval 24W BG"/>
      <sheetName val="Junction box quadruple  20mm"/>
      <sheetName val="Junction box Double  20mm"/>
      <sheetName val="Iron Electric board 21 40 60"/>
      <sheetName val="Iron Electric board 20 40 50"/>
      <sheetName val="Hose Flex Normal 32 Electric"/>
      <sheetName val="Hose Flex Armor 25 Electric"/>
      <sheetName val="Switch Plug Normal Double B"/>
      <sheetName val="Switch Plug Normal Single BG Ne"/>
      <sheetName val="Plactic Electric board 9 Line s"/>
      <sheetName val="Hose Flex Normal 25 Electric"/>
      <sheetName val="Hose Flex Normal 20 Electric"/>
      <sheetName val="Cover T  Iron Cable Trunkin 5cm"/>
      <sheetName val="RCBO 1P 40A 50° Schneider"/>
      <sheetName val="Holder Test Fuse"/>
      <sheetName val="Panel Tape 2cm"/>
      <sheetName val="Plastic Cravty Lover lhv160"/>
      <sheetName val="Plastic Cravty Lover lhv225"/>
      <sheetName val="Junction box Cover"/>
      <sheetName val="Black Cable 7  1mm"/>
      <sheetName val="Smoke Detector single station e"/>
      <sheetName val="Roof Ventilator BPT 10-33-S"/>
      <sheetName val="Black Cable Armoured 3 6 "/>
      <sheetName val="Black Cable 4 16 Aromoured"/>
      <sheetName val="Electronic adapter "/>
      <sheetName val="Plastic Cover 4 8cm"/>
      <sheetName val="Circuit Breaker 4P 20A 50° Schn"/>
      <sheetName val="Cable joint 1 16mm model 3m wit"/>
      <sheetName val="RS PRO ip67 wall mount industri"/>
      <sheetName val="Cable Aluminium 2 16mm"/>
      <sheetName val="Connector Tripple WAGO 221-0413"/>
      <sheetName val="RCBO 2P 32A 50° Schneider"/>
      <sheetName val="Connector five WAGO 221-0415"/>
      <sheetName val="Zeta quatro loop card model qt-"/>
      <sheetName val="Smoke Detector LF-PE-6201 (3)"/>
      <sheetName val="Contactor Shineider  Coil 3P 63"/>
      <sheetName val="Black Gland Hose Plastic 18mm "/>
      <sheetName val="Black Gland Hose Plastic 23mm "/>
      <sheetName val="Black Gland Hose Plastic 27mm "/>
      <sheetName val="Black Hose Armor 16mm"/>
      <sheetName val="Circuit Breaker 1P 1A  ABB"/>
      <sheetName val="Normal Bulb 38W"/>
      <sheetName val="Heat Lamp Bulb"/>
      <sheetName val="Cover Split T Iron Cable Trunki"/>
      <sheetName val="Current Transformer 1600 5"/>
      <sheetName val="Switch plug Jocker single Adham"/>
      <sheetName val="Gang Switch Double Adham"/>
      <sheetName val="Gang Switch Double 2 way Adham"/>
      <sheetName val="Gang Switch Trouple 2 way Adham"/>
      <sheetName val="Gang Switch Trouple Adham"/>
      <sheetName val="Gang Switch Cover Single Adham"/>
      <sheetName val="Socket Switch Satellite Adham"/>
      <sheetName val="Light LED 10W , 12v"/>
      <sheetName val="Push Button NO"/>
      <sheetName val="Smoke Detector vito battery wit"/>
      <sheetName val="Base Candle LED 4Foot Pelsam"/>
      <sheetName val="Over current 5.5-8A Relay"/>
      <sheetName val="Automatic for controling water "/>
      <sheetName val="MCCB 3P 25A Schneider "/>
      <sheetName val="Base Candle LED 4Foot Dewalt"/>
      <sheetName val="Base LED Fixture 4Foot chine"/>
      <sheetName val="Neon  LED 4Foot "/>
      <sheetName val="Neon LED 2Foot "/>
      <sheetName val="Plastic Board 4 Line gewiss"/>
    </sheetNames>
    <sheetDataSet>
      <sheetData sheetId="0">
        <row r="4">
          <cell r="E4">
            <v>0</v>
          </cell>
          <cell r="F4">
            <v>19</v>
          </cell>
        </row>
        <row r="5">
          <cell r="E5">
            <v>325</v>
          </cell>
          <cell r="F5">
            <v>0</v>
          </cell>
        </row>
        <row r="6">
          <cell r="E6">
            <v>0</v>
          </cell>
          <cell r="F6">
            <v>2</v>
          </cell>
        </row>
        <row r="7">
          <cell r="E7">
            <v>7.25</v>
          </cell>
          <cell r="F7">
            <v>0</v>
          </cell>
        </row>
        <row r="8">
          <cell r="E8">
            <v>12.5</v>
          </cell>
          <cell r="F8">
            <v>0</v>
          </cell>
        </row>
        <row r="9">
          <cell r="E9">
            <v>30</v>
          </cell>
          <cell r="F9">
            <v>0</v>
          </cell>
        </row>
        <row r="10">
          <cell r="E10">
            <v>42</v>
          </cell>
          <cell r="F10">
            <v>0</v>
          </cell>
        </row>
        <row r="11">
          <cell r="E11">
            <v>40</v>
          </cell>
          <cell r="F11">
            <v>0</v>
          </cell>
        </row>
        <row r="12">
          <cell r="E12">
            <v>1.375</v>
          </cell>
          <cell r="F12">
            <v>0</v>
          </cell>
        </row>
        <row r="13">
          <cell r="E13">
            <v>1.5</v>
          </cell>
          <cell r="F13">
            <v>0</v>
          </cell>
        </row>
        <row r="14">
          <cell r="E14">
            <v>1</v>
          </cell>
          <cell r="F14">
            <v>6</v>
          </cell>
        </row>
        <row r="15">
          <cell r="E15">
            <v>1.25</v>
          </cell>
          <cell r="F15">
            <v>49</v>
          </cell>
        </row>
        <row r="16">
          <cell r="E16">
            <v>2.25</v>
          </cell>
          <cell r="F16">
            <v>44</v>
          </cell>
        </row>
        <row r="17">
          <cell r="E17">
            <v>1.75</v>
          </cell>
          <cell r="F17">
            <v>46</v>
          </cell>
        </row>
        <row r="18">
          <cell r="E18">
            <v>30</v>
          </cell>
          <cell r="F18">
            <v>17</v>
          </cell>
        </row>
        <row r="19">
          <cell r="E19">
            <v>2.25</v>
          </cell>
          <cell r="F19">
            <v>43</v>
          </cell>
        </row>
        <row r="20">
          <cell r="E20">
            <v>27</v>
          </cell>
          <cell r="F20">
            <v>0</v>
          </cell>
        </row>
        <row r="21">
          <cell r="E21">
            <v>22</v>
          </cell>
          <cell r="F21">
            <v>0</v>
          </cell>
        </row>
        <row r="22">
          <cell r="E22">
            <v>0.42</v>
          </cell>
          <cell r="F22">
            <v>0</v>
          </cell>
        </row>
        <row r="23">
          <cell r="E23">
            <v>6</v>
          </cell>
          <cell r="F23">
            <v>0</v>
          </cell>
        </row>
        <row r="24">
          <cell r="E24">
            <v>3.54</v>
          </cell>
          <cell r="F24">
            <v>0</v>
          </cell>
        </row>
        <row r="25">
          <cell r="E25">
            <v>35</v>
          </cell>
          <cell r="F25">
            <v>0</v>
          </cell>
        </row>
        <row r="26">
          <cell r="E26">
            <v>55</v>
          </cell>
          <cell r="F26">
            <v>0</v>
          </cell>
        </row>
        <row r="27">
          <cell r="E27">
            <v>15</v>
          </cell>
          <cell r="F27">
            <v>37.659999999999997</v>
          </cell>
        </row>
        <row r="28">
          <cell r="E28">
            <v>24</v>
          </cell>
          <cell r="F28">
            <v>0</v>
          </cell>
        </row>
        <row r="29">
          <cell r="E29">
            <v>2.4</v>
          </cell>
          <cell r="F29">
            <v>0</v>
          </cell>
        </row>
        <row r="30">
          <cell r="E30">
            <v>26</v>
          </cell>
          <cell r="F30">
            <v>0</v>
          </cell>
        </row>
        <row r="31">
          <cell r="E31">
            <v>5.75</v>
          </cell>
          <cell r="F31">
            <v>0</v>
          </cell>
        </row>
        <row r="32">
          <cell r="E32">
            <v>1.5</v>
          </cell>
          <cell r="F32">
            <v>0</v>
          </cell>
        </row>
        <row r="33">
          <cell r="E33">
            <v>0</v>
          </cell>
          <cell r="F33">
            <v>0</v>
          </cell>
        </row>
        <row r="34">
          <cell r="E34">
            <v>0</v>
          </cell>
          <cell r="F34">
            <v>0</v>
          </cell>
        </row>
        <row r="35">
          <cell r="E35">
            <v>17</v>
          </cell>
          <cell r="F35">
            <v>0</v>
          </cell>
        </row>
        <row r="36">
          <cell r="E36">
            <v>0.8</v>
          </cell>
          <cell r="F36">
            <v>0</v>
          </cell>
        </row>
        <row r="37">
          <cell r="E37">
            <v>1.2</v>
          </cell>
          <cell r="F37">
            <v>0</v>
          </cell>
        </row>
        <row r="38">
          <cell r="E38">
            <v>0.8</v>
          </cell>
          <cell r="F38">
            <v>0</v>
          </cell>
        </row>
        <row r="39">
          <cell r="E39">
            <v>1.25</v>
          </cell>
          <cell r="F39">
            <v>2712</v>
          </cell>
        </row>
        <row r="40">
          <cell r="E40">
            <v>1.5</v>
          </cell>
          <cell r="F40">
            <v>48</v>
          </cell>
        </row>
        <row r="41">
          <cell r="E41">
            <v>3.6</v>
          </cell>
          <cell r="F41">
            <v>0</v>
          </cell>
        </row>
        <row r="42">
          <cell r="E42">
            <v>1.6</v>
          </cell>
          <cell r="F42">
            <v>956</v>
          </cell>
        </row>
        <row r="43">
          <cell r="E43">
            <v>2.5</v>
          </cell>
          <cell r="F43">
            <v>0</v>
          </cell>
        </row>
        <row r="44">
          <cell r="E44">
            <v>39</v>
          </cell>
          <cell r="F44">
            <v>0</v>
          </cell>
        </row>
        <row r="45">
          <cell r="E45">
            <v>5</v>
          </cell>
          <cell r="F45">
            <v>0</v>
          </cell>
        </row>
        <row r="46">
          <cell r="E46">
            <v>0</v>
          </cell>
          <cell r="F46">
            <v>0</v>
          </cell>
        </row>
        <row r="47">
          <cell r="E47">
            <v>11.5</v>
          </cell>
          <cell r="F47">
            <v>0</v>
          </cell>
        </row>
        <row r="48">
          <cell r="E48">
            <v>0</v>
          </cell>
          <cell r="F48">
            <v>0</v>
          </cell>
        </row>
        <row r="49">
          <cell r="E49">
            <v>24</v>
          </cell>
          <cell r="F49">
            <v>0</v>
          </cell>
        </row>
        <row r="50">
          <cell r="E50">
            <v>3.75</v>
          </cell>
          <cell r="F50">
            <v>1037</v>
          </cell>
        </row>
        <row r="51">
          <cell r="E51">
            <v>33</v>
          </cell>
          <cell r="F51">
            <v>0</v>
          </cell>
        </row>
        <row r="52">
          <cell r="E52">
            <v>40</v>
          </cell>
          <cell r="F52">
            <v>0</v>
          </cell>
        </row>
        <row r="53">
          <cell r="E53">
            <v>4.5</v>
          </cell>
          <cell r="F53">
            <v>0</v>
          </cell>
        </row>
        <row r="54">
          <cell r="E54">
            <v>5.75</v>
          </cell>
          <cell r="F54">
            <v>0</v>
          </cell>
        </row>
        <row r="55">
          <cell r="E55">
            <v>10</v>
          </cell>
          <cell r="F55">
            <v>0</v>
          </cell>
        </row>
        <row r="56">
          <cell r="E56">
            <v>20</v>
          </cell>
          <cell r="F56">
            <v>0</v>
          </cell>
        </row>
        <row r="57">
          <cell r="E57">
            <v>0</v>
          </cell>
          <cell r="F57">
            <v>0</v>
          </cell>
        </row>
        <row r="58">
          <cell r="E58">
            <v>1.5</v>
          </cell>
          <cell r="F58">
            <v>0</v>
          </cell>
        </row>
        <row r="59">
          <cell r="E59">
            <v>7.5</v>
          </cell>
          <cell r="F59">
            <v>0</v>
          </cell>
        </row>
        <row r="60">
          <cell r="E60">
            <v>50</v>
          </cell>
          <cell r="F60">
            <v>0</v>
          </cell>
        </row>
        <row r="61">
          <cell r="E61">
            <v>80</v>
          </cell>
          <cell r="F61">
            <v>0</v>
          </cell>
        </row>
        <row r="62">
          <cell r="E62">
            <v>62</v>
          </cell>
          <cell r="F62">
            <v>0</v>
          </cell>
        </row>
        <row r="63">
          <cell r="E63">
            <v>11</v>
          </cell>
          <cell r="F63">
            <v>0</v>
          </cell>
        </row>
        <row r="64">
          <cell r="E64">
            <v>110</v>
          </cell>
          <cell r="F64">
            <v>0</v>
          </cell>
        </row>
        <row r="65">
          <cell r="E65">
            <v>17.5</v>
          </cell>
          <cell r="F65">
            <v>0</v>
          </cell>
        </row>
        <row r="66">
          <cell r="E66">
            <v>26</v>
          </cell>
          <cell r="F66">
            <v>0</v>
          </cell>
        </row>
        <row r="67">
          <cell r="E67">
            <v>3.35</v>
          </cell>
          <cell r="F67">
            <v>0</v>
          </cell>
        </row>
        <row r="68">
          <cell r="E68">
            <v>7.5</v>
          </cell>
          <cell r="F68">
            <v>0</v>
          </cell>
        </row>
        <row r="69">
          <cell r="E69">
            <v>16.5</v>
          </cell>
          <cell r="F69">
            <v>0</v>
          </cell>
        </row>
        <row r="70">
          <cell r="E70">
            <v>21.5</v>
          </cell>
          <cell r="F70">
            <v>0</v>
          </cell>
        </row>
        <row r="71">
          <cell r="E71">
            <v>32</v>
          </cell>
          <cell r="F71">
            <v>0</v>
          </cell>
        </row>
        <row r="72">
          <cell r="E72">
            <v>4.6500000000000004</v>
          </cell>
          <cell r="F72">
            <v>0</v>
          </cell>
        </row>
        <row r="73">
          <cell r="E73">
            <v>0.55000000000000004</v>
          </cell>
          <cell r="F73">
            <v>0</v>
          </cell>
        </row>
        <row r="74">
          <cell r="E74">
            <v>3</v>
          </cell>
          <cell r="F74">
            <v>3.2800000000000002</v>
          </cell>
        </row>
        <row r="75">
          <cell r="E75">
            <v>2.5</v>
          </cell>
          <cell r="F75">
            <v>6</v>
          </cell>
        </row>
        <row r="76">
          <cell r="E76">
            <v>2.0699999999999998</v>
          </cell>
          <cell r="F76">
            <v>100</v>
          </cell>
        </row>
        <row r="77">
          <cell r="E77">
            <v>5.5</v>
          </cell>
          <cell r="F77">
            <v>100</v>
          </cell>
        </row>
        <row r="78">
          <cell r="E78">
            <v>18</v>
          </cell>
          <cell r="F78">
            <v>11.9</v>
          </cell>
        </row>
        <row r="79">
          <cell r="E79">
            <v>28</v>
          </cell>
          <cell r="F79">
            <v>23.9</v>
          </cell>
        </row>
        <row r="80">
          <cell r="E80">
            <v>50</v>
          </cell>
          <cell r="F80">
            <v>2</v>
          </cell>
        </row>
        <row r="81">
          <cell r="E81">
            <v>60</v>
          </cell>
          <cell r="F81">
            <v>2</v>
          </cell>
        </row>
        <row r="82">
          <cell r="E82">
            <v>33</v>
          </cell>
          <cell r="F82">
            <v>11</v>
          </cell>
        </row>
        <row r="83">
          <cell r="E83">
            <v>0.9</v>
          </cell>
          <cell r="F83">
            <v>87</v>
          </cell>
        </row>
        <row r="84">
          <cell r="E84">
            <v>15</v>
          </cell>
          <cell r="F84">
            <v>30.800000000000004</v>
          </cell>
        </row>
        <row r="85">
          <cell r="E85">
            <v>25</v>
          </cell>
          <cell r="F85">
            <v>0</v>
          </cell>
        </row>
        <row r="86">
          <cell r="E86">
            <v>35</v>
          </cell>
          <cell r="F86">
            <v>0</v>
          </cell>
        </row>
        <row r="87">
          <cell r="E87">
            <v>50</v>
          </cell>
          <cell r="F87">
            <v>6.7199999999999989</v>
          </cell>
        </row>
        <row r="88">
          <cell r="E88">
            <v>60</v>
          </cell>
          <cell r="F88">
            <v>7</v>
          </cell>
        </row>
        <row r="89">
          <cell r="E89">
            <v>10</v>
          </cell>
          <cell r="F89">
            <v>0</v>
          </cell>
        </row>
        <row r="90">
          <cell r="E90">
            <v>1.7</v>
          </cell>
          <cell r="F90">
            <v>1</v>
          </cell>
        </row>
        <row r="91">
          <cell r="E91">
            <v>25</v>
          </cell>
          <cell r="F91">
            <v>0</v>
          </cell>
        </row>
        <row r="92">
          <cell r="E92">
            <v>1</v>
          </cell>
          <cell r="F92">
            <v>0</v>
          </cell>
        </row>
        <row r="93">
          <cell r="E93">
            <v>0.6</v>
          </cell>
          <cell r="F93">
            <v>258</v>
          </cell>
        </row>
        <row r="94">
          <cell r="E94">
            <v>25</v>
          </cell>
          <cell r="F94">
            <v>0</v>
          </cell>
        </row>
        <row r="95">
          <cell r="E95">
            <v>1.25</v>
          </cell>
          <cell r="F95">
            <v>76</v>
          </cell>
        </row>
        <row r="96">
          <cell r="E96">
            <v>3</v>
          </cell>
          <cell r="F96">
            <v>31</v>
          </cell>
        </row>
        <row r="97">
          <cell r="E97">
            <v>4.9000000000000004</v>
          </cell>
          <cell r="F97">
            <v>0</v>
          </cell>
        </row>
        <row r="98">
          <cell r="E98">
            <v>15</v>
          </cell>
          <cell r="F98">
            <v>31</v>
          </cell>
        </row>
        <row r="99">
          <cell r="E99">
            <v>2.5</v>
          </cell>
          <cell r="F99">
            <v>0</v>
          </cell>
        </row>
        <row r="100">
          <cell r="E100">
            <v>5</v>
          </cell>
          <cell r="F100">
            <v>0</v>
          </cell>
        </row>
        <row r="101">
          <cell r="E101">
            <v>150</v>
          </cell>
          <cell r="F101">
            <v>0</v>
          </cell>
        </row>
        <row r="102">
          <cell r="E102">
            <v>4.9000000000000004</v>
          </cell>
          <cell r="F102">
            <v>0</v>
          </cell>
        </row>
        <row r="103">
          <cell r="E103">
            <v>10</v>
          </cell>
          <cell r="F103">
            <v>34</v>
          </cell>
        </row>
        <row r="104">
          <cell r="E104">
            <v>165</v>
          </cell>
          <cell r="F104">
            <v>0</v>
          </cell>
        </row>
        <row r="105">
          <cell r="E105">
            <v>0.45</v>
          </cell>
          <cell r="F105">
            <v>429</v>
          </cell>
        </row>
        <row r="106">
          <cell r="E106">
            <v>5</v>
          </cell>
          <cell r="F106">
            <v>0</v>
          </cell>
        </row>
        <row r="107">
          <cell r="E107">
            <v>11</v>
          </cell>
          <cell r="F107">
            <v>29</v>
          </cell>
        </row>
        <row r="108">
          <cell r="E108">
            <v>1</v>
          </cell>
          <cell r="F108">
            <v>31.249999999999993</v>
          </cell>
        </row>
        <row r="109">
          <cell r="E109">
            <v>4.5</v>
          </cell>
          <cell r="F109">
            <v>17.539999999999992</v>
          </cell>
        </row>
        <row r="110">
          <cell r="E110">
            <v>1</v>
          </cell>
          <cell r="F110">
            <v>83.45</v>
          </cell>
        </row>
        <row r="111">
          <cell r="E111">
            <v>10</v>
          </cell>
          <cell r="F111">
            <v>99.5</v>
          </cell>
        </row>
        <row r="112">
          <cell r="E112">
            <v>28.5</v>
          </cell>
          <cell r="F112">
            <v>0</v>
          </cell>
        </row>
        <row r="113">
          <cell r="E113">
            <v>5.75</v>
          </cell>
          <cell r="F113">
            <v>0</v>
          </cell>
        </row>
        <row r="114">
          <cell r="E114">
            <v>2.15</v>
          </cell>
          <cell r="F114">
            <v>13</v>
          </cell>
        </row>
        <row r="115">
          <cell r="E115">
            <v>4</v>
          </cell>
          <cell r="F115">
            <v>0</v>
          </cell>
        </row>
        <row r="116">
          <cell r="E116">
            <v>57</v>
          </cell>
          <cell r="F116">
            <v>0</v>
          </cell>
        </row>
        <row r="117">
          <cell r="E117">
            <v>113</v>
          </cell>
          <cell r="F117">
            <v>0</v>
          </cell>
        </row>
        <row r="118">
          <cell r="E118">
            <v>33</v>
          </cell>
          <cell r="F118">
            <v>0</v>
          </cell>
        </row>
        <row r="119">
          <cell r="E119">
            <v>74</v>
          </cell>
          <cell r="F119">
            <v>0</v>
          </cell>
        </row>
        <row r="120">
          <cell r="E120">
            <v>12.5</v>
          </cell>
          <cell r="F120">
            <v>0</v>
          </cell>
        </row>
        <row r="121">
          <cell r="E121">
            <v>2.15</v>
          </cell>
          <cell r="F121">
            <v>0</v>
          </cell>
        </row>
        <row r="122">
          <cell r="E122">
            <v>15</v>
          </cell>
          <cell r="F122">
            <v>0</v>
          </cell>
        </row>
        <row r="123">
          <cell r="E123">
            <v>3</v>
          </cell>
          <cell r="F123">
            <v>8</v>
          </cell>
        </row>
        <row r="124">
          <cell r="E124">
            <v>963</v>
          </cell>
          <cell r="F124">
            <v>0</v>
          </cell>
        </row>
        <row r="125">
          <cell r="E125">
            <v>8</v>
          </cell>
          <cell r="F125">
            <v>0</v>
          </cell>
        </row>
        <row r="126">
          <cell r="E126">
            <v>54</v>
          </cell>
          <cell r="F126">
            <v>0</v>
          </cell>
        </row>
        <row r="127">
          <cell r="E127">
            <v>18</v>
          </cell>
          <cell r="F127">
            <v>0</v>
          </cell>
        </row>
        <row r="128">
          <cell r="E128">
            <v>12</v>
          </cell>
          <cell r="F128">
            <v>0</v>
          </cell>
        </row>
        <row r="129">
          <cell r="E129">
            <v>10</v>
          </cell>
          <cell r="F129">
            <v>0</v>
          </cell>
        </row>
        <row r="130">
          <cell r="E130">
            <v>21</v>
          </cell>
          <cell r="F130">
            <v>0</v>
          </cell>
        </row>
        <row r="131">
          <cell r="E131">
            <v>8.5</v>
          </cell>
          <cell r="F131">
            <v>0</v>
          </cell>
        </row>
        <row r="132">
          <cell r="E132">
            <v>19</v>
          </cell>
          <cell r="F132">
            <v>5</v>
          </cell>
        </row>
        <row r="133">
          <cell r="E133">
            <v>33</v>
          </cell>
          <cell r="F133">
            <v>0</v>
          </cell>
        </row>
        <row r="134">
          <cell r="E134">
            <v>45</v>
          </cell>
          <cell r="F134">
            <v>0</v>
          </cell>
        </row>
        <row r="135">
          <cell r="E135">
            <v>3</v>
          </cell>
          <cell r="F135">
            <v>116</v>
          </cell>
        </row>
        <row r="136">
          <cell r="E136">
            <v>2.25</v>
          </cell>
          <cell r="F136">
            <v>120</v>
          </cell>
        </row>
        <row r="137">
          <cell r="E137">
            <v>7.25</v>
          </cell>
          <cell r="F137">
            <v>7</v>
          </cell>
        </row>
        <row r="138">
          <cell r="E138">
            <v>9</v>
          </cell>
          <cell r="F138">
            <v>0</v>
          </cell>
        </row>
        <row r="139">
          <cell r="E139">
            <v>20</v>
          </cell>
          <cell r="F139">
            <v>0</v>
          </cell>
        </row>
        <row r="140">
          <cell r="E140">
            <v>9</v>
          </cell>
          <cell r="F140">
            <v>28</v>
          </cell>
        </row>
        <row r="141">
          <cell r="E141">
            <v>9</v>
          </cell>
          <cell r="F141">
            <v>29</v>
          </cell>
        </row>
        <row r="142">
          <cell r="E142">
            <v>21</v>
          </cell>
          <cell r="F142">
            <v>0</v>
          </cell>
        </row>
        <row r="143">
          <cell r="E143">
            <v>25</v>
          </cell>
          <cell r="F143">
            <v>177</v>
          </cell>
        </row>
        <row r="144">
          <cell r="E144">
            <v>3</v>
          </cell>
          <cell r="F144">
            <v>0</v>
          </cell>
        </row>
        <row r="145">
          <cell r="E145">
            <v>3.25</v>
          </cell>
          <cell r="F145">
            <v>1</v>
          </cell>
        </row>
        <row r="146">
          <cell r="E146">
            <v>3</v>
          </cell>
          <cell r="F146">
            <v>0</v>
          </cell>
        </row>
        <row r="147">
          <cell r="E147">
            <v>3</v>
          </cell>
          <cell r="F147">
            <v>0</v>
          </cell>
        </row>
        <row r="148">
          <cell r="E148">
            <v>3.25</v>
          </cell>
          <cell r="F148">
            <v>0</v>
          </cell>
        </row>
        <row r="149">
          <cell r="E149">
            <v>3.5</v>
          </cell>
          <cell r="F149">
            <v>0</v>
          </cell>
        </row>
        <row r="150">
          <cell r="E150">
            <v>2</v>
          </cell>
          <cell r="F150">
            <v>137</v>
          </cell>
        </row>
        <row r="151">
          <cell r="E151">
            <v>3.5</v>
          </cell>
          <cell r="F151">
            <v>90</v>
          </cell>
        </row>
        <row r="152">
          <cell r="E152">
            <v>3</v>
          </cell>
          <cell r="F152">
            <v>0</v>
          </cell>
        </row>
        <row r="153">
          <cell r="E153">
            <v>3.5</v>
          </cell>
          <cell r="F153">
            <v>0</v>
          </cell>
        </row>
        <row r="154">
          <cell r="E154">
            <v>3</v>
          </cell>
          <cell r="F154">
            <v>4</v>
          </cell>
        </row>
        <row r="155">
          <cell r="E155">
            <v>8.5</v>
          </cell>
          <cell r="F155">
            <v>9</v>
          </cell>
        </row>
        <row r="156">
          <cell r="E156">
            <v>8.5</v>
          </cell>
          <cell r="F156">
            <v>5</v>
          </cell>
        </row>
        <row r="157">
          <cell r="E157">
            <v>10</v>
          </cell>
          <cell r="F157">
            <v>6</v>
          </cell>
        </row>
        <row r="158">
          <cell r="E158">
            <v>9</v>
          </cell>
          <cell r="F158">
            <v>0</v>
          </cell>
        </row>
        <row r="159">
          <cell r="E159">
            <v>7.5</v>
          </cell>
          <cell r="F159">
            <v>0</v>
          </cell>
        </row>
        <row r="160">
          <cell r="E160">
            <v>49</v>
          </cell>
          <cell r="F160">
            <v>0</v>
          </cell>
        </row>
        <row r="161">
          <cell r="E161">
            <v>9</v>
          </cell>
          <cell r="F161">
            <v>39</v>
          </cell>
        </row>
        <row r="162">
          <cell r="E162">
            <v>13</v>
          </cell>
          <cell r="F162">
            <v>4</v>
          </cell>
        </row>
        <row r="163">
          <cell r="E163">
            <v>13</v>
          </cell>
          <cell r="F163">
            <v>39</v>
          </cell>
        </row>
        <row r="164">
          <cell r="E164">
            <v>18</v>
          </cell>
          <cell r="F164">
            <v>33</v>
          </cell>
        </row>
        <row r="165">
          <cell r="E165">
            <v>20</v>
          </cell>
          <cell r="F165">
            <v>0</v>
          </cell>
        </row>
        <row r="166">
          <cell r="E166">
            <v>10</v>
          </cell>
          <cell r="F166">
            <v>0</v>
          </cell>
        </row>
        <row r="167">
          <cell r="E167">
            <v>17</v>
          </cell>
          <cell r="F167">
            <v>14</v>
          </cell>
        </row>
        <row r="168">
          <cell r="E168">
            <v>15</v>
          </cell>
          <cell r="F168">
            <v>0</v>
          </cell>
        </row>
        <row r="169">
          <cell r="E169">
            <v>25</v>
          </cell>
          <cell r="F169">
            <v>8</v>
          </cell>
        </row>
        <row r="170">
          <cell r="E170">
            <v>18</v>
          </cell>
          <cell r="F170">
            <v>12</v>
          </cell>
        </row>
        <row r="171">
          <cell r="E171">
            <v>15</v>
          </cell>
          <cell r="F171">
            <v>5</v>
          </cell>
        </row>
        <row r="172">
          <cell r="E172">
            <v>22</v>
          </cell>
          <cell r="F172">
            <v>13</v>
          </cell>
        </row>
        <row r="173">
          <cell r="E173">
            <v>1.5</v>
          </cell>
          <cell r="F173">
            <v>0</v>
          </cell>
        </row>
        <row r="174">
          <cell r="E174">
            <v>65</v>
          </cell>
          <cell r="F174">
            <v>2</v>
          </cell>
        </row>
        <row r="175">
          <cell r="E175">
            <v>23</v>
          </cell>
          <cell r="F175">
            <v>0</v>
          </cell>
        </row>
        <row r="176">
          <cell r="E176">
            <v>4.5</v>
          </cell>
          <cell r="F176">
            <v>0</v>
          </cell>
        </row>
        <row r="177">
          <cell r="E177">
            <v>1</v>
          </cell>
          <cell r="F177">
            <v>34.85</v>
          </cell>
        </row>
        <row r="178">
          <cell r="E178">
            <v>5.5</v>
          </cell>
          <cell r="F178">
            <v>34</v>
          </cell>
        </row>
        <row r="179">
          <cell r="E179">
            <v>5</v>
          </cell>
          <cell r="F179">
            <v>1</v>
          </cell>
        </row>
        <row r="180">
          <cell r="E180">
            <v>1.9</v>
          </cell>
          <cell r="F180">
            <v>10</v>
          </cell>
        </row>
        <row r="181">
          <cell r="E181">
            <v>4</v>
          </cell>
          <cell r="F181">
            <v>0</v>
          </cell>
        </row>
        <row r="182">
          <cell r="E182">
            <v>0.75</v>
          </cell>
          <cell r="F182">
            <v>34</v>
          </cell>
        </row>
        <row r="183">
          <cell r="E183">
            <v>12.5</v>
          </cell>
          <cell r="F183">
            <v>0</v>
          </cell>
        </row>
        <row r="184">
          <cell r="E184">
            <v>1</v>
          </cell>
          <cell r="F184">
            <v>0</v>
          </cell>
        </row>
        <row r="185">
          <cell r="E185">
            <v>2.5</v>
          </cell>
          <cell r="F185">
            <v>0</v>
          </cell>
        </row>
        <row r="186">
          <cell r="E186">
            <v>1</v>
          </cell>
          <cell r="F186">
            <v>0</v>
          </cell>
        </row>
        <row r="187">
          <cell r="E187">
            <v>2.5</v>
          </cell>
          <cell r="F187">
            <v>12</v>
          </cell>
        </row>
        <row r="188">
          <cell r="E188">
            <v>0</v>
          </cell>
          <cell r="F188">
            <v>0</v>
          </cell>
        </row>
        <row r="189">
          <cell r="E189">
            <v>3</v>
          </cell>
          <cell r="F189">
            <v>3</v>
          </cell>
        </row>
        <row r="190">
          <cell r="E190">
            <v>4</v>
          </cell>
          <cell r="F190">
            <v>11</v>
          </cell>
        </row>
        <row r="191">
          <cell r="E191">
            <v>5</v>
          </cell>
          <cell r="F191">
            <v>0</v>
          </cell>
        </row>
        <row r="192">
          <cell r="E192">
            <v>0.5</v>
          </cell>
          <cell r="F192">
            <v>35</v>
          </cell>
        </row>
        <row r="193">
          <cell r="E193">
            <v>10</v>
          </cell>
          <cell r="F193">
            <v>0</v>
          </cell>
        </row>
        <row r="194">
          <cell r="E194">
            <v>17</v>
          </cell>
          <cell r="F194">
            <v>0</v>
          </cell>
        </row>
        <row r="195">
          <cell r="E195">
            <v>18</v>
          </cell>
          <cell r="F195">
            <v>0</v>
          </cell>
        </row>
        <row r="196">
          <cell r="E196">
            <v>15</v>
          </cell>
          <cell r="F196">
            <v>32</v>
          </cell>
        </row>
        <row r="197">
          <cell r="E197">
            <v>1.3</v>
          </cell>
          <cell r="F197">
            <v>0</v>
          </cell>
        </row>
        <row r="198">
          <cell r="E198">
            <v>22</v>
          </cell>
          <cell r="F198">
            <v>0</v>
          </cell>
        </row>
        <row r="199">
          <cell r="E199">
            <v>20</v>
          </cell>
          <cell r="F199">
            <v>0</v>
          </cell>
        </row>
        <row r="200">
          <cell r="E200">
            <v>6</v>
          </cell>
          <cell r="F200">
            <v>0</v>
          </cell>
        </row>
        <row r="201">
          <cell r="E201">
            <v>0</v>
          </cell>
          <cell r="F201">
            <v>0</v>
          </cell>
        </row>
        <row r="202">
          <cell r="E202">
            <v>6</v>
          </cell>
          <cell r="F202">
            <v>0</v>
          </cell>
        </row>
        <row r="203">
          <cell r="E203">
            <v>0.22</v>
          </cell>
          <cell r="F203">
            <v>0</v>
          </cell>
        </row>
        <row r="204">
          <cell r="E204">
            <v>0.3</v>
          </cell>
          <cell r="F204">
            <v>869</v>
          </cell>
        </row>
        <row r="205">
          <cell r="E205">
            <v>0.5</v>
          </cell>
          <cell r="F205">
            <v>132</v>
          </cell>
        </row>
        <row r="206">
          <cell r="E206">
            <v>0.35</v>
          </cell>
          <cell r="F206">
            <v>48</v>
          </cell>
        </row>
        <row r="207">
          <cell r="E207">
            <v>1</v>
          </cell>
          <cell r="F207">
            <v>29</v>
          </cell>
        </row>
        <row r="208">
          <cell r="E208">
            <v>1</v>
          </cell>
          <cell r="F208">
            <v>6</v>
          </cell>
        </row>
        <row r="209">
          <cell r="E209">
            <v>0.1</v>
          </cell>
          <cell r="F209">
            <v>430</v>
          </cell>
        </row>
        <row r="210">
          <cell r="E210">
            <v>0.08</v>
          </cell>
          <cell r="F210">
            <v>1007</v>
          </cell>
        </row>
        <row r="211">
          <cell r="E211">
            <v>5.6599999999999998E-2</v>
          </cell>
          <cell r="F211">
            <v>480</v>
          </cell>
        </row>
        <row r="212">
          <cell r="E212">
            <v>13</v>
          </cell>
          <cell r="F212">
            <v>88</v>
          </cell>
        </row>
        <row r="213">
          <cell r="E213">
            <v>3</v>
          </cell>
          <cell r="F213">
            <v>0</v>
          </cell>
        </row>
        <row r="214">
          <cell r="E214">
            <v>0</v>
          </cell>
          <cell r="F214">
            <v>168</v>
          </cell>
        </row>
        <row r="215">
          <cell r="E215">
            <v>20</v>
          </cell>
          <cell r="F215">
            <v>4</v>
          </cell>
        </row>
        <row r="216">
          <cell r="E216">
            <v>5</v>
          </cell>
          <cell r="F216">
            <v>32</v>
          </cell>
        </row>
        <row r="217">
          <cell r="E217">
            <v>10</v>
          </cell>
          <cell r="F217">
            <v>1</v>
          </cell>
        </row>
        <row r="218">
          <cell r="E218">
            <v>12</v>
          </cell>
          <cell r="F218">
            <v>0</v>
          </cell>
        </row>
        <row r="219">
          <cell r="E219">
            <v>2</v>
          </cell>
          <cell r="F219">
            <v>3</v>
          </cell>
        </row>
        <row r="220">
          <cell r="E220">
            <v>600</v>
          </cell>
          <cell r="F220">
            <v>0</v>
          </cell>
        </row>
        <row r="221">
          <cell r="E221">
            <v>2</v>
          </cell>
          <cell r="F221">
            <v>0</v>
          </cell>
        </row>
        <row r="222">
          <cell r="E222">
            <v>2.25</v>
          </cell>
          <cell r="F222">
            <v>4</v>
          </cell>
        </row>
        <row r="223">
          <cell r="E223">
            <v>4</v>
          </cell>
          <cell r="F223">
            <v>67</v>
          </cell>
        </row>
        <row r="224">
          <cell r="E224">
            <v>15</v>
          </cell>
          <cell r="F224">
            <v>22</v>
          </cell>
        </row>
        <row r="225">
          <cell r="E225">
            <v>2.25</v>
          </cell>
          <cell r="F225">
            <v>11</v>
          </cell>
        </row>
        <row r="226">
          <cell r="E226">
            <v>0.15</v>
          </cell>
          <cell r="F226">
            <v>321</v>
          </cell>
        </row>
        <row r="227">
          <cell r="E227">
            <v>0.35</v>
          </cell>
          <cell r="F227">
            <v>268</v>
          </cell>
        </row>
        <row r="228">
          <cell r="E228">
            <v>1.75</v>
          </cell>
          <cell r="F228">
            <v>9</v>
          </cell>
        </row>
        <row r="229">
          <cell r="E229">
            <v>5</v>
          </cell>
          <cell r="F229">
            <v>4</v>
          </cell>
        </row>
        <row r="230">
          <cell r="E230">
            <v>19</v>
          </cell>
          <cell r="F230">
            <v>4</v>
          </cell>
        </row>
        <row r="231">
          <cell r="E231">
            <v>0.441</v>
          </cell>
          <cell r="F231">
            <v>1328</v>
          </cell>
        </row>
        <row r="232">
          <cell r="E232">
            <v>37.5</v>
          </cell>
          <cell r="F232">
            <v>0</v>
          </cell>
        </row>
        <row r="233">
          <cell r="E233">
            <v>75</v>
          </cell>
          <cell r="F233">
            <v>1</v>
          </cell>
        </row>
        <row r="234">
          <cell r="E234">
            <v>75</v>
          </cell>
          <cell r="F234">
            <v>5</v>
          </cell>
        </row>
        <row r="235">
          <cell r="E235">
            <v>40.5</v>
          </cell>
          <cell r="F235">
            <v>43</v>
          </cell>
        </row>
        <row r="236">
          <cell r="E236">
            <v>248</v>
          </cell>
          <cell r="F236">
            <v>49</v>
          </cell>
        </row>
        <row r="237">
          <cell r="E237">
            <v>240</v>
          </cell>
          <cell r="F237">
            <v>3</v>
          </cell>
        </row>
        <row r="238">
          <cell r="E238">
            <v>300</v>
          </cell>
          <cell r="F238">
            <v>0</v>
          </cell>
        </row>
        <row r="239">
          <cell r="E239">
            <v>8.67</v>
          </cell>
          <cell r="F239">
            <v>36</v>
          </cell>
        </row>
        <row r="240">
          <cell r="E240">
            <v>20</v>
          </cell>
          <cell r="F240">
            <v>0</v>
          </cell>
        </row>
        <row r="241">
          <cell r="E241">
            <v>40.5</v>
          </cell>
          <cell r="F241">
            <v>0</v>
          </cell>
        </row>
        <row r="242">
          <cell r="E242">
            <v>170</v>
          </cell>
          <cell r="F242">
            <v>2</v>
          </cell>
        </row>
        <row r="243">
          <cell r="E243">
            <v>40</v>
          </cell>
          <cell r="F243">
            <v>0</v>
          </cell>
        </row>
        <row r="244">
          <cell r="E244">
            <v>0.2</v>
          </cell>
          <cell r="F244">
            <v>2211</v>
          </cell>
        </row>
        <row r="245">
          <cell r="E245">
            <v>3</v>
          </cell>
          <cell r="F245">
            <v>22</v>
          </cell>
        </row>
        <row r="246">
          <cell r="E246">
            <v>10</v>
          </cell>
          <cell r="F246">
            <v>2</v>
          </cell>
        </row>
        <row r="247">
          <cell r="E247">
            <v>18</v>
          </cell>
          <cell r="F247">
            <v>0</v>
          </cell>
        </row>
        <row r="248">
          <cell r="E248">
            <v>30</v>
          </cell>
          <cell r="F248">
            <v>3</v>
          </cell>
        </row>
        <row r="249">
          <cell r="E249">
            <v>20</v>
          </cell>
          <cell r="F249">
            <v>0</v>
          </cell>
        </row>
        <row r="250">
          <cell r="E250">
            <v>0</v>
          </cell>
          <cell r="F250">
            <v>1</v>
          </cell>
        </row>
        <row r="251">
          <cell r="E251">
            <v>0.54900000000000004</v>
          </cell>
          <cell r="F251">
            <v>1227</v>
          </cell>
        </row>
        <row r="252">
          <cell r="E252">
            <v>8.5</v>
          </cell>
          <cell r="F252">
            <v>0</v>
          </cell>
        </row>
        <row r="253">
          <cell r="E253">
            <v>50</v>
          </cell>
          <cell r="F253">
            <v>0</v>
          </cell>
        </row>
        <row r="254">
          <cell r="E254">
            <v>65</v>
          </cell>
          <cell r="F254">
            <v>0</v>
          </cell>
        </row>
        <row r="255">
          <cell r="E255">
            <v>3</v>
          </cell>
          <cell r="F255">
            <v>35</v>
          </cell>
        </row>
        <row r="256">
          <cell r="E256">
            <v>25</v>
          </cell>
          <cell r="F256">
            <v>283</v>
          </cell>
        </row>
        <row r="257">
          <cell r="E257">
            <v>30</v>
          </cell>
          <cell r="F257">
            <v>459</v>
          </cell>
        </row>
        <row r="258">
          <cell r="E258">
            <v>36</v>
          </cell>
          <cell r="F258">
            <v>0</v>
          </cell>
        </row>
        <row r="259">
          <cell r="E259">
            <v>27</v>
          </cell>
          <cell r="F259">
            <v>1</v>
          </cell>
        </row>
        <row r="260">
          <cell r="E260">
            <v>11</v>
          </cell>
          <cell r="F260">
            <v>0</v>
          </cell>
        </row>
        <row r="261">
          <cell r="E261">
            <v>0.15</v>
          </cell>
          <cell r="F261">
            <v>773</v>
          </cell>
        </row>
        <row r="262">
          <cell r="E262">
            <v>681.1</v>
          </cell>
          <cell r="F262">
            <v>0</v>
          </cell>
        </row>
        <row r="263">
          <cell r="E263">
            <v>470.97</v>
          </cell>
          <cell r="F263">
            <v>0</v>
          </cell>
        </row>
        <row r="264">
          <cell r="E264">
            <v>0.53</v>
          </cell>
          <cell r="F264">
            <v>158</v>
          </cell>
        </row>
        <row r="265">
          <cell r="E265">
            <v>28</v>
          </cell>
          <cell r="F265">
            <v>0</v>
          </cell>
        </row>
        <row r="266">
          <cell r="E266">
            <v>1050</v>
          </cell>
          <cell r="F266">
            <v>0</v>
          </cell>
        </row>
        <row r="267">
          <cell r="E267">
            <v>1.25</v>
          </cell>
          <cell r="F267">
            <v>87</v>
          </cell>
        </row>
        <row r="268">
          <cell r="E268">
            <v>20</v>
          </cell>
          <cell r="F268">
            <v>0</v>
          </cell>
        </row>
        <row r="269">
          <cell r="E269">
            <v>0.62</v>
          </cell>
          <cell r="F269">
            <v>17</v>
          </cell>
        </row>
        <row r="270">
          <cell r="E270">
            <v>0</v>
          </cell>
          <cell r="F270">
            <v>0</v>
          </cell>
        </row>
        <row r="271">
          <cell r="E271">
            <v>6.5</v>
          </cell>
          <cell r="F271">
            <v>14</v>
          </cell>
        </row>
        <row r="272">
          <cell r="E272">
            <v>7.5</v>
          </cell>
          <cell r="F272">
            <v>9</v>
          </cell>
        </row>
        <row r="273">
          <cell r="E273">
            <v>32.5</v>
          </cell>
          <cell r="F273">
            <v>0</v>
          </cell>
        </row>
        <row r="274">
          <cell r="E274">
            <v>12.5</v>
          </cell>
          <cell r="F274">
            <v>8</v>
          </cell>
        </row>
        <row r="275">
          <cell r="E275">
            <v>18</v>
          </cell>
          <cell r="F275">
            <v>0</v>
          </cell>
        </row>
        <row r="276">
          <cell r="E276">
            <v>40</v>
          </cell>
          <cell r="F276">
            <v>32</v>
          </cell>
        </row>
        <row r="277">
          <cell r="E277">
            <v>38</v>
          </cell>
          <cell r="F277">
            <v>1</v>
          </cell>
        </row>
        <row r="278">
          <cell r="E278">
            <v>45</v>
          </cell>
          <cell r="F278">
            <v>5</v>
          </cell>
        </row>
        <row r="279">
          <cell r="E279">
            <v>65</v>
          </cell>
          <cell r="F279">
            <v>5</v>
          </cell>
        </row>
        <row r="280">
          <cell r="E280">
            <v>75</v>
          </cell>
          <cell r="F280">
            <v>14</v>
          </cell>
        </row>
        <row r="281">
          <cell r="E281">
            <v>0.13</v>
          </cell>
          <cell r="F281">
            <v>1242</v>
          </cell>
        </row>
        <row r="282">
          <cell r="E282">
            <v>0.15</v>
          </cell>
          <cell r="F282">
            <v>1024</v>
          </cell>
        </row>
        <row r="283">
          <cell r="E283">
            <v>0.14000000000000001</v>
          </cell>
          <cell r="F283">
            <v>817</v>
          </cell>
        </row>
        <row r="284">
          <cell r="E284">
            <v>0.16</v>
          </cell>
          <cell r="F284">
            <v>416</v>
          </cell>
        </row>
        <row r="285">
          <cell r="E285">
            <v>0.5</v>
          </cell>
          <cell r="F285">
            <v>334</v>
          </cell>
        </row>
        <row r="286">
          <cell r="E286">
            <v>0.6</v>
          </cell>
          <cell r="F286">
            <v>136</v>
          </cell>
        </row>
        <row r="287">
          <cell r="E287">
            <v>0.65</v>
          </cell>
          <cell r="F287">
            <v>402</v>
          </cell>
        </row>
        <row r="288">
          <cell r="E288">
            <v>0.7</v>
          </cell>
          <cell r="F288">
            <v>135</v>
          </cell>
        </row>
        <row r="289">
          <cell r="E289">
            <v>0.16</v>
          </cell>
          <cell r="F289">
            <v>754</v>
          </cell>
        </row>
        <row r="290">
          <cell r="E290">
            <v>0.45</v>
          </cell>
          <cell r="F290">
            <v>228</v>
          </cell>
        </row>
        <row r="291">
          <cell r="E291">
            <v>0.13</v>
          </cell>
          <cell r="F291">
            <v>0</v>
          </cell>
        </row>
        <row r="292">
          <cell r="E292">
            <v>1</v>
          </cell>
          <cell r="F292">
            <v>12</v>
          </cell>
        </row>
        <row r="293">
          <cell r="E293">
            <v>1.75</v>
          </cell>
          <cell r="F293">
            <v>0</v>
          </cell>
        </row>
        <row r="294">
          <cell r="E294">
            <v>1.4</v>
          </cell>
          <cell r="F294">
            <v>9</v>
          </cell>
        </row>
        <row r="295">
          <cell r="E295">
            <v>2</v>
          </cell>
          <cell r="F295">
            <v>7</v>
          </cell>
        </row>
        <row r="296">
          <cell r="E296">
            <v>2.5</v>
          </cell>
          <cell r="F296">
            <v>20</v>
          </cell>
        </row>
        <row r="297">
          <cell r="E297">
            <v>3.5</v>
          </cell>
          <cell r="F297">
            <v>0</v>
          </cell>
        </row>
        <row r="298">
          <cell r="E298">
            <v>3.75</v>
          </cell>
          <cell r="F298">
            <v>27</v>
          </cell>
        </row>
        <row r="299">
          <cell r="E299">
            <v>6</v>
          </cell>
          <cell r="F299">
            <v>11</v>
          </cell>
        </row>
        <row r="300">
          <cell r="E300">
            <v>6.5</v>
          </cell>
          <cell r="F300">
            <v>36</v>
          </cell>
        </row>
        <row r="301">
          <cell r="E301">
            <v>3</v>
          </cell>
          <cell r="F301">
            <v>0</v>
          </cell>
        </row>
        <row r="302">
          <cell r="E302">
            <v>1.5</v>
          </cell>
          <cell r="F302">
            <v>0</v>
          </cell>
        </row>
        <row r="303">
          <cell r="E303">
            <v>1.1499999999999999</v>
          </cell>
          <cell r="F303">
            <v>0</v>
          </cell>
        </row>
        <row r="304">
          <cell r="E304">
            <v>28</v>
          </cell>
          <cell r="F304">
            <v>10</v>
          </cell>
        </row>
        <row r="305">
          <cell r="E305">
            <v>0.9</v>
          </cell>
          <cell r="F305">
            <v>97</v>
          </cell>
        </row>
        <row r="306">
          <cell r="E306">
            <v>17</v>
          </cell>
          <cell r="F306">
            <v>0</v>
          </cell>
        </row>
        <row r="307">
          <cell r="E307">
            <v>7</v>
          </cell>
          <cell r="F307">
            <v>0</v>
          </cell>
        </row>
        <row r="308">
          <cell r="E308">
            <v>11.5</v>
          </cell>
          <cell r="F308">
            <v>0</v>
          </cell>
        </row>
        <row r="309">
          <cell r="E309">
            <v>3.5</v>
          </cell>
          <cell r="F309">
            <v>0</v>
          </cell>
        </row>
        <row r="310">
          <cell r="E310">
            <v>6</v>
          </cell>
          <cell r="F310">
            <v>0</v>
          </cell>
        </row>
        <row r="311">
          <cell r="E311">
            <v>10.75</v>
          </cell>
          <cell r="F311">
            <v>0</v>
          </cell>
        </row>
        <row r="312">
          <cell r="E312">
            <v>2.9</v>
          </cell>
          <cell r="F312">
            <v>0</v>
          </cell>
        </row>
        <row r="313">
          <cell r="E313">
            <v>11</v>
          </cell>
          <cell r="F313">
            <v>3</v>
          </cell>
        </row>
        <row r="314">
          <cell r="E314">
            <v>0</v>
          </cell>
          <cell r="F314">
            <v>0</v>
          </cell>
        </row>
        <row r="315">
          <cell r="E315">
            <v>40</v>
          </cell>
          <cell r="F315">
            <v>25</v>
          </cell>
        </row>
        <row r="316">
          <cell r="E316">
            <v>78</v>
          </cell>
          <cell r="F316">
            <v>0</v>
          </cell>
        </row>
        <row r="317">
          <cell r="E317">
            <v>3</v>
          </cell>
          <cell r="F317">
            <v>37</v>
          </cell>
        </row>
        <row r="318">
          <cell r="E318">
            <v>15</v>
          </cell>
          <cell r="F318">
            <v>18.899999999999999</v>
          </cell>
        </row>
        <row r="319">
          <cell r="E319">
            <v>1.2</v>
          </cell>
          <cell r="F319">
            <v>15</v>
          </cell>
        </row>
        <row r="320">
          <cell r="E320">
            <v>2.1</v>
          </cell>
          <cell r="F320">
            <v>167</v>
          </cell>
        </row>
        <row r="321">
          <cell r="E321">
            <v>25</v>
          </cell>
          <cell r="F321">
            <v>0</v>
          </cell>
        </row>
        <row r="322">
          <cell r="E322">
            <v>3.85</v>
          </cell>
          <cell r="F322">
            <v>0</v>
          </cell>
        </row>
        <row r="323">
          <cell r="E323">
            <v>35</v>
          </cell>
          <cell r="F323">
            <v>6</v>
          </cell>
        </row>
        <row r="324">
          <cell r="E324">
            <v>0</v>
          </cell>
          <cell r="F324">
            <v>0.66400000000000015</v>
          </cell>
        </row>
        <row r="325">
          <cell r="E325">
            <v>2.02</v>
          </cell>
          <cell r="F325">
            <v>0</v>
          </cell>
        </row>
        <row r="326">
          <cell r="E326">
            <v>2.25</v>
          </cell>
          <cell r="F326">
            <v>0</v>
          </cell>
        </row>
        <row r="327">
          <cell r="E327">
            <v>1.7</v>
          </cell>
          <cell r="F327">
            <v>0</v>
          </cell>
        </row>
        <row r="328">
          <cell r="E328">
            <v>3.5</v>
          </cell>
          <cell r="F328">
            <v>109</v>
          </cell>
        </row>
        <row r="329">
          <cell r="E329">
            <v>3.32</v>
          </cell>
          <cell r="F329">
            <v>0</v>
          </cell>
        </row>
        <row r="330">
          <cell r="E330">
            <v>2</v>
          </cell>
          <cell r="F330">
            <v>0</v>
          </cell>
        </row>
        <row r="331">
          <cell r="E331">
            <v>30</v>
          </cell>
          <cell r="F331">
            <v>4</v>
          </cell>
        </row>
        <row r="332">
          <cell r="E332">
            <v>50</v>
          </cell>
          <cell r="F332">
            <v>0</v>
          </cell>
        </row>
        <row r="333">
          <cell r="E333">
            <v>35</v>
          </cell>
          <cell r="F333">
            <v>0</v>
          </cell>
        </row>
        <row r="334">
          <cell r="E334">
            <v>25</v>
          </cell>
          <cell r="F334">
            <v>0</v>
          </cell>
        </row>
        <row r="335">
          <cell r="E335">
            <v>70</v>
          </cell>
          <cell r="F335">
            <v>0</v>
          </cell>
        </row>
        <row r="336">
          <cell r="E336">
            <v>30</v>
          </cell>
          <cell r="F336">
            <v>0</v>
          </cell>
        </row>
        <row r="337">
          <cell r="E337">
            <v>28</v>
          </cell>
          <cell r="F337">
            <v>0.69000000000000017</v>
          </cell>
        </row>
        <row r="338">
          <cell r="E338">
            <v>4.5</v>
          </cell>
          <cell r="F338">
            <v>9</v>
          </cell>
        </row>
        <row r="339">
          <cell r="E339">
            <v>45</v>
          </cell>
          <cell r="F339">
            <v>0</v>
          </cell>
        </row>
        <row r="340">
          <cell r="E340">
            <v>6</v>
          </cell>
          <cell r="F340">
            <v>0</v>
          </cell>
        </row>
        <row r="341">
          <cell r="E341">
            <v>6.5</v>
          </cell>
          <cell r="F341">
            <v>0</v>
          </cell>
        </row>
        <row r="342">
          <cell r="E342">
            <v>0.8</v>
          </cell>
          <cell r="F342">
            <v>38</v>
          </cell>
        </row>
        <row r="343">
          <cell r="E343">
            <v>5</v>
          </cell>
          <cell r="F343">
            <v>5</v>
          </cell>
        </row>
        <row r="344">
          <cell r="E344">
            <v>7</v>
          </cell>
          <cell r="F344">
            <v>2</v>
          </cell>
        </row>
        <row r="345">
          <cell r="E345">
            <v>50</v>
          </cell>
          <cell r="F345">
            <v>0</v>
          </cell>
        </row>
        <row r="346">
          <cell r="E346">
            <v>260</v>
          </cell>
          <cell r="F346">
            <v>0</v>
          </cell>
        </row>
        <row r="347">
          <cell r="E347">
            <v>0.5</v>
          </cell>
          <cell r="F347">
            <v>389</v>
          </cell>
        </row>
        <row r="348">
          <cell r="E348">
            <v>200</v>
          </cell>
          <cell r="F348">
            <v>0</v>
          </cell>
        </row>
        <row r="349">
          <cell r="E349">
            <v>390</v>
          </cell>
          <cell r="F349">
            <v>0</v>
          </cell>
        </row>
        <row r="350">
          <cell r="E350">
            <v>0.55000000000000004</v>
          </cell>
          <cell r="F350">
            <v>2</v>
          </cell>
        </row>
        <row r="351">
          <cell r="E351">
            <v>0.35</v>
          </cell>
          <cell r="F351">
            <v>57</v>
          </cell>
        </row>
        <row r="352">
          <cell r="E352">
            <v>0.6</v>
          </cell>
          <cell r="F352">
            <v>0</v>
          </cell>
        </row>
        <row r="353">
          <cell r="E353">
            <v>15</v>
          </cell>
          <cell r="F353">
            <v>8</v>
          </cell>
        </row>
        <row r="354">
          <cell r="E354">
            <v>18.125</v>
          </cell>
          <cell r="F354">
            <v>0</v>
          </cell>
        </row>
        <row r="355">
          <cell r="E355">
            <v>260</v>
          </cell>
          <cell r="F355">
            <v>2</v>
          </cell>
        </row>
        <row r="356">
          <cell r="E356">
            <v>0</v>
          </cell>
          <cell r="F356">
            <v>65</v>
          </cell>
        </row>
        <row r="357">
          <cell r="E357">
            <v>174.65</v>
          </cell>
          <cell r="F357">
            <v>94</v>
          </cell>
        </row>
        <row r="358">
          <cell r="E358">
            <v>0</v>
          </cell>
          <cell r="F358">
            <v>118</v>
          </cell>
        </row>
        <row r="359">
          <cell r="E359">
            <v>5.625</v>
          </cell>
          <cell r="F359">
            <v>46</v>
          </cell>
        </row>
        <row r="360">
          <cell r="E360">
            <v>275</v>
          </cell>
          <cell r="F360">
            <v>1</v>
          </cell>
        </row>
        <row r="361">
          <cell r="E361">
            <v>20</v>
          </cell>
          <cell r="F361">
            <v>0</v>
          </cell>
        </row>
        <row r="362">
          <cell r="E362">
            <v>4</v>
          </cell>
          <cell r="F362">
            <v>0</v>
          </cell>
        </row>
        <row r="363">
          <cell r="E363">
            <v>5</v>
          </cell>
          <cell r="F363">
            <v>8</v>
          </cell>
        </row>
        <row r="364">
          <cell r="E364">
            <v>2.5</v>
          </cell>
          <cell r="F364">
            <v>56</v>
          </cell>
        </row>
        <row r="365">
          <cell r="E365">
            <v>0.25</v>
          </cell>
          <cell r="F365">
            <v>0</v>
          </cell>
        </row>
        <row r="366">
          <cell r="E366">
            <v>0.4</v>
          </cell>
          <cell r="F366">
            <v>0</v>
          </cell>
        </row>
        <row r="367">
          <cell r="E367">
            <v>0.38</v>
          </cell>
          <cell r="F367">
            <v>856</v>
          </cell>
        </row>
        <row r="368">
          <cell r="E368">
            <v>1.25</v>
          </cell>
          <cell r="F368">
            <v>206</v>
          </cell>
        </row>
        <row r="369">
          <cell r="E369">
            <v>0.41</v>
          </cell>
          <cell r="F369">
            <v>83</v>
          </cell>
        </row>
        <row r="370">
          <cell r="E370">
            <v>0.28000000000000003</v>
          </cell>
          <cell r="F370">
            <v>219</v>
          </cell>
        </row>
        <row r="371">
          <cell r="E371">
            <v>0</v>
          </cell>
          <cell r="F371">
            <v>600</v>
          </cell>
        </row>
        <row r="372">
          <cell r="E372">
            <v>0.4</v>
          </cell>
          <cell r="F372">
            <v>222</v>
          </cell>
        </row>
        <row r="373">
          <cell r="E373">
            <v>6.75</v>
          </cell>
          <cell r="F373">
            <v>0</v>
          </cell>
        </row>
        <row r="374">
          <cell r="E374">
            <v>190</v>
          </cell>
          <cell r="F374">
            <v>0</v>
          </cell>
        </row>
        <row r="375">
          <cell r="E375">
            <v>400</v>
          </cell>
          <cell r="F375">
            <v>0</v>
          </cell>
        </row>
        <row r="376">
          <cell r="E376">
            <v>95</v>
          </cell>
          <cell r="F376">
            <v>0</v>
          </cell>
        </row>
        <row r="377">
          <cell r="E377">
            <v>60</v>
          </cell>
          <cell r="F377">
            <v>1</v>
          </cell>
        </row>
        <row r="378">
          <cell r="E378">
            <v>3.25</v>
          </cell>
          <cell r="F378">
            <v>0</v>
          </cell>
        </row>
        <row r="379">
          <cell r="E379">
            <v>6</v>
          </cell>
          <cell r="F379">
            <v>42</v>
          </cell>
        </row>
        <row r="380">
          <cell r="E380">
            <v>6.5</v>
          </cell>
          <cell r="F380">
            <v>0</v>
          </cell>
        </row>
        <row r="381">
          <cell r="E381">
            <v>3.5</v>
          </cell>
          <cell r="F381">
            <v>1</v>
          </cell>
        </row>
        <row r="382">
          <cell r="E382">
            <v>60</v>
          </cell>
          <cell r="F382">
            <v>0</v>
          </cell>
        </row>
        <row r="383">
          <cell r="E383">
            <v>1.1499999999999999</v>
          </cell>
          <cell r="F383">
            <v>0</v>
          </cell>
        </row>
        <row r="384">
          <cell r="E384">
            <v>3.75</v>
          </cell>
          <cell r="F384">
            <v>0</v>
          </cell>
        </row>
        <row r="385">
          <cell r="E385">
            <v>3.25</v>
          </cell>
          <cell r="F385">
            <v>4</v>
          </cell>
        </row>
        <row r="386">
          <cell r="E386">
            <v>6</v>
          </cell>
          <cell r="F386">
            <v>0</v>
          </cell>
        </row>
        <row r="387">
          <cell r="E387">
            <v>7.5</v>
          </cell>
          <cell r="F387">
            <v>13</v>
          </cell>
        </row>
        <row r="388">
          <cell r="E388">
            <v>3.5</v>
          </cell>
          <cell r="F388">
            <v>0</v>
          </cell>
        </row>
        <row r="389">
          <cell r="E389">
            <v>9.5</v>
          </cell>
          <cell r="F389">
            <v>0</v>
          </cell>
        </row>
        <row r="390">
          <cell r="E390">
            <v>23</v>
          </cell>
          <cell r="F390">
            <v>0</v>
          </cell>
        </row>
        <row r="391">
          <cell r="E391">
            <v>16.5</v>
          </cell>
          <cell r="F391">
            <v>0</v>
          </cell>
        </row>
        <row r="392">
          <cell r="E392">
            <v>80</v>
          </cell>
          <cell r="F392">
            <v>0</v>
          </cell>
        </row>
        <row r="393">
          <cell r="E393">
            <v>45</v>
          </cell>
          <cell r="F393">
            <v>4</v>
          </cell>
        </row>
        <row r="394">
          <cell r="E394">
            <v>33</v>
          </cell>
          <cell r="F394">
            <v>0</v>
          </cell>
        </row>
        <row r="395">
          <cell r="E395">
            <v>75</v>
          </cell>
          <cell r="F395">
            <v>0</v>
          </cell>
        </row>
        <row r="396">
          <cell r="E396">
            <v>8500</v>
          </cell>
          <cell r="F396">
            <v>0</v>
          </cell>
        </row>
        <row r="397">
          <cell r="E397">
            <v>0.24</v>
          </cell>
          <cell r="F397">
            <v>110</v>
          </cell>
        </row>
        <row r="398">
          <cell r="E398">
            <v>1.1499999999999999</v>
          </cell>
          <cell r="F398">
            <v>180</v>
          </cell>
        </row>
        <row r="399">
          <cell r="E399">
            <v>1.37</v>
          </cell>
          <cell r="F399">
            <v>0</v>
          </cell>
        </row>
        <row r="400">
          <cell r="E400">
            <v>25</v>
          </cell>
          <cell r="F400">
            <v>352</v>
          </cell>
        </row>
        <row r="401">
          <cell r="E401">
            <v>30</v>
          </cell>
          <cell r="F401">
            <v>607</v>
          </cell>
        </row>
        <row r="402">
          <cell r="E402">
            <v>42</v>
          </cell>
          <cell r="F402">
            <v>0</v>
          </cell>
        </row>
        <row r="403">
          <cell r="E403">
            <v>48</v>
          </cell>
          <cell r="F403">
            <v>0</v>
          </cell>
        </row>
        <row r="404">
          <cell r="E404">
            <v>0.5</v>
          </cell>
          <cell r="F404">
            <v>12</v>
          </cell>
        </row>
        <row r="405">
          <cell r="E405">
            <v>0.66100000000000003</v>
          </cell>
          <cell r="F405">
            <v>1926</v>
          </cell>
        </row>
        <row r="406">
          <cell r="E406">
            <v>70</v>
          </cell>
          <cell r="F406">
            <v>0</v>
          </cell>
        </row>
        <row r="407">
          <cell r="E407">
            <v>62</v>
          </cell>
          <cell r="F407">
            <v>0</v>
          </cell>
        </row>
        <row r="408">
          <cell r="E408">
            <v>210</v>
          </cell>
          <cell r="F408">
            <v>0</v>
          </cell>
        </row>
        <row r="409">
          <cell r="E409">
            <v>50</v>
          </cell>
          <cell r="F409">
            <v>12</v>
          </cell>
        </row>
        <row r="410">
          <cell r="E410">
            <v>50</v>
          </cell>
          <cell r="F410">
            <v>21.2</v>
          </cell>
        </row>
        <row r="411">
          <cell r="E411">
            <v>60</v>
          </cell>
          <cell r="F411">
            <v>0</v>
          </cell>
        </row>
        <row r="412">
          <cell r="E412">
            <v>58</v>
          </cell>
          <cell r="F412">
            <v>0</v>
          </cell>
        </row>
        <row r="413">
          <cell r="E413">
            <v>75</v>
          </cell>
          <cell r="F413">
            <v>9</v>
          </cell>
        </row>
        <row r="414">
          <cell r="E414">
            <v>125</v>
          </cell>
          <cell r="F414">
            <v>0</v>
          </cell>
        </row>
        <row r="415">
          <cell r="E415">
            <v>160</v>
          </cell>
          <cell r="F415">
            <v>0</v>
          </cell>
        </row>
        <row r="416">
          <cell r="E416">
            <v>175</v>
          </cell>
          <cell r="F416">
            <v>0</v>
          </cell>
        </row>
        <row r="417">
          <cell r="E417">
            <v>70</v>
          </cell>
          <cell r="F417">
            <v>0</v>
          </cell>
        </row>
        <row r="418">
          <cell r="E418">
            <v>80</v>
          </cell>
          <cell r="F418">
            <v>3</v>
          </cell>
        </row>
        <row r="419">
          <cell r="E419">
            <v>64</v>
          </cell>
          <cell r="F419">
            <v>0</v>
          </cell>
        </row>
        <row r="420">
          <cell r="E420">
            <v>12.5</v>
          </cell>
          <cell r="F420">
            <v>10</v>
          </cell>
        </row>
        <row r="421">
          <cell r="E421">
            <v>23</v>
          </cell>
          <cell r="F421">
            <v>0</v>
          </cell>
        </row>
        <row r="422">
          <cell r="E422">
            <v>695</v>
          </cell>
          <cell r="F422">
            <v>0</v>
          </cell>
        </row>
        <row r="423">
          <cell r="E423">
            <v>990</v>
          </cell>
          <cell r="F423">
            <v>0</v>
          </cell>
        </row>
        <row r="424">
          <cell r="E424">
            <v>39</v>
          </cell>
          <cell r="F424">
            <v>10</v>
          </cell>
        </row>
        <row r="425">
          <cell r="E425">
            <v>49</v>
          </cell>
          <cell r="F425">
            <v>0</v>
          </cell>
        </row>
        <row r="426">
          <cell r="E426">
            <v>56</v>
          </cell>
          <cell r="F426">
            <v>0</v>
          </cell>
        </row>
        <row r="427">
          <cell r="E427">
            <v>15</v>
          </cell>
          <cell r="F427">
            <v>0</v>
          </cell>
        </row>
        <row r="428">
          <cell r="E428">
            <v>64</v>
          </cell>
          <cell r="F428">
            <v>0</v>
          </cell>
        </row>
        <row r="429">
          <cell r="E429">
            <v>24</v>
          </cell>
          <cell r="F429">
            <v>0</v>
          </cell>
        </row>
        <row r="430">
          <cell r="E430">
            <v>3.5</v>
          </cell>
          <cell r="F430">
            <v>63</v>
          </cell>
        </row>
        <row r="431">
          <cell r="E431">
            <v>4.5</v>
          </cell>
          <cell r="F431">
            <v>102</v>
          </cell>
        </row>
        <row r="432">
          <cell r="E432">
            <v>6</v>
          </cell>
          <cell r="F432">
            <v>0</v>
          </cell>
        </row>
        <row r="433">
          <cell r="E433">
            <v>9</v>
          </cell>
          <cell r="F433">
            <v>0</v>
          </cell>
        </row>
        <row r="434">
          <cell r="E434">
            <v>7</v>
          </cell>
          <cell r="F434">
            <v>19</v>
          </cell>
        </row>
        <row r="435">
          <cell r="E435">
            <v>1.7</v>
          </cell>
          <cell r="F435">
            <v>1</v>
          </cell>
        </row>
        <row r="436">
          <cell r="E436">
            <v>7.5</v>
          </cell>
          <cell r="F436">
            <v>0</v>
          </cell>
        </row>
        <row r="437">
          <cell r="E437">
            <v>7</v>
          </cell>
          <cell r="F437">
            <v>4</v>
          </cell>
        </row>
        <row r="438">
          <cell r="E438">
            <v>4.75</v>
          </cell>
          <cell r="F438">
            <v>0</v>
          </cell>
        </row>
        <row r="439">
          <cell r="E439">
            <v>45</v>
          </cell>
          <cell r="F439">
            <v>0</v>
          </cell>
        </row>
        <row r="440">
          <cell r="E440">
            <v>0.1</v>
          </cell>
          <cell r="F440">
            <v>2029</v>
          </cell>
        </row>
        <row r="441">
          <cell r="E441">
            <v>0.09</v>
          </cell>
          <cell r="F441">
            <v>0</v>
          </cell>
        </row>
        <row r="442">
          <cell r="E442">
            <v>0.34</v>
          </cell>
          <cell r="F442">
            <v>80</v>
          </cell>
        </row>
        <row r="443">
          <cell r="E443">
            <v>0.7</v>
          </cell>
          <cell r="F443">
            <v>173</v>
          </cell>
        </row>
        <row r="444">
          <cell r="E444">
            <v>6</v>
          </cell>
          <cell r="F444">
            <v>4</v>
          </cell>
        </row>
        <row r="445">
          <cell r="E445">
            <v>18</v>
          </cell>
          <cell r="F445">
            <v>0</v>
          </cell>
        </row>
        <row r="446">
          <cell r="E446">
            <v>0.35</v>
          </cell>
          <cell r="F446">
            <v>77</v>
          </cell>
        </row>
        <row r="447">
          <cell r="E447">
            <v>0.2</v>
          </cell>
          <cell r="F447">
            <v>195</v>
          </cell>
        </row>
        <row r="448">
          <cell r="E448">
            <v>3.5</v>
          </cell>
          <cell r="F448">
            <v>57</v>
          </cell>
        </row>
        <row r="449">
          <cell r="E449">
            <v>1</v>
          </cell>
          <cell r="F449">
            <v>1</v>
          </cell>
        </row>
        <row r="450">
          <cell r="E450">
            <v>0.32</v>
          </cell>
          <cell r="F450">
            <v>43</v>
          </cell>
        </row>
        <row r="451">
          <cell r="E451">
            <v>0.27</v>
          </cell>
          <cell r="F451">
            <v>0</v>
          </cell>
        </row>
        <row r="452">
          <cell r="E452">
            <v>16</v>
          </cell>
          <cell r="F452">
            <v>0</v>
          </cell>
        </row>
        <row r="453">
          <cell r="E453">
            <v>0.08</v>
          </cell>
          <cell r="F453">
            <v>618</v>
          </cell>
        </row>
        <row r="454">
          <cell r="E454">
            <v>0.09</v>
          </cell>
          <cell r="F454">
            <v>1509</v>
          </cell>
        </row>
        <row r="455">
          <cell r="E455">
            <v>0.09</v>
          </cell>
          <cell r="F455">
            <v>7550</v>
          </cell>
        </row>
        <row r="456">
          <cell r="E456">
            <v>0.11</v>
          </cell>
          <cell r="F456">
            <v>6214</v>
          </cell>
        </row>
        <row r="457">
          <cell r="E457">
            <v>0.27</v>
          </cell>
          <cell r="F457">
            <v>637</v>
          </cell>
        </row>
        <row r="458">
          <cell r="E458">
            <v>0.9</v>
          </cell>
          <cell r="F458">
            <v>254</v>
          </cell>
        </row>
        <row r="459">
          <cell r="E459">
            <v>1.1339999999999999</v>
          </cell>
          <cell r="F459">
            <v>26</v>
          </cell>
        </row>
        <row r="460">
          <cell r="E460">
            <v>2.4</v>
          </cell>
          <cell r="F460">
            <v>160</v>
          </cell>
        </row>
        <row r="461">
          <cell r="E461">
            <v>5</v>
          </cell>
          <cell r="F461">
            <v>19</v>
          </cell>
        </row>
        <row r="462">
          <cell r="E462">
            <v>35</v>
          </cell>
          <cell r="F462">
            <v>0</v>
          </cell>
        </row>
        <row r="463">
          <cell r="E463">
            <v>1.75</v>
          </cell>
          <cell r="F463">
            <v>341</v>
          </cell>
        </row>
        <row r="464">
          <cell r="E464">
            <v>49.5</v>
          </cell>
          <cell r="F464">
            <v>0</v>
          </cell>
        </row>
        <row r="465">
          <cell r="E465">
            <v>70</v>
          </cell>
          <cell r="F465">
            <v>0</v>
          </cell>
        </row>
        <row r="466">
          <cell r="E466">
            <v>27.5</v>
          </cell>
          <cell r="F466">
            <v>0</v>
          </cell>
        </row>
        <row r="467">
          <cell r="E467">
            <v>7</v>
          </cell>
          <cell r="F467">
            <v>0</v>
          </cell>
        </row>
        <row r="468">
          <cell r="E468">
            <v>0</v>
          </cell>
          <cell r="F468">
            <v>39</v>
          </cell>
        </row>
        <row r="469">
          <cell r="E469">
            <v>18</v>
          </cell>
          <cell r="F469">
            <v>20</v>
          </cell>
        </row>
        <row r="470">
          <cell r="E470">
            <v>38</v>
          </cell>
          <cell r="F470">
            <v>135</v>
          </cell>
        </row>
        <row r="471">
          <cell r="E471">
            <v>25</v>
          </cell>
          <cell r="F471">
            <v>0</v>
          </cell>
        </row>
        <row r="472">
          <cell r="E472">
            <v>18</v>
          </cell>
          <cell r="F472">
            <v>0</v>
          </cell>
        </row>
        <row r="473">
          <cell r="E473">
            <v>18</v>
          </cell>
          <cell r="F473">
            <v>47</v>
          </cell>
        </row>
        <row r="474">
          <cell r="E474">
            <v>18.5</v>
          </cell>
          <cell r="F474">
            <v>48</v>
          </cell>
        </row>
        <row r="475">
          <cell r="E475">
            <v>18.5</v>
          </cell>
          <cell r="F475">
            <v>114</v>
          </cell>
        </row>
        <row r="476">
          <cell r="E476">
            <v>15</v>
          </cell>
          <cell r="F476">
            <v>21</v>
          </cell>
        </row>
        <row r="477">
          <cell r="E477">
            <v>17</v>
          </cell>
          <cell r="F477">
            <v>55</v>
          </cell>
        </row>
        <row r="478">
          <cell r="E478">
            <v>55</v>
          </cell>
          <cell r="F478">
            <v>0</v>
          </cell>
        </row>
        <row r="479">
          <cell r="E479">
            <v>0</v>
          </cell>
          <cell r="F479">
            <v>0</v>
          </cell>
        </row>
        <row r="480">
          <cell r="E480">
            <v>24</v>
          </cell>
          <cell r="F480">
            <v>23</v>
          </cell>
        </row>
        <row r="481">
          <cell r="E481">
            <v>35</v>
          </cell>
          <cell r="F481">
            <v>14</v>
          </cell>
        </row>
        <row r="482">
          <cell r="E482">
            <v>15</v>
          </cell>
          <cell r="F482">
            <v>0</v>
          </cell>
        </row>
        <row r="483">
          <cell r="E483">
            <v>3.8</v>
          </cell>
          <cell r="F483">
            <v>443</v>
          </cell>
        </row>
        <row r="484">
          <cell r="E484">
            <v>0.5</v>
          </cell>
          <cell r="F484">
            <v>58</v>
          </cell>
        </row>
        <row r="485">
          <cell r="E485">
            <v>15</v>
          </cell>
          <cell r="F485">
            <v>44</v>
          </cell>
        </row>
        <row r="486">
          <cell r="E486">
            <v>25</v>
          </cell>
          <cell r="F486">
            <v>0</v>
          </cell>
        </row>
        <row r="487">
          <cell r="E487">
            <v>37</v>
          </cell>
          <cell r="F487">
            <v>44</v>
          </cell>
        </row>
        <row r="488">
          <cell r="E488">
            <v>2</v>
          </cell>
          <cell r="F488">
            <v>3</v>
          </cell>
        </row>
        <row r="489">
          <cell r="E489">
            <v>1.75</v>
          </cell>
          <cell r="F489">
            <v>12</v>
          </cell>
        </row>
        <row r="490">
          <cell r="E490">
            <v>1</v>
          </cell>
          <cell r="F490">
            <v>0</v>
          </cell>
        </row>
        <row r="491">
          <cell r="E491">
            <v>0.8</v>
          </cell>
          <cell r="F491">
            <v>0</v>
          </cell>
        </row>
        <row r="492">
          <cell r="E492">
            <v>5</v>
          </cell>
          <cell r="F492">
            <v>22</v>
          </cell>
        </row>
        <row r="493">
          <cell r="E493">
            <v>65</v>
          </cell>
          <cell r="F493">
            <v>0</v>
          </cell>
        </row>
        <row r="494">
          <cell r="E494">
            <v>7</v>
          </cell>
          <cell r="F494">
            <v>0</v>
          </cell>
        </row>
        <row r="495">
          <cell r="E495">
            <v>40</v>
          </cell>
          <cell r="F495">
            <v>1</v>
          </cell>
        </row>
        <row r="496">
          <cell r="E496">
            <v>75</v>
          </cell>
          <cell r="F496">
            <v>0</v>
          </cell>
        </row>
        <row r="497">
          <cell r="E497">
            <v>0.1</v>
          </cell>
          <cell r="F497">
            <v>163</v>
          </cell>
        </row>
        <row r="498">
          <cell r="E498">
            <v>53</v>
          </cell>
          <cell r="F498">
            <v>0</v>
          </cell>
        </row>
        <row r="499">
          <cell r="E499">
            <v>2.5</v>
          </cell>
          <cell r="F499">
            <v>0</v>
          </cell>
        </row>
        <row r="500">
          <cell r="E500">
            <v>6.5</v>
          </cell>
          <cell r="F500">
            <v>0</v>
          </cell>
        </row>
        <row r="501">
          <cell r="E501">
            <v>0.5</v>
          </cell>
          <cell r="F501">
            <v>0</v>
          </cell>
        </row>
        <row r="502">
          <cell r="E502">
            <v>1.6</v>
          </cell>
          <cell r="F502">
            <v>28</v>
          </cell>
        </row>
        <row r="503">
          <cell r="E503">
            <v>5.5</v>
          </cell>
          <cell r="F503">
            <v>0</v>
          </cell>
        </row>
        <row r="504">
          <cell r="E504">
            <v>7</v>
          </cell>
          <cell r="F504">
            <v>36</v>
          </cell>
        </row>
        <row r="505">
          <cell r="E505">
            <v>7</v>
          </cell>
          <cell r="F505">
            <v>36</v>
          </cell>
        </row>
        <row r="506">
          <cell r="E506">
            <v>28</v>
          </cell>
          <cell r="F506">
            <v>4</v>
          </cell>
        </row>
        <row r="507">
          <cell r="E507">
            <v>4.25</v>
          </cell>
          <cell r="F507">
            <v>35</v>
          </cell>
        </row>
        <row r="508">
          <cell r="E508">
            <v>3</v>
          </cell>
          <cell r="F508">
            <v>0</v>
          </cell>
        </row>
        <row r="509">
          <cell r="E509">
            <v>4</v>
          </cell>
          <cell r="F509">
            <v>9</v>
          </cell>
        </row>
        <row r="510">
          <cell r="E510">
            <v>7</v>
          </cell>
          <cell r="F510">
            <v>10</v>
          </cell>
        </row>
        <row r="511">
          <cell r="E511">
            <v>7.5</v>
          </cell>
          <cell r="F511">
            <v>7</v>
          </cell>
        </row>
        <row r="512">
          <cell r="E512">
            <v>0.5</v>
          </cell>
          <cell r="F512">
            <v>932</v>
          </cell>
        </row>
        <row r="513">
          <cell r="E513">
            <v>2.25</v>
          </cell>
          <cell r="F513">
            <v>4</v>
          </cell>
        </row>
        <row r="514">
          <cell r="E514">
            <v>6</v>
          </cell>
          <cell r="F514">
            <v>2</v>
          </cell>
        </row>
        <row r="515">
          <cell r="E515">
            <v>0</v>
          </cell>
          <cell r="F515">
            <v>0</v>
          </cell>
        </row>
        <row r="516">
          <cell r="E516">
            <v>3.75</v>
          </cell>
          <cell r="F516">
            <v>67</v>
          </cell>
        </row>
        <row r="517">
          <cell r="E517">
            <v>5.5</v>
          </cell>
          <cell r="F517">
            <v>1</v>
          </cell>
        </row>
        <row r="518">
          <cell r="E518">
            <v>6</v>
          </cell>
          <cell r="F518">
            <v>0</v>
          </cell>
        </row>
        <row r="519">
          <cell r="E519">
            <v>3.25</v>
          </cell>
          <cell r="F519">
            <v>0</v>
          </cell>
        </row>
        <row r="520">
          <cell r="E520">
            <v>5</v>
          </cell>
          <cell r="F520">
            <v>0</v>
          </cell>
        </row>
        <row r="521">
          <cell r="E521">
            <v>6</v>
          </cell>
          <cell r="F521">
            <v>10</v>
          </cell>
        </row>
        <row r="522">
          <cell r="E522">
            <v>1.98</v>
          </cell>
          <cell r="F522">
            <v>0</v>
          </cell>
        </row>
        <row r="523">
          <cell r="E523">
            <v>12</v>
          </cell>
          <cell r="F523">
            <v>0</v>
          </cell>
        </row>
        <row r="524">
          <cell r="E524">
            <v>14</v>
          </cell>
          <cell r="F524">
            <v>0</v>
          </cell>
        </row>
        <row r="525">
          <cell r="E525">
            <v>20</v>
          </cell>
          <cell r="F525">
            <v>0</v>
          </cell>
        </row>
        <row r="526">
          <cell r="E526">
            <v>33.799999999999997</v>
          </cell>
          <cell r="F526">
            <v>0</v>
          </cell>
        </row>
        <row r="527">
          <cell r="E527">
            <v>7.5</v>
          </cell>
          <cell r="F527">
            <v>1</v>
          </cell>
        </row>
        <row r="528">
          <cell r="E528">
            <v>5.75</v>
          </cell>
          <cell r="F528">
            <v>0</v>
          </cell>
        </row>
        <row r="529">
          <cell r="E529">
            <v>14</v>
          </cell>
          <cell r="F529">
            <v>0</v>
          </cell>
        </row>
        <row r="530">
          <cell r="E530">
            <v>100</v>
          </cell>
          <cell r="F530">
            <v>2</v>
          </cell>
        </row>
        <row r="531">
          <cell r="E531">
            <v>15</v>
          </cell>
          <cell r="F531">
            <v>0</v>
          </cell>
        </row>
        <row r="532">
          <cell r="E532">
            <v>17</v>
          </cell>
          <cell r="F532">
            <v>0</v>
          </cell>
        </row>
        <row r="533">
          <cell r="E533">
            <v>8.3699999999999992</v>
          </cell>
          <cell r="F533">
            <v>1</v>
          </cell>
        </row>
        <row r="534">
          <cell r="E534">
            <v>16.2</v>
          </cell>
          <cell r="F534">
            <v>0</v>
          </cell>
        </row>
        <row r="535">
          <cell r="E535">
            <v>18.5</v>
          </cell>
          <cell r="F535">
            <v>1</v>
          </cell>
        </row>
        <row r="536">
          <cell r="E536">
            <v>28</v>
          </cell>
          <cell r="F536">
            <v>0</v>
          </cell>
        </row>
        <row r="537">
          <cell r="E537">
            <v>55</v>
          </cell>
          <cell r="F537">
            <v>0</v>
          </cell>
        </row>
        <row r="538">
          <cell r="E538">
            <v>13</v>
          </cell>
          <cell r="F538">
            <v>0</v>
          </cell>
        </row>
        <row r="539">
          <cell r="E539">
            <v>3</v>
          </cell>
          <cell r="F539">
            <v>43</v>
          </cell>
        </row>
        <row r="540">
          <cell r="E540">
            <v>2.75</v>
          </cell>
          <cell r="F540">
            <v>304</v>
          </cell>
        </row>
        <row r="541">
          <cell r="E541">
            <v>1</v>
          </cell>
          <cell r="F541">
            <v>905</v>
          </cell>
        </row>
        <row r="542">
          <cell r="E542">
            <v>2</v>
          </cell>
          <cell r="F542">
            <v>858</v>
          </cell>
        </row>
        <row r="543">
          <cell r="E543">
            <v>24</v>
          </cell>
          <cell r="F543">
            <v>0</v>
          </cell>
        </row>
        <row r="544">
          <cell r="E544">
            <v>3.5</v>
          </cell>
          <cell r="F544">
            <v>0</v>
          </cell>
        </row>
        <row r="545">
          <cell r="E545">
            <v>6.4</v>
          </cell>
          <cell r="F545">
            <v>6</v>
          </cell>
        </row>
        <row r="546">
          <cell r="E546">
            <v>8.5</v>
          </cell>
          <cell r="F546">
            <v>0</v>
          </cell>
        </row>
        <row r="547">
          <cell r="E547">
            <v>0</v>
          </cell>
          <cell r="F547">
            <v>0</v>
          </cell>
        </row>
        <row r="548">
          <cell r="E548">
            <v>10</v>
          </cell>
          <cell r="F548">
            <v>3</v>
          </cell>
        </row>
        <row r="549">
          <cell r="E549">
            <v>0.08</v>
          </cell>
          <cell r="F549">
            <v>890</v>
          </cell>
        </row>
        <row r="550">
          <cell r="E550">
            <v>1.5</v>
          </cell>
          <cell r="F550">
            <v>12</v>
          </cell>
        </row>
        <row r="551">
          <cell r="E551">
            <v>1.65</v>
          </cell>
          <cell r="F551">
            <v>168</v>
          </cell>
        </row>
        <row r="552">
          <cell r="E552">
            <v>0.11</v>
          </cell>
          <cell r="F552">
            <v>0</v>
          </cell>
        </row>
        <row r="553">
          <cell r="E553">
            <v>2</v>
          </cell>
          <cell r="F553">
            <v>0</v>
          </cell>
        </row>
        <row r="554">
          <cell r="E554">
            <v>0.38</v>
          </cell>
          <cell r="F554">
            <v>250</v>
          </cell>
        </row>
        <row r="555">
          <cell r="E555">
            <v>3.5</v>
          </cell>
          <cell r="F555">
            <v>0</v>
          </cell>
        </row>
        <row r="556">
          <cell r="E556">
            <v>0.22</v>
          </cell>
          <cell r="F556">
            <v>0</v>
          </cell>
        </row>
        <row r="557">
          <cell r="E557">
            <v>0.5</v>
          </cell>
          <cell r="F557">
            <v>249</v>
          </cell>
        </row>
        <row r="558">
          <cell r="E558">
            <v>1.4E-2</v>
          </cell>
          <cell r="F558">
            <v>50</v>
          </cell>
        </row>
        <row r="559">
          <cell r="E559">
            <v>0.75</v>
          </cell>
          <cell r="F559">
            <v>111</v>
          </cell>
        </row>
        <row r="560">
          <cell r="E560">
            <v>0.75</v>
          </cell>
          <cell r="F560">
            <v>40</v>
          </cell>
        </row>
        <row r="561">
          <cell r="E561">
            <v>0.2</v>
          </cell>
          <cell r="F561">
            <v>0</v>
          </cell>
        </row>
        <row r="562">
          <cell r="E562">
            <v>25</v>
          </cell>
          <cell r="F562">
            <v>0</v>
          </cell>
        </row>
        <row r="563">
          <cell r="E563">
            <v>40</v>
          </cell>
          <cell r="F563">
            <v>0</v>
          </cell>
        </row>
        <row r="564">
          <cell r="E564">
            <v>75</v>
          </cell>
          <cell r="F564">
            <v>0</v>
          </cell>
        </row>
        <row r="565">
          <cell r="E565">
            <v>25</v>
          </cell>
          <cell r="F565">
            <v>0</v>
          </cell>
        </row>
        <row r="566">
          <cell r="E566">
            <v>1.75</v>
          </cell>
          <cell r="F566">
            <v>42</v>
          </cell>
        </row>
        <row r="567">
          <cell r="E567">
            <v>7.5</v>
          </cell>
          <cell r="F567">
            <v>7</v>
          </cell>
        </row>
        <row r="568">
          <cell r="E568">
            <v>3.125</v>
          </cell>
          <cell r="F568">
            <v>16.5</v>
          </cell>
        </row>
        <row r="569">
          <cell r="E569">
            <v>2.2000000000000002</v>
          </cell>
          <cell r="F569">
            <v>11</v>
          </cell>
        </row>
        <row r="570">
          <cell r="E570">
            <v>2</v>
          </cell>
          <cell r="F570">
            <v>0</v>
          </cell>
        </row>
        <row r="571">
          <cell r="E571">
            <v>0.54</v>
          </cell>
          <cell r="F571">
            <v>0</v>
          </cell>
        </row>
        <row r="572">
          <cell r="E572">
            <v>2.5</v>
          </cell>
          <cell r="F572">
            <v>0</v>
          </cell>
        </row>
        <row r="573">
          <cell r="E573">
            <v>6.875</v>
          </cell>
          <cell r="F573">
            <v>2</v>
          </cell>
        </row>
        <row r="574">
          <cell r="E574">
            <v>13.125</v>
          </cell>
          <cell r="F574">
            <v>2</v>
          </cell>
        </row>
        <row r="575">
          <cell r="E575">
            <v>3</v>
          </cell>
          <cell r="F575">
            <v>544</v>
          </cell>
        </row>
        <row r="576">
          <cell r="E576">
            <v>22.5</v>
          </cell>
          <cell r="F576">
            <v>0</v>
          </cell>
        </row>
        <row r="577">
          <cell r="E577">
            <v>5.5</v>
          </cell>
          <cell r="F577">
            <v>3451</v>
          </cell>
        </row>
        <row r="578">
          <cell r="E578">
            <v>3.5</v>
          </cell>
          <cell r="F578">
            <v>79</v>
          </cell>
        </row>
        <row r="579">
          <cell r="E579">
            <v>3.5</v>
          </cell>
          <cell r="F579">
            <v>4025</v>
          </cell>
        </row>
        <row r="580">
          <cell r="E580">
            <v>42.5</v>
          </cell>
          <cell r="F580">
            <v>0</v>
          </cell>
        </row>
        <row r="581">
          <cell r="E581">
            <v>4</v>
          </cell>
          <cell r="F581">
            <v>7</v>
          </cell>
        </row>
        <row r="582">
          <cell r="E582">
            <v>185</v>
          </cell>
          <cell r="F582">
            <v>2</v>
          </cell>
        </row>
        <row r="583">
          <cell r="E583">
            <v>10</v>
          </cell>
          <cell r="F583">
            <v>0</v>
          </cell>
        </row>
        <row r="584">
          <cell r="E584">
            <v>40</v>
          </cell>
          <cell r="F584">
            <v>0</v>
          </cell>
        </row>
        <row r="585">
          <cell r="E585">
            <v>22</v>
          </cell>
          <cell r="F585">
            <v>7</v>
          </cell>
        </row>
        <row r="586">
          <cell r="E586">
            <v>28</v>
          </cell>
          <cell r="F586">
            <v>7</v>
          </cell>
        </row>
        <row r="587">
          <cell r="E587">
            <v>18</v>
          </cell>
          <cell r="F587">
            <v>0</v>
          </cell>
        </row>
        <row r="588">
          <cell r="E588">
            <v>7</v>
          </cell>
          <cell r="F588">
            <v>0</v>
          </cell>
        </row>
        <row r="589">
          <cell r="E589">
            <v>14</v>
          </cell>
          <cell r="F589">
            <v>0</v>
          </cell>
        </row>
        <row r="590">
          <cell r="E590">
            <v>32</v>
          </cell>
          <cell r="F590">
            <v>57</v>
          </cell>
        </row>
        <row r="591">
          <cell r="E591">
            <v>15</v>
          </cell>
          <cell r="F591">
            <v>84</v>
          </cell>
        </row>
        <row r="592">
          <cell r="E592">
            <v>30</v>
          </cell>
          <cell r="F592">
            <v>0</v>
          </cell>
        </row>
        <row r="593">
          <cell r="E593">
            <v>8.5</v>
          </cell>
          <cell r="F593">
            <v>0</v>
          </cell>
        </row>
        <row r="594">
          <cell r="E594">
            <v>38</v>
          </cell>
          <cell r="F594">
            <v>0</v>
          </cell>
        </row>
        <row r="595">
          <cell r="E595">
            <v>120</v>
          </cell>
          <cell r="F595">
            <v>0</v>
          </cell>
        </row>
        <row r="596">
          <cell r="E596">
            <v>65</v>
          </cell>
          <cell r="F596">
            <v>1</v>
          </cell>
        </row>
        <row r="597">
          <cell r="E597">
            <v>55</v>
          </cell>
          <cell r="F597">
            <v>0</v>
          </cell>
        </row>
        <row r="598">
          <cell r="E598">
            <v>90</v>
          </cell>
          <cell r="F598">
            <v>1</v>
          </cell>
        </row>
        <row r="599">
          <cell r="E599">
            <v>4</v>
          </cell>
          <cell r="F599">
            <v>0</v>
          </cell>
        </row>
        <row r="600">
          <cell r="E600">
            <v>32</v>
          </cell>
          <cell r="F600">
            <v>0</v>
          </cell>
        </row>
        <row r="601">
          <cell r="E601">
            <v>11</v>
          </cell>
          <cell r="F601">
            <v>1</v>
          </cell>
        </row>
        <row r="602">
          <cell r="E602">
            <v>27</v>
          </cell>
          <cell r="F602">
            <v>86</v>
          </cell>
        </row>
        <row r="603">
          <cell r="E603">
            <v>8.5</v>
          </cell>
          <cell r="F603">
            <v>1</v>
          </cell>
        </row>
        <row r="604">
          <cell r="E604">
            <v>28</v>
          </cell>
          <cell r="F604">
            <v>1</v>
          </cell>
        </row>
        <row r="605">
          <cell r="E605">
            <v>16</v>
          </cell>
          <cell r="F605">
            <v>0</v>
          </cell>
        </row>
        <row r="606">
          <cell r="E606">
            <v>25</v>
          </cell>
          <cell r="F606">
            <v>0</v>
          </cell>
        </row>
        <row r="607">
          <cell r="E607">
            <v>55</v>
          </cell>
          <cell r="F607">
            <v>0</v>
          </cell>
        </row>
        <row r="608">
          <cell r="E608">
            <v>1</v>
          </cell>
          <cell r="F608">
            <v>0</v>
          </cell>
        </row>
        <row r="609">
          <cell r="E609">
            <v>55</v>
          </cell>
          <cell r="F609">
            <v>0</v>
          </cell>
        </row>
        <row r="610">
          <cell r="E610">
            <v>15</v>
          </cell>
          <cell r="F610">
            <v>54.300000000000004</v>
          </cell>
        </row>
        <row r="611">
          <cell r="E611">
            <v>25</v>
          </cell>
          <cell r="F611">
            <v>5</v>
          </cell>
        </row>
        <row r="612">
          <cell r="E612">
            <v>37</v>
          </cell>
          <cell r="F612">
            <v>0</v>
          </cell>
        </row>
        <row r="613">
          <cell r="E613">
            <v>60</v>
          </cell>
          <cell r="F613">
            <v>5</v>
          </cell>
        </row>
        <row r="614">
          <cell r="E614">
            <v>50</v>
          </cell>
          <cell r="F614">
            <v>5.72</v>
          </cell>
        </row>
        <row r="615">
          <cell r="E615">
            <v>17</v>
          </cell>
          <cell r="F615">
            <v>0</v>
          </cell>
        </row>
        <row r="616">
          <cell r="E616">
            <v>1.5</v>
          </cell>
          <cell r="F616">
            <v>1</v>
          </cell>
        </row>
        <row r="617">
          <cell r="E617">
            <v>7</v>
          </cell>
          <cell r="F617">
            <v>0</v>
          </cell>
        </row>
        <row r="618">
          <cell r="E618">
            <v>9</v>
          </cell>
          <cell r="F618">
            <v>13</v>
          </cell>
        </row>
        <row r="619">
          <cell r="E619">
            <v>8</v>
          </cell>
          <cell r="F619">
            <v>81</v>
          </cell>
        </row>
        <row r="620">
          <cell r="E620">
            <v>163.5</v>
          </cell>
          <cell r="F620">
            <v>221</v>
          </cell>
        </row>
        <row r="621">
          <cell r="E621">
            <v>150</v>
          </cell>
          <cell r="F621">
            <v>0</v>
          </cell>
        </row>
        <row r="622">
          <cell r="E622">
            <v>150</v>
          </cell>
          <cell r="F622">
            <v>0</v>
          </cell>
        </row>
        <row r="623">
          <cell r="E623">
            <v>8</v>
          </cell>
          <cell r="F623">
            <v>0</v>
          </cell>
        </row>
        <row r="624">
          <cell r="E624">
            <v>0.1</v>
          </cell>
          <cell r="F624">
            <v>2006</v>
          </cell>
        </row>
        <row r="625">
          <cell r="E625">
            <v>0.5</v>
          </cell>
          <cell r="F625">
            <v>0</v>
          </cell>
        </row>
        <row r="626">
          <cell r="E626">
            <v>1.1499999999999999</v>
          </cell>
          <cell r="F626">
            <v>0</v>
          </cell>
        </row>
        <row r="627">
          <cell r="E627">
            <v>3.5</v>
          </cell>
          <cell r="F627">
            <v>40</v>
          </cell>
        </row>
        <row r="628">
          <cell r="E628">
            <v>14</v>
          </cell>
          <cell r="F628">
            <v>0</v>
          </cell>
        </row>
        <row r="629">
          <cell r="E629">
            <v>100</v>
          </cell>
          <cell r="F629">
            <v>0</v>
          </cell>
        </row>
        <row r="630">
          <cell r="E630">
            <v>54</v>
          </cell>
          <cell r="F630">
            <v>1</v>
          </cell>
        </row>
        <row r="631">
          <cell r="E631">
            <v>57</v>
          </cell>
          <cell r="F631">
            <v>0</v>
          </cell>
        </row>
        <row r="632">
          <cell r="E632">
            <v>81</v>
          </cell>
          <cell r="F632">
            <v>0</v>
          </cell>
        </row>
        <row r="633">
          <cell r="E633">
            <v>83</v>
          </cell>
          <cell r="F633">
            <v>2</v>
          </cell>
        </row>
        <row r="634">
          <cell r="E634">
            <v>93</v>
          </cell>
          <cell r="F634">
            <v>0</v>
          </cell>
        </row>
        <row r="635">
          <cell r="E635">
            <v>107</v>
          </cell>
          <cell r="F635">
            <v>1.5</v>
          </cell>
        </row>
        <row r="636">
          <cell r="E636">
            <v>121.5</v>
          </cell>
          <cell r="F636">
            <v>2</v>
          </cell>
        </row>
        <row r="637">
          <cell r="E637">
            <v>125</v>
          </cell>
          <cell r="F637">
            <v>4</v>
          </cell>
        </row>
        <row r="638">
          <cell r="E638">
            <v>133</v>
          </cell>
          <cell r="F638">
            <v>0</v>
          </cell>
        </row>
        <row r="639">
          <cell r="E639">
            <v>139</v>
          </cell>
          <cell r="F639">
            <v>0</v>
          </cell>
        </row>
        <row r="640">
          <cell r="E640">
            <v>190</v>
          </cell>
          <cell r="F640">
            <v>2.3069999999999986</v>
          </cell>
        </row>
        <row r="641">
          <cell r="E641">
            <v>200</v>
          </cell>
          <cell r="F641">
            <v>5.600000000000005E-2</v>
          </cell>
        </row>
        <row r="642">
          <cell r="E642">
            <v>135</v>
          </cell>
          <cell r="F642">
            <v>0.89999999999999991</v>
          </cell>
        </row>
        <row r="643">
          <cell r="E643">
            <v>265</v>
          </cell>
          <cell r="F643">
            <v>0</v>
          </cell>
        </row>
        <row r="644">
          <cell r="E644">
            <v>450</v>
          </cell>
          <cell r="F644">
            <v>1.3250000000000008</v>
          </cell>
        </row>
        <row r="645">
          <cell r="E645">
            <v>0.75</v>
          </cell>
          <cell r="F645">
            <v>193</v>
          </cell>
        </row>
        <row r="646">
          <cell r="E646">
            <v>37</v>
          </cell>
          <cell r="F646">
            <v>0</v>
          </cell>
        </row>
        <row r="647">
          <cell r="E647">
            <v>10</v>
          </cell>
          <cell r="F647">
            <v>0</v>
          </cell>
        </row>
        <row r="648">
          <cell r="E648">
            <v>10</v>
          </cell>
          <cell r="F648">
            <v>0</v>
          </cell>
        </row>
        <row r="649">
          <cell r="E649">
            <v>5</v>
          </cell>
          <cell r="F649">
            <v>0</v>
          </cell>
        </row>
        <row r="650">
          <cell r="E650">
            <v>11</v>
          </cell>
          <cell r="F650">
            <v>0</v>
          </cell>
        </row>
        <row r="651">
          <cell r="E651">
            <v>12.75</v>
          </cell>
          <cell r="F651">
            <v>0</v>
          </cell>
        </row>
        <row r="652">
          <cell r="E652">
            <v>6.3</v>
          </cell>
          <cell r="F652">
            <v>0</v>
          </cell>
        </row>
        <row r="653">
          <cell r="E653">
            <v>2.5</v>
          </cell>
          <cell r="F653">
            <v>4</v>
          </cell>
        </row>
        <row r="654">
          <cell r="E654">
            <v>2.25</v>
          </cell>
          <cell r="F654">
            <v>72.839999999999989</v>
          </cell>
        </row>
        <row r="655">
          <cell r="E655">
            <v>0.1</v>
          </cell>
          <cell r="F655">
            <v>0</v>
          </cell>
        </row>
        <row r="656">
          <cell r="E656">
            <v>25</v>
          </cell>
          <cell r="F656">
            <v>1</v>
          </cell>
        </row>
        <row r="657">
          <cell r="E657">
            <v>0.85</v>
          </cell>
          <cell r="F657">
            <v>13</v>
          </cell>
        </row>
        <row r="658">
          <cell r="E658">
            <v>30</v>
          </cell>
          <cell r="F658">
            <v>0</v>
          </cell>
        </row>
        <row r="659">
          <cell r="E659">
            <v>15</v>
          </cell>
          <cell r="F659">
            <v>117</v>
          </cell>
        </row>
        <row r="660">
          <cell r="E660">
            <v>0</v>
          </cell>
          <cell r="F660">
            <v>4</v>
          </cell>
        </row>
        <row r="661">
          <cell r="E661">
            <v>0</v>
          </cell>
          <cell r="F661">
            <v>11</v>
          </cell>
        </row>
        <row r="662">
          <cell r="E662">
            <v>2</v>
          </cell>
          <cell r="F662">
            <v>3</v>
          </cell>
        </row>
        <row r="663">
          <cell r="E663">
            <v>3</v>
          </cell>
          <cell r="F663">
            <v>0</v>
          </cell>
        </row>
        <row r="664">
          <cell r="E664">
            <v>0</v>
          </cell>
          <cell r="F664">
            <v>22</v>
          </cell>
        </row>
        <row r="665">
          <cell r="E665">
            <v>0</v>
          </cell>
          <cell r="F665">
            <v>8</v>
          </cell>
        </row>
        <row r="666">
          <cell r="E666">
            <v>0</v>
          </cell>
          <cell r="F666">
            <v>0</v>
          </cell>
        </row>
        <row r="667">
          <cell r="E667">
            <v>13</v>
          </cell>
          <cell r="F667">
            <v>1</v>
          </cell>
        </row>
        <row r="668">
          <cell r="E668">
            <v>0</v>
          </cell>
          <cell r="F668">
            <v>3</v>
          </cell>
        </row>
        <row r="669">
          <cell r="E669">
            <v>65</v>
          </cell>
          <cell r="F669">
            <v>1</v>
          </cell>
        </row>
        <row r="670">
          <cell r="E670">
            <v>0.85</v>
          </cell>
          <cell r="F670">
            <v>29</v>
          </cell>
        </row>
        <row r="671">
          <cell r="E671">
            <v>0.3</v>
          </cell>
          <cell r="F671">
            <v>0</v>
          </cell>
        </row>
        <row r="672">
          <cell r="E672">
            <v>0</v>
          </cell>
          <cell r="F672">
            <v>7</v>
          </cell>
        </row>
        <row r="673">
          <cell r="E673">
            <v>0</v>
          </cell>
          <cell r="F673">
            <v>12</v>
          </cell>
        </row>
        <row r="674">
          <cell r="E674">
            <v>2</v>
          </cell>
          <cell r="F674">
            <v>12</v>
          </cell>
        </row>
        <row r="675">
          <cell r="E675">
            <v>0</v>
          </cell>
          <cell r="F675">
            <v>6</v>
          </cell>
        </row>
        <row r="676">
          <cell r="E676">
            <v>0</v>
          </cell>
          <cell r="F676">
            <v>20</v>
          </cell>
        </row>
        <row r="677">
          <cell r="E677">
            <v>0.2</v>
          </cell>
          <cell r="F677">
            <v>267</v>
          </cell>
        </row>
        <row r="678">
          <cell r="E678">
            <v>0.9</v>
          </cell>
          <cell r="F678">
            <v>0</v>
          </cell>
        </row>
        <row r="679">
          <cell r="E679">
            <v>0</v>
          </cell>
          <cell r="F679">
            <v>22</v>
          </cell>
        </row>
        <row r="680">
          <cell r="E680">
            <v>0</v>
          </cell>
          <cell r="F680">
            <v>1</v>
          </cell>
        </row>
        <row r="681">
          <cell r="E681">
            <v>0</v>
          </cell>
          <cell r="F681">
            <v>1</v>
          </cell>
        </row>
        <row r="682">
          <cell r="E682">
            <v>0</v>
          </cell>
          <cell r="F682">
            <v>10</v>
          </cell>
        </row>
        <row r="683">
          <cell r="E683">
            <v>0</v>
          </cell>
          <cell r="F683">
            <v>5</v>
          </cell>
        </row>
        <row r="684">
          <cell r="E684">
            <v>3</v>
          </cell>
          <cell r="F684">
            <v>12</v>
          </cell>
        </row>
        <row r="685">
          <cell r="E685">
            <v>0</v>
          </cell>
          <cell r="F685">
            <v>56</v>
          </cell>
        </row>
        <row r="686">
          <cell r="E686">
            <v>216</v>
          </cell>
          <cell r="F686">
            <v>47</v>
          </cell>
        </row>
        <row r="687">
          <cell r="E687">
            <v>0.6</v>
          </cell>
          <cell r="F687">
            <v>0</v>
          </cell>
        </row>
        <row r="688">
          <cell r="E688">
            <v>20</v>
          </cell>
          <cell r="F688">
            <v>17</v>
          </cell>
        </row>
        <row r="689">
          <cell r="E689">
            <v>12</v>
          </cell>
          <cell r="F689">
            <v>6</v>
          </cell>
        </row>
        <row r="690">
          <cell r="E690">
            <v>0</v>
          </cell>
          <cell r="F690">
            <v>48</v>
          </cell>
        </row>
        <row r="691">
          <cell r="E691">
            <v>13</v>
          </cell>
          <cell r="F691">
            <v>6</v>
          </cell>
        </row>
        <row r="692">
          <cell r="E692">
            <v>25</v>
          </cell>
          <cell r="F692">
            <v>1</v>
          </cell>
        </row>
        <row r="693">
          <cell r="E693">
            <v>95</v>
          </cell>
          <cell r="F693">
            <v>4</v>
          </cell>
        </row>
        <row r="694">
          <cell r="E694">
            <v>0</v>
          </cell>
          <cell r="F694">
            <v>17</v>
          </cell>
        </row>
        <row r="695">
          <cell r="E695">
            <v>0</v>
          </cell>
          <cell r="F695">
            <v>40</v>
          </cell>
        </row>
        <row r="696">
          <cell r="E696">
            <v>3</v>
          </cell>
          <cell r="F696">
            <v>53</v>
          </cell>
        </row>
        <row r="697">
          <cell r="E697">
            <v>0</v>
          </cell>
          <cell r="F697">
            <v>39</v>
          </cell>
        </row>
        <row r="698">
          <cell r="E698">
            <v>3.75</v>
          </cell>
          <cell r="F698">
            <v>0</v>
          </cell>
        </row>
        <row r="699">
          <cell r="E699">
            <v>9</v>
          </cell>
          <cell r="F699">
            <v>0</v>
          </cell>
        </row>
        <row r="700">
          <cell r="E700">
            <v>3</v>
          </cell>
          <cell r="F700">
            <v>54</v>
          </cell>
        </row>
        <row r="701">
          <cell r="E701">
            <v>0</v>
          </cell>
          <cell r="F701">
            <v>20</v>
          </cell>
        </row>
        <row r="702">
          <cell r="E702">
            <v>0</v>
          </cell>
          <cell r="F702">
            <v>19</v>
          </cell>
        </row>
        <row r="703">
          <cell r="E703">
            <v>35</v>
          </cell>
          <cell r="F703">
            <v>0</v>
          </cell>
        </row>
        <row r="704">
          <cell r="E704">
            <v>0</v>
          </cell>
          <cell r="F704">
            <v>0</v>
          </cell>
        </row>
        <row r="705">
          <cell r="E705">
            <v>0.9</v>
          </cell>
          <cell r="F705">
            <v>0</v>
          </cell>
        </row>
        <row r="706">
          <cell r="E706">
            <v>0</v>
          </cell>
          <cell r="F706">
            <v>38</v>
          </cell>
        </row>
        <row r="707">
          <cell r="E707">
            <v>0</v>
          </cell>
          <cell r="F707">
            <v>5</v>
          </cell>
        </row>
        <row r="708">
          <cell r="E708">
            <v>0</v>
          </cell>
          <cell r="F708">
            <v>4</v>
          </cell>
        </row>
        <row r="709">
          <cell r="E709">
            <v>2</v>
          </cell>
          <cell r="F709">
            <v>0</v>
          </cell>
        </row>
        <row r="710">
          <cell r="E710">
            <v>1</v>
          </cell>
          <cell r="F710">
            <v>907</v>
          </cell>
        </row>
        <row r="711">
          <cell r="E711">
            <v>0</v>
          </cell>
          <cell r="F711">
            <v>7</v>
          </cell>
        </row>
        <row r="712">
          <cell r="E712">
            <v>6</v>
          </cell>
          <cell r="F712">
            <v>6</v>
          </cell>
        </row>
        <row r="713">
          <cell r="E713">
            <v>0</v>
          </cell>
          <cell r="F713">
            <v>18</v>
          </cell>
        </row>
        <row r="714">
          <cell r="E714">
            <v>0</v>
          </cell>
          <cell r="F714">
            <v>19</v>
          </cell>
        </row>
        <row r="715">
          <cell r="E715">
            <v>0</v>
          </cell>
          <cell r="F715">
            <v>12</v>
          </cell>
        </row>
        <row r="716">
          <cell r="E716">
            <v>0</v>
          </cell>
          <cell r="F716">
            <v>17</v>
          </cell>
        </row>
        <row r="717">
          <cell r="E717">
            <v>0</v>
          </cell>
          <cell r="F717">
            <v>2</v>
          </cell>
        </row>
        <row r="718">
          <cell r="E718">
            <v>0</v>
          </cell>
          <cell r="F718">
            <v>0</v>
          </cell>
        </row>
        <row r="719">
          <cell r="E719">
            <v>0</v>
          </cell>
          <cell r="F719">
            <v>14</v>
          </cell>
        </row>
        <row r="720">
          <cell r="E720">
            <v>0</v>
          </cell>
          <cell r="F720">
            <v>38</v>
          </cell>
        </row>
        <row r="721">
          <cell r="E721">
            <v>0</v>
          </cell>
          <cell r="F721">
            <v>75</v>
          </cell>
        </row>
        <row r="722">
          <cell r="E722">
            <v>0</v>
          </cell>
          <cell r="F722">
            <v>4</v>
          </cell>
        </row>
        <row r="723">
          <cell r="E723">
            <v>250</v>
          </cell>
          <cell r="F723">
            <v>0</v>
          </cell>
        </row>
        <row r="724">
          <cell r="E724">
            <v>2.5363000000000002</v>
          </cell>
          <cell r="F724">
            <v>76</v>
          </cell>
        </row>
        <row r="725">
          <cell r="E725">
            <v>95</v>
          </cell>
          <cell r="F725">
            <v>4</v>
          </cell>
        </row>
        <row r="726">
          <cell r="E726">
            <v>12</v>
          </cell>
          <cell r="F726">
            <v>0</v>
          </cell>
        </row>
        <row r="727">
          <cell r="E727">
            <v>4.1500000000000004</v>
          </cell>
          <cell r="F727">
            <v>3</v>
          </cell>
        </row>
        <row r="728">
          <cell r="E728">
            <v>11.62</v>
          </cell>
          <cell r="F728">
            <v>0</v>
          </cell>
        </row>
        <row r="729">
          <cell r="E729">
            <v>10</v>
          </cell>
          <cell r="F729">
            <v>17</v>
          </cell>
        </row>
        <row r="730">
          <cell r="E730">
            <v>650</v>
          </cell>
          <cell r="F730">
            <v>0</v>
          </cell>
        </row>
        <row r="731">
          <cell r="E731">
            <v>14</v>
          </cell>
          <cell r="F731">
            <v>49</v>
          </cell>
        </row>
        <row r="732">
          <cell r="E732">
            <v>8</v>
          </cell>
          <cell r="F732">
            <v>1</v>
          </cell>
        </row>
        <row r="733">
          <cell r="E733">
            <v>25</v>
          </cell>
          <cell r="F733">
            <v>0</v>
          </cell>
        </row>
        <row r="734">
          <cell r="E734">
            <v>0</v>
          </cell>
          <cell r="F734">
            <v>46</v>
          </cell>
        </row>
        <row r="735">
          <cell r="E735">
            <v>0</v>
          </cell>
          <cell r="F735">
            <v>11</v>
          </cell>
        </row>
        <row r="736">
          <cell r="E736">
            <v>0</v>
          </cell>
          <cell r="F736">
            <v>0</v>
          </cell>
        </row>
        <row r="737">
          <cell r="E737">
            <v>0</v>
          </cell>
          <cell r="F737">
            <v>12</v>
          </cell>
        </row>
        <row r="738">
          <cell r="E738">
            <v>5</v>
          </cell>
          <cell r="F738">
            <v>2</v>
          </cell>
        </row>
        <row r="739">
          <cell r="E739">
            <v>0</v>
          </cell>
          <cell r="F739">
            <v>0</v>
          </cell>
        </row>
        <row r="740">
          <cell r="E740">
            <v>0</v>
          </cell>
          <cell r="F740">
            <v>39</v>
          </cell>
        </row>
        <row r="741">
          <cell r="E741">
            <v>1.5</v>
          </cell>
          <cell r="F741">
            <v>16</v>
          </cell>
        </row>
        <row r="742">
          <cell r="E742">
            <v>0</v>
          </cell>
          <cell r="F742">
            <v>34</v>
          </cell>
        </row>
        <row r="743">
          <cell r="E743">
            <v>0</v>
          </cell>
          <cell r="F743">
            <v>3</v>
          </cell>
        </row>
        <row r="744">
          <cell r="E744">
            <v>0</v>
          </cell>
          <cell r="F744">
            <v>0</v>
          </cell>
        </row>
        <row r="745">
          <cell r="E745">
            <v>0</v>
          </cell>
          <cell r="F745">
            <v>18</v>
          </cell>
        </row>
        <row r="746">
          <cell r="E746">
            <v>0</v>
          </cell>
          <cell r="F746">
            <v>6</v>
          </cell>
        </row>
        <row r="747">
          <cell r="E747">
            <v>1</v>
          </cell>
          <cell r="F747">
            <v>0</v>
          </cell>
        </row>
        <row r="748">
          <cell r="E748">
            <v>0</v>
          </cell>
          <cell r="F748">
            <v>0</v>
          </cell>
        </row>
        <row r="749">
          <cell r="E749">
            <v>0</v>
          </cell>
          <cell r="F749">
            <v>14</v>
          </cell>
        </row>
        <row r="750">
          <cell r="E750">
            <v>0</v>
          </cell>
          <cell r="F750">
            <v>6</v>
          </cell>
        </row>
        <row r="751">
          <cell r="E751">
            <v>0</v>
          </cell>
          <cell r="F751">
            <v>13</v>
          </cell>
        </row>
        <row r="752">
          <cell r="E752">
            <v>5</v>
          </cell>
          <cell r="F752">
            <v>3</v>
          </cell>
        </row>
        <row r="753">
          <cell r="E753">
            <v>0</v>
          </cell>
          <cell r="F753">
            <v>32</v>
          </cell>
        </row>
        <row r="754">
          <cell r="E754">
            <v>0</v>
          </cell>
          <cell r="F754">
            <v>1</v>
          </cell>
        </row>
        <row r="755">
          <cell r="E755">
            <v>30</v>
          </cell>
          <cell r="F755">
            <v>3</v>
          </cell>
        </row>
        <row r="756">
          <cell r="E756">
            <v>2</v>
          </cell>
          <cell r="F756">
            <v>4</v>
          </cell>
        </row>
        <row r="757">
          <cell r="E757">
            <v>0.5</v>
          </cell>
          <cell r="F757">
            <v>56</v>
          </cell>
        </row>
        <row r="758">
          <cell r="E758">
            <v>185</v>
          </cell>
          <cell r="F758">
            <v>6.3299999999999995E-2</v>
          </cell>
        </row>
        <row r="759">
          <cell r="E759">
            <v>0</v>
          </cell>
          <cell r="F759">
            <v>2</v>
          </cell>
        </row>
        <row r="760">
          <cell r="E760">
            <v>0</v>
          </cell>
          <cell r="F760">
            <v>1</v>
          </cell>
        </row>
        <row r="761">
          <cell r="E761">
            <v>0</v>
          </cell>
          <cell r="F761">
            <v>5</v>
          </cell>
        </row>
        <row r="762">
          <cell r="E762">
            <v>0</v>
          </cell>
          <cell r="F762">
            <v>1</v>
          </cell>
        </row>
        <row r="763">
          <cell r="E763">
            <v>0</v>
          </cell>
          <cell r="F763">
            <v>46</v>
          </cell>
        </row>
        <row r="764">
          <cell r="E764">
            <v>0</v>
          </cell>
          <cell r="F764">
            <v>74</v>
          </cell>
        </row>
        <row r="765">
          <cell r="E765">
            <v>0</v>
          </cell>
          <cell r="F765">
            <v>10</v>
          </cell>
        </row>
        <row r="766">
          <cell r="E766">
            <v>0</v>
          </cell>
          <cell r="F766">
            <v>34</v>
          </cell>
        </row>
        <row r="767">
          <cell r="E767">
            <v>2</v>
          </cell>
          <cell r="F767">
            <v>10</v>
          </cell>
        </row>
        <row r="768">
          <cell r="E768">
            <v>15</v>
          </cell>
          <cell r="F768">
            <v>0</v>
          </cell>
        </row>
        <row r="769">
          <cell r="E769">
            <v>0</v>
          </cell>
          <cell r="F769">
            <v>0</v>
          </cell>
        </row>
        <row r="770">
          <cell r="E770">
            <v>0</v>
          </cell>
          <cell r="F770">
            <v>3</v>
          </cell>
        </row>
        <row r="771">
          <cell r="E771">
            <v>6.5</v>
          </cell>
          <cell r="F771">
            <v>11</v>
          </cell>
        </row>
        <row r="772">
          <cell r="E772">
            <v>0</v>
          </cell>
          <cell r="F772">
            <v>37</v>
          </cell>
        </row>
        <row r="773">
          <cell r="E773">
            <v>0</v>
          </cell>
          <cell r="F773">
            <v>5</v>
          </cell>
        </row>
        <row r="774">
          <cell r="E774">
            <v>0</v>
          </cell>
          <cell r="F774">
            <v>15</v>
          </cell>
        </row>
        <row r="775">
          <cell r="E775">
            <v>0</v>
          </cell>
          <cell r="F775">
            <v>4</v>
          </cell>
        </row>
        <row r="776">
          <cell r="E776">
            <v>0</v>
          </cell>
          <cell r="F776">
            <v>1</v>
          </cell>
        </row>
        <row r="777">
          <cell r="E777">
            <v>0</v>
          </cell>
          <cell r="F777">
            <v>1</v>
          </cell>
        </row>
        <row r="778">
          <cell r="E778">
            <v>0</v>
          </cell>
          <cell r="F778">
            <v>5</v>
          </cell>
        </row>
        <row r="779">
          <cell r="E779">
            <v>0</v>
          </cell>
          <cell r="F779">
            <v>7</v>
          </cell>
        </row>
        <row r="780">
          <cell r="E780">
            <v>0.3</v>
          </cell>
          <cell r="F780">
            <v>171</v>
          </cell>
        </row>
        <row r="781">
          <cell r="E781">
            <v>0</v>
          </cell>
          <cell r="F781">
            <v>105</v>
          </cell>
        </row>
        <row r="782">
          <cell r="E782">
            <v>0</v>
          </cell>
          <cell r="F782">
            <v>3</v>
          </cell>
        </row>
        <row r="783">
          <cell r="E783">
            <v>0</v>
          </cell>
          <cell r="F783">
            <v>1</v>
          </cell>
        </row>
        <row r="784">
          <cell r="E784">
            <v>20</v>
          </cell>
          <cell r="F784">
            <v>1.94</v>
          </cell>
        </row>
        <row r="785">
          <cell r="E785">
            <v>25</v>
          </cell>
          <cell r="F785">
            <v>2.6799999999999997</v>
          </cell>
        </row>
        <row r="786">
          <cell r="E786">
            <v>0</v>
          </cell>
          <cell r="F786">
            <v>26</v>
          </cell>
        </row>
        <row r="787">
          <cell r="E787">
            <v>0</v>
          </cell>
          <cell r="F787">
            <v>15</v>
          </cell>
        </row>
        <row r="788">
          <cell r="E788">
            <v>0</v>
          </cell>
          <cell r="F788">
            <v>0</v>
          </cell>
        </row>
        <row r="789">
          <cell r="E789">
            <v>20</v>
          </cell>
          <cell r="F789">
            <v>0</v>
          </cell>
        </row>
        <row r="790">
          <cell r="E790">
            <v>20</v>
          </cell>
          <cell r="F790">
            <v>1</v>
          </cell>
        </row>
        <row r="791">
          <cell r="E791">
            <v>1</v>
          </cell>
          <cell r="F791">
            <v>9</v>
          </cell>
        </row>
        <row r="792">
          <cell r="E792">
            <v>10.72</v>
          </cell>
          <cell r="F792">
            <v>111</v>
          </cell>
        </row>
        <row r="793">
          <cell r="E793">
            <v>13.4762</v>
          </cell>
          <cell r="F793">
            <v>69</v>
          </cell>
        </row>
        <row r="794">
          <cell r="E794">
            <v>0</v>
          </cell>
          <cell r="F794">
            <v>57</v>
          </cell>
        </row>
        <row r="795">
          <cell r="E795">
            <v>0.4</v>
          </cell>
          <cell r="F795">
            <v>0</v>
          </cell>
        </row>
        <row r="796">
          <cell r="E796">
            <v>0.6</v>
          </cell>
          <cell r="F796">
            <v>4</v>
          </cell>
        </row>
        <row r="797">
          <cell r="E797">
            <v>28</v>
          </cell>
          <cell r="F797">
            <v>5</v>
          </cell>
        </row>
        <row r="798">
          <cell r="E798">
            <v>1.2</v>
          </cell>
          <cell r="F798">
            <v>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sheetName val="Adapter Nipple 1&quot;   3 4 Gazoil"/>
      <sheetName val="Adapter Nipple For pvc welding "/>
      <sheetName val="Adapter shower PPR 1 2 25"/>
      <sheetName val="Adpter PPR 3 4 1 2 Thermal"/>
      <sheetName val="Adpter UPVC 90 110_x0009_"/>
      <sheetName val="Air Adpter With Nipple Hose Air"/>
      <sheetName val="Air Cap  2.5&quot; PVC_x0009_"/>
      <sheetName val="Air Cap  4&quot; PVC_x0009_"/>
      <sheetName val="Air Cap 1.5&quot; PVC_x0009_"/>
      <sheetName val="Cap 1.5&quot; UPVC Gray"/>
      <sheetName val="Cap 4&quot; UPVC Gray"/>
      <sheetName val="Cap 2&quot; UPVC Gray"/>
      <sheetName val="Cap 2.5&quot; UPVC Gray"/>
      <sheetName val="Cap 3&quot; UPVC Gray"/>
      <sheetName val="Air Cooler Float Export"/>
      <sheetName val="Air Split 6mm Galvanis"/>
      <sheetName val="Automatic Water Pump  KP-36"/>
      <sheetName val="Automatic Water Pump 1 8Bar 4KW"/>
      <sheetName val="Automatic Water Pump 3P  8Bar"/>
      <sheetName val="Automatic Water Pump Star PS-3c"/>
      <sheetName val="Banyo Bathrooms Fiberglass_x0009__x0009_"/>
      <sheetName val="Base Ceramic Wash Basin Vitra 5"/>
      <sheetName val="Base Shower Squear  80 80cm"/>
      <sheetName val="Base Shower Squear With Mirror "/>
      <sheetName val="East Toilet Flush "/>
      <sheetName val="Base Shower With Mirror 90 90_x0009_"/>
      <sheetName val="Base Steel Brush+Base Kleenex R"/>
      <sheetName val="Base Western Toilet Vitra 5780B"/>
      <sheetName val="Bathroom Drain steel 10 10cm"/>
      <sheetName val="Bathroom Drain steel 15 15cm"/>
      <sheetName val="Big Manhole Box Plastic 50 50cm"/>
      <sheetName val="Black Cover Filter Water_x0009__x0009__x0009__x0009_"/>
      <sheetName val="Black Hose Gas 20cm 60mm Whit C"/>
      <sheetName val="Black Pipe 1 2 Carbon Steel 6mt"/>
      <sheetName val="Black Pipe 3 4 Carbon Steel 6mt"/>
      <sheetName val="Black Pipe Insulator 1&quot; 180cm"/>
      <sheetName val="Black Pipe Insulator 2&quot; 180cm"/>
      <sheetName val="Agriculture Pipe Rubble 6&quot;"/>
      <sheetName val="Boiler 106 Liter(American)"/>
      <sheetName val="Boiler 114Liter(Brad Ford)"/>
      <sheetName val="Boiler 114Liter(American)"/>
      <sheetName val="Boiler 151Liter(Brad Ford)"/>
      <sheetName val="Boiler 189Liter(American)"/>
      <sheetName val="Boiler 189Liter(Brad Ford)"/>
      <sheetName val="Boiler Kodsan"/>
      <sheetName val="Heater Element Boiler Kodsan  "/>
      <sheetName val="Boiler 303Liter(Brad Ford)"/>
      <sheetName val="Boiler 303Liter(American)"/>
      <sheetName val="Boiler 400Liter(American)"/>
      <sheetName val="Boiler 450Liter(Brad Ford)"/>
      <sheetName val="Boiler 45Liter(Brad Ford)"/>
      <sheetName val="Boiler 50Liter(Electric house)"/>
      <sheetName val="Boiler 72Liter(Brad Ford) "/>
      <sheetName val="Boiler Italy Brass 3.5kw D-55 C"/>
      <sheetName val="Boiler GMO"/>
      <sheetName val="Boiler Heatex 45.5L"/>
      <sheetName val="Boiler Ariston"/>
      <sheetName val="Box Manhole Plastic  30 30cm "/>
      <sheetName val="Box Manhole Plastic  40 40cm "/>
      <sheetName val="Box Paper Towel Holder"/>
      <sheetName val="Brass Hose 1 2"/>
      <sheetName val="Brass Hose 1 2 3 4 Truper"/>
      <sheetName val="Brass travsition Female 1.25&quot; h"/>
      <sheetName val="Brass travsition Female 1.5&quot; hd"/>
      <sheetName val="Brass travsition Female 2&quot; hdpe"/>
      <sheetName val="Brush Cleaner Toilet Base Glass"/>
      <sheetName val="Cap  1.25 PPR"/>
      <sheetName val="Cap  1.5&quot; PPR"/>
      <sheetName val="Cap  1.5&quot; PVC_x0009_"/>
      <sheetName val="Cap  2.5&quot; PVC_x0009_"/>
      <sheetName val="Cap  3 4 PPR"/>
      <sheetName val="Cap  4&quot; PVC"/>
      <sheetName val="Cap  5&quot; UPVC WITH WASHER "/>
      <sheetName val="Cap  6&quot; PVC_x0009_"/>
      <sheetName val="Cap 1&quot; PPR"/>
      <sheetName val="Cap 2&quot; Gazoil"/>
      <sheetName val="Cap 2&quot; PPR"/>
      <sheetName val="Ceramic Wash Basin normal "/>
      <sheetName val="Ceramic Wash Basin Toota 111"/>
      <sheetName val="Ceramic Wash Basin Toota 222"/>
      <sheetName val="Ceramic Wash Basin Turki EGE"/>
      <sheetName val="Ceramic Wash Basin Vitra 5504B0"/>
      <sheetName val="Check Valve 1&quot; Iron"/>
      <sheetName val="Check Valve 1.25"/>
      <sheetName val="Check Valve 1.5&quot; UPVC"/>
      <sheetName val="Check Valve 1.5"/>
      <sheetName val="Check Valve 0.5"/>
      <sheetName val="Check Valve 2&quot; Iron"/>
      <sheetName val="Check Valve 2.5&quot; Gazoil"/>
      <sheetName val="Check Valve 2.5&quot; Iron_x0009_"/>
      <sheetName val="Check Valve 3 4"/>
      <sheetName val="Check Valve 3&quot; Galvanize"/>
      <sheetName val="Chemical Toilet"/>
      <sheetName val="Clamp 4&quot; Duct Galvanis Flex"/>
      <sheetName val="Clamp Agricultural 4&quot;"/>
      <sheetName val="Clamp Home 19mm  "/>
      <sheetName val="Clamp Hose  10mm"/>
      <sheetName val="Clamp Hose "/>
      <sheetName val="Clamp Hose Water"/>
      <sheetName val="Clamp Water Hose 2&quot;_x0009__x0009__x0009__x0009_"/>
      <sheetName val="Clean Out 1.5&quot; PVC"/>
      <sheetName val="Clean Out 2.5&quot; PVC "/>
      <sheetName val="Clean Out 4&quot; PVC"/>
      <sheetName val="Clean Out 6&quot; PVC_x0009_"/>
      <sheetName val="Clear Armor Hose Water 2&quot; "/>
      <sheetName val="Clear Armor Hose Water 6&quot; "/>
      <sheetName val="Clear Hose Water 1 2"/>
      <sheetName val="Clear Hose Water 2&quot; "/>
      <sheetName val="Cloth Holder Double Steel"/>
      <sheetName val="Cloth Holder Pipe Steel"/>
      <sheetName val="Cloth Holder Triple Steel"/>
      <sheetName val="Coupling PVC Washer Turki "/>
      <sheetName val="Coupling PVC Washer Turki  6"/>
      <sheetName val="Coupling   1.25&quot; PPR"/>
      <sheetName val="Coupling  2.5&quot; UPVC Washer"/>
      <sheetName val="Coupling  PVC 1.5&quot;_x0009_"/>
      <sheetName val="Coupling 1 2  Galvanis"/>
      <sheetName val="Coupling 1 2 Gazoil  "/>
      <sheetName val="Coupling 1 2 PPR"/>
      <sheetName val="Coupling 1 2&quot; Gaz Male&amp;Female 6"/>
      <sheetName val="Coupling 1&quot;  Agricultura 32mm"/>
      <sheetName val="Coupling 1&quot;  Galvanis"/>
      <sheetName val="Coupling 1&quot; Gazoil   _x0009_"/>
      <sheetName val="Coupling 1&quot; PPR_x0009_"/>
      <sheetName val="Coupling 1&quot; UPVC"/>
      <sheetName val="Coupling 1.25&quot; hdpe agriculture"/>
      <sheetName val="Coupling 1.5&quot; Galvanis "/>
      <sheetName val="Coupling 1.5&quot; PPR"/>
      <sheetName val="Coupling 2&quot; Galvanis"/>
      <sheetName val="Coupling 2.5&quot; Galvanis"/>
      <sheetName val="Coupling 2&quot; hdpe agriculture"/>
      <sheetName val="Coupling 2&quot;PVC"/>
      <sheetName val="Coupling 2&quot; PPR"/>
      <sheetName val="Coupling 2.5&quot; PVC_x0009_"/>
      <sheetName val="Coupling 3 4 Galvanis"/>
      <sheetName val="Coupling 3 4 Gaz "/>
      <sheetName val="Coupling 3 4 PPR_x0009_"/>
      <sheetName val="Coupling 3 4&quot; UPVC"/>
      <sheetName val="Coupling 2&quot; UPVC"/>
      <sheetName val="Coupling 1 2&quot; UPVC"/>
      <sheetName val="Coupling 1.25&quot; Galvanis"/>
      <sheetName val="Coupling 1.25&quot; UPVC"/>
      <sheetName val="Coupling 1.5&quot; UPVC"/>
      <sheetName val="Coupling 3&quot; UPVC Gray"/>
      <sheetName val="Coupling 3&quot;  Galvanis"/>
      <sheetName val="Coupling 3&quot; hdpe agriculture"/>
      <sheetName val="Coupling 4&quot; Galvanis"/>
      <sheetName val="Coupling 4&quot; hdpe agriculture"/>
      <sheetName val="Coupling 4&quot; PVC"/>
      <sheetName val="Coupling 4&quot; UPVC Gray "/>
      <sheetName val="Coupling 5&quot; PVC turkey with was"/>
      <sheetName val="Coupling 8&quot; PVC turkey with was"/>
      <sheetName val="Coupling 2.5&quot; PVC turkey with w"/>
      <sheetName val="Coupling 6&quot; PVC"/>
      <sheetName val="Coupling Agricultural 1.5&quot;"/>
      <sheetName val="Coupling Agricultural 2&quot;"/>
      <sheetName val="Coupling Agricultural 2.5&quot;"/>
      <sheetName val="Cover Shakil 2&quot; Iron"/>
      <sheetName val="Cover Shakil 4&quot; Iron"/>
      <sheetName val="Cover Western Toilet (Normal)_x0009_"/>
      <sheetName val="Cover Western Toilet Vitra 9400"/>
      <sheetName val="Drain Plastic 20 20cm"/>
      <sheetName val="Drain Plastic 15 15cm Manhole"/>
      <sheetName val="Elbow  1&quot; 45° Iron Fire"/>
      <sheetName val="Elbow  1&quot; 45° Iron Fire Long"/>
      <sheetName val="Elbow  1.5&quot; 45° Iron Fire"/>
      <sheetName val="Elbow  2&quot; 45° Iron Fire"/>
      <sheetName val="Elbow  3 4 45° Iron Fire"/>
      <sheetName val="Elbow  3 4 90° Iron Fire"/>
      <sheetName val="Elbow  1 2 90° Iron Fire"/>
      <sheetName val="Elbow  1 2 45° Iron Fire"/>
      <sheetName val="Split T  Gazoil 1 2  Iron Fire"/>
      <sheetName val="Split T  Gazoil 3 4  Iron Fire"/>
      <sheetName val="Split T  Gazoil 1 Iron Fire"/>
      <sheetName val="Coupling Gazoil 1 2  Iron Fire"/>
      <sheetName val="Coupling Gazoil 1  Iron Fire"/>
      <sheetName val="Coupling Gazoil 3 4  Iron Fire"/>
      <sheetName val="Reducer Gazoil  1 2 3 4  Iron F"/>
      <sheetName val="Elbow  1&quot; 90° Iron Fire"/>
      <sheetName val="Elbow  45°  4&quot; PVC"/>
      <sheetName val="Elbow  45°  6&quot; PVC"/>
      <sheetName val="Elbow  90°  2.5&quot; PVC_x0009_"/>
      <sheetName val="Elbow  90°  4&quot; PVC"/>
      <sheetName val="Elbow  90°  6&quot; PVC"/>
      <sheetName val="Elbow 3.5&quot; 45 PVC"/>
      <sheetName val="Elbow 4&quot; 90 Galvanis"/>
      <sheetName val="Elbow 4&quot; 90° PVC Long"/>
      <sheetName val="Elbow 45 3 4 UPVC_x0009_"/>
      <sheetName val="Elbow 45°  1&quot; Galvanis"/>
      <sheetName val="Elbow 45°  1.5&quot; Turki "/>
      <sheetName val="Elbow 45°  2.5&quot; Turki "/>
      <sheetName val="Elbow 45°  3 4 PPR"/>
      <sheetName val="Elbow 45° 1 2&quot; Gazoil "/>
      <sheetName val="Elbow 45° 1&quot; PPR"/>
      <sheetName val="Elbow 45° 1&quot; UPVC"/>
      <sheetName val="Elbow 45° 1.25&quot; UPVC"/>
      <sheetName val="Elbow 45° 1.5&quot; PPR"/>
      <sheetName val="Elbow 45° 1.5&quot; PVC_x0009_"/>
      <sheetName val="Elbow 45° 2&quot; PPR white"/>
      <sheetName val="Elbow 45° 2&quot; UPVC"/>
      <sheetName val="Elbow 45° 2.5&quot; PPR"/>
      <sheetName val="Elbow 45° 2.5&quot; PVC"/>
      <sheetName val="Elbow 45° 3&quot; UPVC"/>
      <sheetName val="Elbow 45° 4&quot; PVC Washer Turki "/>
      <sheetName val="Elbow 90 1 2&quot; Galvanis"/>
      <sheetName val="Elbow 90 3 4 UPVC_x0009_"/>
      <sheetName val="Elbow 90 4&quot; UPVC Gray "/>
      <sheetName val="Elbow 90°  1&quot; Galvanis"/>
      <sheetName val="Elbow 90°  1.25&quot; Galvanis"/>
      <sheetName val="Elbow 90°  1.25&quot;PPR"/>
      <sheetName val="Elbow 90°  1.5&quot; Galvanis"/>
      <sheetName val="Elbow 90°  2.5&quot; PPR"/>
      <sheetName val="Elbow 90°  2.5&quot; Turki "/>
      <sheetName val="Elbow 90°  3 4 Galvanis"/>
      <sheetName val="Elbow 90°  4&quot; Galvanis"/>
      <sheetName val="Elbow 90°  3&quot; Galvanis"/>
      <sheetName val="Elbow 90°  6&quot; Turki "/>
      <sheetName val="Elbow 45°  6&quot; Turki "/>
      <sheetName val="Elbow 90° 1 2 PPR"/>
      <sheetName val="Elbow 90° 1 2 UPVC"/>
      <sheetName val="Elbow 90° 1 2&quot; Gazoil "/>
      <sheetName val="Elbow 90° 1.25 UPVC"/>
      <sheetName val="Elbow 90° 1&quot; Agricultural "/>
      <sheetName val="Elbow 90° 1&quot; Gazoil "/>
      <sheetName val="Elbow 90° 1&quot; PPR"/>
      <sheetName val="Elbow 90° 1&quot; UPVC"/>
      <sheetName val="Elbow 90° 1.25&quot; Agricultural"/>
      <sheetName val="Elbow 90° 1.5&quot; Agricultural "/>
      <sheetName val="Elbow 90° 1.5&quot; PPR"/>
      <sheetName val="Elbow 90° 1.5&quot; PVC_x0009_"/>
      <sheetName val="Elbow 90° 1.5&quot; Turki "/>
      <sheetName val="Elbow 90° 1.5&quot; UPVC"/>
      <sheetName val="Elbow 90° 2&quot; UPVC Gray"/>
      <sheetName val="Elbow 90° 6&quot; PVC"/>
      <sheetName val="Elbow 90° 2&quot; Agricultural "/>
      <sheetName val="Elbow 90° 2&quot; Galvanis "/>
      <sheetName val="Elbow 90° 2&quot; Gazoil "/>
      <sheetName val="Elbow 90° 2&quot; PPR"/>
      <sheetName val="Elbow 90° 2&quot; UPVC"/>
      <sheetName val="Elbow 90° 2.5&quot; Galvanis"/>
      <sheetName val="Elbow 90° 2.5&quot; UPVC Gray"/>
      <sheetName val="Elbow 90° 3 4 PPR"/>
      <sheetName val="Elbow 90° 3 4&quot; Gazoil "/>
      <sheetName val="Elbow 90° 3&quot;  hdpe agriculture"/>
      <sheetName val="Elbow 90° 3&quot; UPVC "/>
      <sheetName val="Elbow 90° 4&quot;  hdpe agriculture"/>
      <sheetName val="Elbow 90°  4&quot;PVC Washer Turki "/>
      <sheetName val="Elbow Agricultural 2.5&quot; 90°"/>
      <sheetName val="Elbow Gazoil  45° 3 4 Black"/>
      <sheetName val="Elbow Valve Air 12mm"/>
      <sheetName val="End Cap 1.25&quot; hdpe agriculture"/>
      <sheetName val="End Cap 1.5&quot; hdpe agriculture"/>
      <sheetName val="End Cap 2&quot; hdpe agriculture"/>
      <sheetName val="End Cap 3&quot; hdpe agriculture"/>
      <sheetName val="End Cap 4&quot; hdpe agriculture"/>
      <sheetName val="Female  Union 1.5&quot; Galvanis"/>
      <sheetName val="Female  Union 2&quot; Galvanis "/>
      <sheetName val="Female + Male Reducer Galvanis "/>
      <sheetName val="Female + Male Reducer 2&quot; 2&quot; "/>
      <sheetName val="Female + Male Reducer 3 4  3 4 "/>
      <sheetName val="Female adpeter 1.25&quot; PPR"/>
      <sheetName val="Female adpeter Agricultura 2.5&quot;"/>
      <sheetName val="Female adpeter Agricultura 4&quot;"/>
      <sheetName val="Female Adpter 1 2  PPR"/>
      <sheetName val="Female Adpter  2&quot; PPR"/>
      <sheetName val="Female adpeter 1.5&quot; PPR"/>
      <sheetName val="Female adpeter 2.5&quot; PPR"/>
      <sheetName val="Female Adpter 1&quot;  PPR"/>
      <sheetName val="Female Adpter 1&quot; 3 4 PPR+Iron"/>
      <sheetName val="Female Adapter 1.5&quot; Upvc "/>
      <sheetName val="Female Adpter 1&quot; UPVC"/>
      <sheetName val="Female Adpter 4&quot;   1.5 UPVC"/>
      <sheetName val="Female Adpter 3 4   1 2  PPR"/>
      <sheetName val="Female Adpter 3 4   3 4  PPR"/>
      <sheetName val="Female Adpter 3 4  PPR"/>
      <sheetName val="Female Cap 1&quot; Galvanis"/>
      <sheetName val="Female Cap 1.5&quot; Galvanis"/>
      <sheetName val="Female Cap 2&quot; Galvanis "/>
      <sheetName val="Female Cap 3 4  Galvanis"/>
      <sheetName val="Female Cap 3&quot; Galvanis "/>
      <sheetName val="Female Cap 4&quot;  Galvanis _x0009_"/>
      <sheetName val="Female Elbow 90 1 2 25mm PPR Gr"/>
      <sheetName val="Female Elbow 90 1 3 4mm PPR Gre"/>
      <sheetName val="Female Elbow 90 1&quot; PPR "/>
      <sheetName val="Female Elbow 90° 1 2   1 2&quot; PPR"/>
      <sheetName val="Female Elbow 90° 3 4   3 4&quot; PPR"/>
      <sheetName val="Female Elbow 90° 3 4 PPR"/>
      <sheetName val="Female Iron Union 1 2 PPR"/>
      <sheetName val="Female Iron Union 1&quot; PPR"/>
      <sheetName val="Female Iron Union 2&quot; PPR"/>
      <sheetName val="Female Iron union Shakil 2&quot;_x0009__x0009__x0009__x0009_"/>
      <sheetName val="Female Iron union Shakil 2.5&quot;"/>
      <sheetName val=" Female Reducer 1&quot; 1.5&quot; Galvani"/>
      <sheetName val=" Female Reducer 1&quot; 1.25&quot; Galvan"/>
      <sheetName val=" Female Reducer 2&quot; 1.5&quot; Galvani"/>
      <sheetName val=" Female Reducer 1.5&quot; 0.5&quot; Galva"/>
      <sheetName val="Female Reducer 1&quot; 3 4 Galvanis"/>
      <sheetName val="Female Reducer 1&quot; 3&quot; Galvanis"/>
      <sheetName val="Female Reducer 1.5&quot; 2.5&quot;"/>
      <sheetName val="Female Reducer 2&quot; 3&quot; Galvanis"/>
      <sheetName val="Female Reducer 3 4 1.25&quot;"/>
      <sheetName val="Female Split T 1 2 1 2 PPR"/>
      <sheetName val="Female Split T 1 2 3 4 PPR "/>
      <sheetName val="Female Split T 1&quot; 32mm PPR "/>
      <sheetName val="Female Split T 1&quot; PPR"/>
      <sheetName val="Female Split T 3 4  32mm PPR "/>
      <sheetName val="Female Split T 3 4 PPR "/>
      <sheetName val="Female Union 1.5&quot; PPR+Galvanis"/>
      <sheetName val="Female Union Iron +PPR 1.25&quot;  4"/>
      <sheetName val="Female Union Iron+PPR 3 4"/>
      <sheetName val="Female Uonion 3&quot; Shakil"/>
      <sheetName val="Female uonion 4&quot; Shakil_x0009__x0009__x0009__x0009_"/>
      <sheetName val="Festo Connector Steel  1 2&quot; "/>
      <sheetName val="Filter Water UV 505"/>
      <sheetName val="Flange Adaptor 2.5&quot; Galvanize"/>
      <sheetName val="Flange Adaptor 2.5&quot; hdpe agricu"/>
      <sheetName val="Flange Adaptor 3&quot; Galvanize"/>
      <sheetName val="Flange Adaptor 3&quot; hdpe agricult"/>
      <sheetName val="Flange Adaptor 4&quot; Galvanize"/>
      <sheetName val="Float Switch Cable type Fluip L"/>
      <sheetName val="Float Switch Cable type Water L"/>
      <sheetName val="Float Switch Fluip  2&quot; For Tank"/>
      <sheetName val="Float Switch Fluip 1 2 For Tank"/>
      <sheetName val="Float Switch Fluip 1.5&quot; For Tan"/>
      <sheetName val="Full Shower System RAMADA"/>
      <sheetName val="Galvanized Flange 3&quot; for hdpe a"/>
      <sheetName val="Garden Hose 1 2 50Foot ACE"/>
      <sheetName val="Gate Duct 4&quot; Galvanis Flex"/>
      <sheetName val="Guage different types  "/>
      <sheetName val="Glass Shower 6mm AKD 90 90 180c"/>
      <sheetName val="Guage Compresor 25Par"/>
      <sheetName val="Gutter Aspects Plastic"/>
      <sheetName val="Gutter Plastic  50 13cm With Co"/>
      <sheetName val="Gutter Plastic 50 13cm With slo"/>
      <sheetName val="Gutter Plastic 50 20cm Cover St"/>
      <sheetName val="Gutter Steel 7.5cm  40cm"/>
      <sheetName val="Handle Pump Wash"/>
      <sheetName val="Head Bath Bidet Sprayer Vitra 3"/>
      <sheetName val="Hose 1 2 13mm Air,Gas,Hydroulic"/>
      <sheetName val="Hose 1&quot; Agricultural "/>
      <sheetName val="Hose 4mm"/>
      <sheetName val="Hose Agricultural 2.5&quot;"/>
      <sheetName val="Hose Agricultural 3&quot;"/>
      <sheetName val="Hose Black Water  1.5"/>
      <sheetName val="Hose Black Water  6&quot;"/>
      <sheetName val="Hose Black Water  8&quot;"/>
      <sheetName val="Hose Black Water  2&quot;"/>
      <sheetName val="Hose Black Water  4&quot;"/>
      <sheetName val="Hose Clear 12mm "/>
      <sheetName val="Hose Drain Wash Bain 1.5&quot;"/>
      <sheetName val="Hose Drain Wash Basin_x0009_"/>
      <sheetName val="Hose Drain Wash Basin double_x0009__x0009_"/>
      <sheetName val="Hose Drain Wash Basin Vitra 32m"/>
      <sheetName val="Hose Gas 1 2&quot; "/>
      <sheetName val="Hose Nipple Air Elbow 1 2 12mm"/>
      <sheetName val="Hose Shower Ilyapy_x0009__x0009__x0009__x0009_"/>
      <sheetName val="Hose Steel Shower"/>
      <sheetName val="Hose Toilet 60 1 2cm"/>
      <sheetName val="Hose Urinal 3 4 "/>
      <sheetName val="Hose Wash Basin 60cm 3 8  20576"/>
      <sheetName val="Hose Washer Machine"/>
      <sheetName val="Hose Water 1&quot;_x0009_"/>
      <sheetName val="Hose Water 1.5&quot; Blue 25m"/>
      <sheetName val="Hose Water Clear 3&quot;"/>
      <sheetName val="Iron Air Adpter 1 4 1 2 "/>
      <sheetName val="Iron Clamp Hose Water 3&quot;"/>
      <sheetName val="Iron Clamp Hose Water 4&quot;_x0009_"/>
      <sheetName val="Iron Coupling Hose 2&quot;"/>
      <sheetName val="Iron Cover Getter Ahin 29 49cm "/>
      <sheetName val="Iron Manhole Ahin With Cover 75"/>
      <sheetName val="Iron Pipe 1 2&quot; Gas"/>
      <sheetName val="Iron Pipe 1&quot; Gas"/>
      <sheetName val="Iron Pipe 2&quot; Gas"/>
      <sheetName val="Iron Pipe 3 4 Gas"/>
      <sheetName val="Lamp Filter Water UV 85cm"/>
      <sheetName val="Liquid Soap Holder Plastic"/>
      <sheetName val="Liquid Soap Holder Steel  "/>
      <sheetName val="Lock For Clamp Hose Water 1.5&quot;&amp;"/>
      <sheetName val=" Clamp  1&quot;1 4 Iron"/>
      <sheetName val="Long Spring Mixer Sink _x0009__x0009_"/>
      <sheetName val="Male Adapter Agricultura 1&quot;"/>
      <sheetName val="Male Adapter Agricultura 3 4&quot;"/>
      <sheetName val="Male Adpeter 2&quot; UPVC "/>
      <sheetName val="male Adpeter Agricultura 1.5&quot;"/>
      <sheetName val="male Adpeter Agricultura 2&quot;"/>
      <sheetName val="male adpeter Agricultura 4&quot;_x0009_"/>
      <sheetName val="Male Adpter 1&quot;  PPR"/>
      <sheetName val="Male Adpter 1.25&quot;  PPR"/>
      <sheetName val="Male Adpter 1.5&quot;  PPR"/>
      <sheetName val="Male Adpter 2&quot; For Tank Water "/>
      <sheetName val="Male Adpter 2&quot; PPR "/>
      <sheetName val="Male Adpter 3 4   3 4  PPR"/>
      <sheetName val="Male Adpter 3 4  PPR"/>
      <sheetName val="Male Adpter 1&quot; UPVC Gray "/>
      <sheetName val="Male Adpter 1 2&quot; UPVC Gray "/>
      <sheetName val="Male Adpter 1.25&quot; UPVC Gray "/>
      <sheetName val="Male Adpter 1.5&quot; UPVC Gray "/>
      <sheetName val="Male Adpter 2.5&quot;  PPR"/>
      <sheetName val="Male Adpter 4&quot; UPVC Gray "/>
      <sheetName val="Male Adpter Agricultural 2.5&quot;"/>
      <sheetName val="Male Cap 1 2  Galvanis "/>
      <sheetName val="Male Cap 1 2 &quot; Gazoil"/>
      <sheetName val="Male Cap 1 2 PPR "/>
      <sheetName val="Male Cap 3 4 PPR "/>
      <sheetName val="Male Cap 1 PPR "/>
      <sheetName val="Cap 1 Gazoil "/>
      <sheetName val="Male Cap 1&quot;  Galvanis "/>
      <sheetName val="Male Cap 1.5&quot;  Galvanis "/>
      <sheetName val="Male Cap 2 &quot; Gazoil"/>
      <sheetName val="Male Cap 2&quot; Galvanis"/>
      <sheetName val="Male Cap 3 4  Galvanis "/>
      <sheetName val="Male Cap 3&quot; Galvanis "/>
      <sheetName val="Male Cap 4&quot;  Galvanis "/>
      <sheetName val="Male Elbow 1 2&quot; Galvanis  "/>
      <sheetName val="Male Elbow 1&quot; Galvanis  "/>
      <sheetName val="Male Elbow 1.5&quot; Galvanis  "/>
      <sheetName val="Male Elbow 2&quot; Galvanis  "/>
      <sheetName val="Male Elbow 2.5&quot; Galvanis  "/>
      <sheetName val="Male Elbow 3 4&quot; Galvanis  "/>
      <sheetName val="Male Elbow 3&quot; Galvanis  "/>
      <sheetName val="Male Elbow 90 3 4 PPR "/>
      <sheetName val="Male Iron Union 1&quot; PPR"/>
      <sheetName val="Male Iron Union 2&quot; PPR"/>
      <sheetName val="Male Iron union Shakil 2&quot;_x0009__x0009__x0009__x0009_"/>
      <sheetName val="Male Reducer 1&quot; 1.25&quot; Galvanis"/>
      <sheetName val="Male Reducer 1&quot; 1&quot; Galvanis"/>
      <sheetName val="Male Reducer 1 2&quot; 1 4&quot; Gazoil ("/>
      <sheetName val="Male Reducer 1 2&quot; 1&quot; Gazoil (ni"/>
      <sheetName val="Male Reducer 1.5&quot; 1&quot; Gazoil (ni"/>
      <sheetName val="Reducer 1.5&quot; 1.25&quot; Gazoil "/>
      <sheetName val="Male Reducer 1 2&quot; 12mm Gazoil ("/>
      <sheetName val="Male Reducer 1&quot; 3 4 Gazoil (nip"/>
      <sheetName val="Male Reducer 3 4&quot; 1 2 Gazoil (n"/>
      <sheetName val="Male Union 1 2 Galvanis"/>
      <sheetName val="Male Union 4&quot; Galvnais Shakel"/>
      <sheetName val="male Union Iron +PPR 1.25&quot;  40m"/>
      <sheetName val="Male Union Iron+PPR 3 4"/>
      <sheetName val="Male+Female Union 4&quot; Galvnais S"/>
      <sheetName val="Male+Female Weld Nipple 10+15+2"/>
      <sheetName val="Mixer Shower Olivan"/>
      <sheetName val="Mixer Shower Vitra A42444EXP_x0009__x0009__x0009_"/>
      <sheetName val="Mixer Wash Basin Vitra A42441EX"/>
      <sheetName val="Mixer Western Toilet Vitra A424"/>
      <sheetName val="Nipple 1 2  30 Gazoil  With Was"/>
      <sheetName val="Nipple 1 2 Gaz  For Filter"/>
      <sheetName val="Nipple 1 2 Galvanis "/>
      <sheetName val="Nipple 1 4 Air Galvanis"/>
      <sheetName val="Nipple 1 4 Iron"/>
      <sheetName val="Nipple 1&quot; Galvanis"/>
      <sheetName val="Nipple 1&quot; Gazoil_x0009_"/>
      <sheetName val="Nipple 1.25&quot; Galvanis"/>
      <sheetName val="Nipple 1.5&quot; Galvanis"/>
      <sheetName val="Nipple 2&quot; Galvanis"/>
      <sheetName val="Nipple 2&quot; Gazoil"/>
      <sheetName val="Nipple 2&quot; UPVC"/>
      <sheetName val="Nipple 4&quot; UPVC Gray"/>
      <sheetName val="Nipple 1 2&quot; UPVC Gray"/>
      <sheetName val="Nipple 2.5&quot; Galvanis"/>
      <sheetName val="Nipple 3 4 Gazoil _x0009_"/>
      <sheetName val="Nipple 3 4 Galvanis"/>
      <sheetName val="Nipple 3 8 1 5 Gazoil "/>
      <sheetName val="Nipple 3&quot; Galvanis"/>
      <sheetName val="Nipple 4&quot; Galvanis"/>
      <sheetName val="Nut 10mm_x0009_"/>
      <sheetName val="oil seal"/>
      <sheetName val="Orange Coupling 315mm"/>
      <sheetName val="Outdoor Faucet 1&quot;"/>
      <sheetName val="Outdoor Faucet 3 4"/>
      <sheetName val="P trap  2.5&quot; PVC"/>
      <sheetName val="P trap  2.5&quot; Turki "/>
      <sheetName val="P trap  4&quot; Turki "/>
      <sheetName val="P trap 1.5&quot; PVC_x0009_"/>
      <sheetName val="P trap 4&quot; PVC"/>
      <sheetName val="Paper Toilet Roller Holder Stee"/>
      <sheetName val="Pills Filter Water Black+Yellow"/>
      <sheetName val="Pipe 1 2 PPR"/>
      <sheetName val="Pipe 1 2&quot; Galvanis "/>
      <sheetName val="Pipe 1&quot; Galvanis "/>
      <sheetName val="Pipe 1&quot; PPR"/>
      <sheetName val="Pipe 1&quot; UPVC 32mm"/>
      <sheetName val="Pipe 1.25&quot;  UPVC grey"/>
      <sheetName val="Pipe 1.25&quot;  ppr"/>
      <sheetName val="Pipe 1.25&quot;  ppr wavin pilsa"/>
      <sheetName val="Pipe 1.25&quot; hdpe agriculture pn1"/>
      <sheetName val="Pipe 1.5&quot;  UPVC"/>
      <sheetName val="Pipe 1.5&quot; Galvanis"/>
      <sheetName val="Pipe 1.5&quot; hdpe agriculture pn16"/>
      <sheetName val="Pipe 1.5&quot; PPR"/>
      <sheetName val="Pipe 1.5&quot; PVC_x0009_"/>
      <sheetName val="Pipe 16&quot; PVC"/>
      <sheetName val="Pipe 2&quot;  PVC"/>
      <sheetName val="Pipe 2&quot;  UPVC"/>
      <sheetName val="Pipe 2&quot; Galvanis "/>
      <sheetName val="Pipe 2&quot; hdpe agriculture pn16"/>
      <sheetName val="Pipe 2&quot; PPR_x0009_"/>
      <sheetName val="Pipe 2.5&quot;  PPR"/>
      <sheetName val="Pipe 2.5&quot;  UPVC"/>
      <sheetName val="Pipe 2.5&quot; Galvanize"/>
      <sheetName val="Pipe 2.5&quot; hdpe agriculture pn10"/>
      <sheetName val="Pipe 2.5&quot; PVC"/>
      <sheetName val="Pipe 3 4 Galvanis 6mt"/>
      <sheetName val="Pipe 3 4 PPR_x0009_"/>
      <sheetName val="Pipe 3 4 UPVC_x0009_"/>
      <sheetName val="Pipe 3&quot;  hdpe agriculture pn10"/>
      <sheetName val="Pipe 3&quot;  UPVC"/>
      <sheetName val="Pipe 3&quot; Calvanis  "/>
      <sheetName val="Pipe 3&quot; hdpe agriculture pn16"/>
      <sheetName val="Pipe 3&quot; PVC "/>
      <sheetName val="Pipe 3&quot; PVC Turki "/>
      <sheetName val="Pipe 2.5&quot; PVC Turki "/>
      <sheetName val="Pipe 4&quot;  hdpe agriculture pn10"/>
      <sheetName val="Pipe 4&quot; Galvanis "/>
      <sheetName val="Pipe 4&quot; PVC"/>
      <sheetName val="Pipe 4&quot; PVC Washer Turki"/>
      <sheetName val="Pipe 5&quot; trurkey with Washer "/>
      <sheetName val="Split T Turki Pvc 2.5&quot; "/>
      <sheetName val="Pipe 6&quot;PVC_x0009_"/>
      <sheetName val="Split Y Turki Pvc 2.5&quot; "/>
      <sheetName val="Pipe Bend 1 2 PPR"/>
      <sheetName val="Pipe Bend 1&quot; PPR"/>
      <sheetName val="Pipe Bend 1.25 PPR "/>
      <sheetName val="Pipe Bend 3 4 PPR_x0009_"/>
      <sheetName val="Pipe Circular Iron Clamp 1&quot;"/>
      <sheetName val="Pipe Circular Iron Clamp 1.5&quot;"/>
      <sheetName val="Pipe Circular Iron Clamp 1.25&quot;"/>
      <sheetName val="Pipe Circular Iron Clamp 2&quot;"/>
      <sheetName val="Pipe Circular iron Clamp 2.5&quot;"/>
      <sheetName val="Pipe Circular Iron Clamp 3&quot;"/>
      <sheetName val="Pipe Circular Iron Clamp 34"/>
      <sheetName val="Pipe Circular Iron Clamp 4&quot;"/>
      <sheetName val="Pipe Circular Iron Clamp 6&quot;"/>
      <sheetName val="Pipe Circular Iron Clamp 8&quot;"/>
      <sheetName val="Pipe High Pressure PVC 6mt 12&quot;"/>
      <sheetName val="Pipe plastic transparent 3 4&quot;"/>
      <sheetName val="Pipe PPR 3 4 Thermal"/>
      <sheetName val="Pipe Shower Panel"/>
      <sheetName val="Pipe UPVC 4&quot; 110mm"/>
      <sheetName val="Piston Toilet "/>
      <sheetName val="Piston Toilet Long"/>
      <sheetName val="Piston Toilet Vetra"/>
      <sheetName val="Plastic Clamp 1.5&quot;"/>
      <sheetName val="Plastic Clamp 2.5&quot;"/>
      <sheetName val="Plastic Clamp 4&quot;"/>
      <sheetName val="Plastic Clamp 6&quot;"/>
      <sheetName val="Plastic Cup Dispenser White Bas"/>
      <sheetName val="Plastic Water Sprinkler"/>
      <sheetName val="Poster Water Pump  "/>
      <sheetName val="Pressure Water Tank Red 100L YE"/>
      <sheetName val="Pressure Water Tank Red 200L YE"/>
      <sheetName val="Pump Washer 160 HPC Ikon "/>
      <sheetName val="Pump Water Pentax CM164101+Auto"/>
      <sheetName val="Pump With Poster Wilo PB-088EA"/>
      <sheetName val="Reduced Split T 3&quot;   3&quot;   2&quot;  h"/>
      <sheetName val="Reducer 1 2 3 4 PPR"/>
      <sheetName val="Reducer 1&quot; 1 2 Gaz"/>
      <sheetName val="Reducer 1&quot; 1.5&quot; Galvanis"/>
      <sheetName val="Reducer 1&quot; 3 4 Galvanis"/>
      <sheetName val="Reducer 1&quot; 3 4 PPR"/>
      <sheetName val="Reducer 1.25&quot; 1 PPR"/>
      <sheetName val="Reducer 1.25&quot; 1.5&quot;PPR"/>
      <sheetName val="Reducer 1.25&quot; 3 4 PPR"/>
      <sheetName val="Reducer 1.5&quot; 1&quot; PPR"/>
      <sheetName val="Reducer 1.5&quot; 1.25&quot; UPVC"/>
      <sheetName val="Reducer 1&quot; 3 4&quot; UPVC"/>
      <sheetName val="Reducer 1.5&quot; 2&quot; PPR"/>
      <sheetName val="Reducer 1.5&quot; 2.5&quot; PVC"/>
      <sheetName val="Reducer 2&quot;   1.25&quot;  hdpe agricu"/>
      <sheetName val="Reducer 1.5&quot; 3 4 PPR"/>
      <sheetName val="Reducer 2&quot;   1.5&quot;  hdpe agricul"/>
      <sheetName val="Reducer 2&quot; 1&quot; PPR"/>
      <sheetName val="Reducer 2&quot; 1.25&quot; PPR"/>
      <sheetName val="Reducer 2&quot; 1&quot; Galvanis"/>
      <sheetName val="Reducer 1.5&quot; 1.25&quot; Galvanis"/>
      <sheetName val="Reducer 1 2&quot; 3 4&quot; Galvanis"/>
      <sheetName val="Reducer 1 2&quot; 3 4&quot; Gazoil"/>
      <sheetName val="Reducer 2&quot; 1.5&quot; Galvanis"/>
      <sheetName val="Reducer 2&quot; 1.5&quot; PVC"/>
      <sheetName val="Reducer 2&quot; 1.5&quot; UPVC"/>
      <sheetName val="Reducer 2.5&quot; 1.5&quot; Turki "/>
      <sheetName val="Reducer 2.5&quot; 1.5&quot; UPVC"/>
      <sheetName val="Reducer 2&quot; 1.5&quot; PPR"/>
      <sheetName val="Reducer 2&quot; 3 4 PPR"/>
      <sheetName val="Reducer 2.5&quot; 2&quot; PPR"/>
      <sheetName val="Reducer 2.5&quot; 2&quot; UPVC"/>
      <sheetName val="Reducer 2.5&quot; 2&quot;Galvanis"/>
      <sheetName val="Reducer 3&quot; 2&quot; Galvanis"/>
      <sheetName val="Reducer 3&quot;   2&quot;  hdpe agricultu"/>
      <sheetName val="Reducer 3&quot;   2.5&quot;  hdpe agricul"/>
      <sheetName val="Reducer 3&quot; 2&quot; UPVC"/>
      <sheetName val="Reducer 1.25&quot;   3 4&quot; Galvanis"/>
      <sheetName val="Reducer 4&quot;   2&quot;  hdpe agricultu"/>
      <sheetName val="Reducer 4&quot;   3&quot;  hdpe agricultu"/>
      <sheetName val="Reducer 4&quot; 1.5&quot; PVC"/>
      <sheetName val="Reducer 4&quot; 1.5&quot; Turki "/>
      <sheetName val="Reducer 4&quot; 2&quot; Galvanis "/>
      <sheetName val="Reducer 4&quot; 2&quot; PVC"/>
      <sheetName val="Reducer 4&quot; 2&quot; UPVC"/>
      <sheetName val="Reducer 4&quot; 2.5&quot; PVC"/>
      <sheetName val="Reducer 4&quot; 2.5&quot; Turki "/>
      <sheetName val="Reducer 4&quot; 2.5&quot; UPVC"/>
      <sheetName val="Elbow 16&quot; 45 UPVC"/>
      <sheetName val="Coupling  16&quot; UPVC"/>
      <sheetName val="Pipe 16&quot; 45 UPVC"/>
      <sheetName val="Reducer 4&quot; 3&quot; UPVC "/>
      <sheetName val="Reducer 6&quot; 4&quot; PVC"/>
      <sheetName val="Reducer 6&quot; 4&quot; UPVC Gray"/>
      <sheetName val="Reducer Busher 1 2 1&quot; Galvanis"/>
      <sheetName val="Reducer Bushing 1 2 1 4 Galvani"/>
      <sheetName val="Reducer Bushing 1 2 3 8 20mm"/>
      <sheetName val="Reducer Bushing 1&quot; 1 2 Galvanis"/>
      <sheetName val="Reducer Bushing 1.5&quot; 1.25&quot; Galv"/>
      <sheetName val="Reducer Bushing 1&quot; 1 2 Gazoil"/>
      <sheetName val="Reducer Bushing 1&quot; 1.25&quot; Galvan"/>
      <sheetName val="Reducer Bushing 1&quot; 2&quot; Galvanis"/>
      <sheetName val="Reducer Bushing 1&quot; 3 4 Galvanis"/>
      <sheetName val="Reducer Bushing 1.25&quot; 1 2 Galva"/>
      <sheetName val="Reducer Bushing 1.5&quot; 3 4 Galvan"/>
      <sheetName val="Reducer Bushing 1.5&quot; 1 4 Galvan"/>
      <sheetName val="Reducer Bushing 1.5&quot; 1 Galvaniz"/>
      <sheetName val="Reducer Bushing 1.25&quot; 3 4 Galva"/>
      <sheetName val="Reducer Bushing 1.5&quot; 1 2 Galvan"/>
      <sheetName val="Reducer Bushing 2 1 2&quot; Galvanis"/>
      <sheetName val="Reducer Bushing 2 1&quot; Galvanis"/>
      <sheetName val="Reducer Bushing 2 1.25&quot; Galvani"/>
      <sheetName val="Reducer Bushing 2 3 4&quot; Galvanis"/>
      <sheetName val="Reducer Bushing 2&quot; 1.5&quot; Galvani"/>
      <sheetName val="Reducer Bushing 2&quot; 3&quot; Galvanis"/>
      <sheetName val="Reducer Bushing 2.5 1.5&quot; Galvan"/>
      <sheetName val="Reducer Bushing 2.5&quot; 2&quot; Galvani"/>
      <sheetName val="Reducer Bushing 2.5&quot; 3&quot; Galvani"/>
      <sheetName val="Reducer Bushing 2.5&quot; 4&quot; Galvani"/>
      <sheetName val="Reducer Bushing 3 4 1 2 Galvani"/>
      <sheetName val="Reducer Bushing 3 4 1 2 Gazoil "/>
      <sheetName val="Reducer Bushing Gazoil 10mm 1 2"/>
      <sheetName val="Reducer Gazoil 1 2 3 4 Welding"/>
      <sheetName val="Reducers Agricultural 4&quot; 2&quot;"/>
      <sheetName val="Rubber PVC 1.5_x0009_"/>
      <sheetName val="Scissors Pipe PVC 2.5&quot;"/>
      <sheetName val="Screw 10mm 20cm"/>
      <sheetName val="Semi-Circular Clamp Iron 1.5"/>
      <sheetName val="Semi-Circular Clamp Iron1.25&quot;"/>
      <sheetName val="Semi-Circular Pipe Clamp Iron 1"/>
      <sheetName val="Semi-Circular Pipe Clamp Iron 2"/>
      <sheetName val="semi-Circular Pipe Clamp Iron 3"/>
      <sheetName val="Semi-Circular Pipe Clamp Iron 4"/>
      <sheetName val="semi-Circular Pipe Clamp Iron1&quot;"/>
      <sheetName val="semi-Circular Pipe Clamp Iron2."/>
      <sheetName val="Spanish linen rope ( shelik ) "/>
      <sheetName val="Shower Mixer "/>
      <sheetName val="shower mixer emarat sultan"/>
      <sheetName val="Shower Mixer Ramada_x0009_"/>
      <sheetName val="Shower System Vitra A4568EXP_x0009__x0009__x0009_"/>
      <sheetName val="shower telephon normal type"/>
      <sheetName val="Shower Turki 90 90cm_x0009__x0009__x0009__x0009_"/>
      <sheetName val="Sink Basin One Steel 50 50cm "/>
      <sheetName val="Sink Basin One Steel 70 100 85c"/>
      <sheetName val="Sink Basin One Steel 70 120 85c"/>
      <sheetName val="Sink Basin One Steel 70 140 85c"/>
      <sheetName val="Sink Basin One Steel 70 70 85cm"/>
      <sheetName val="Sink Basin One Steel With Hose "/>
      <sheetName val="Sink Basin One Alabaster  55 70"/>
      <sheetName val="Rubber (Cover for Sink Basin On"/>
      <sheetName val="Sink Basin Two Steel 70 180 85c"/>
      <sheetName val="Slight Shower Vitra A45693EXP_x0009__x0009_"/>
      <sheetName val="Small Submersible Vico 75W 2.5m"/>
      <sheetName val="Small Water Submersible Garden "/>
      <sheetName val="Soap Holder Steel "/>
      <sheetName val="Solenoid Valve 1&quot;  2W250-25 220"/>
      <sheetName val="Spare Filter Water 3filter "/>
      <sheetName val="Split Hose Air Cooler Export"/>
      <sheetName val="Split Quadruple 4&quot; PVC"/>
      <sheetName val="Split T   2.5&quot; PPR"/>
      <sheetName val="Split T  125mm   75 mm 50mm flo"/>
      <sheetName val="Split T  2.5&quot; PVC"/>
      <sheetName val="Split T  4&quot; PVC"/>
      <sheetName val="Split T  4&quot; UPVC"/>
      <sheetName val="Split T 1 2 Galvanis "/>
      <sheetName val="Split T 1 2 PPR"/>
      <sheetName val="Split T 1&quot;  UPVC"/>
      <sheetName val="Split Y 1&quot;  UPVC"/>
      <sheetName val="Split T 1&quot; PPR"/>
      <sheetName val="Split T 1.25   1.25   1 PPR"/>
      <sheetName val="Split T 1.25   1.25   3 4 PPR"/>
      <sheetName val="Split T 1.25&quot;  hdpe agriculture"/>
      <sheetName val="Split T 1.5&quot;  hdpe agriculture"/>
      <sheetName val="Split T 1.25&quot; PPR"/>
      <sheetName val="Split T 1.5&quot; PPR"/>
      <sheetName val="Split T 2&quot;   3 4&quot; PPR"/>
      <sheetName val="Split T 2&quot;  hdpe agriculture"/>
      <sheetName val="Split T 2&quot; Galvanis"/>
      <sheetName val="Split T 2&quot; PPR"/>
      <sheetName val="Split T 2&quot; UPVC"/>
      <sheetName val="Split T 2&quot;1&quot; UPVC Gray"/>
      <sheetName val="Split T 1.5&quot; UPVC Gray"/>
      <sheetName val="Split T 2.5&quot; Quarter UPVC Gray"/>
      <sheetName val="Split T 2&quot; Quarter UPVC Gray"/>
      <sheetName val="Split T 1 2&quot; UPVC Gray"/>
      <sheetName val="Split T 2.5&quot; Agricultural "/>
      <sheetName val="Split T 3 4 Galvanis "/>
      <sheetName val="Split T 3 4 Gazoil"/>
      <sheetName val="Split T 3 4 PPR_x0009_"/>
      <sheetName val="Split T 3 4 UPVC_x0009_"/>
      <sheetName val="Split T 3&quot;  hdpe agriculture"/>
      <sheetName val="Split T 32 32 25mm PPR"/>
      <sheetName val="Split T 4&quot;   1.5 PVC_x0009_"/>
      <sheetName val="Split T 4&quot;  hdpe agriculture"/>
      <sheetName val="Split T 6&quot; PVC"/>
      <sheetName val="Split TR  4&quot; PVC"/>
      <sheetName val="Split TR  6&quot; PVC"/>
      <sheetName val="Split TR 1.5&quot; PVC"/>
      <sheetName val="Split TR 2.5&quot; PVC_x0009_"/>
      <sheetName val="Split Y  2.5&quot; PVC"/>
      <sheetName val="Split Y  3&quot; PVC"/>
      <sheetName val="Split Y  4&quot; PVC"/>
      <sheetName val="Split Y  6&quot; PVC"/>
      <sheetName val="Split Y 1.5&quot; PVC_x0009_"/>
      <sheetName val="Split Y 4&quot;   1.5&quot; PVC"/>
      <sheetName val="Split Y Tree  4&quot; PVC"/>
      <sheetName val="Spring Mixer Sing"/>
      <sheetName val="Square Shower Head 20 20cm "/>
      <sheetName val="steel angle for the showers 2 r"/>
      <sheetName val="Steel Handle Spray for Toilet"/>
      <sheetName val="Stop Valve  1&quot; PPR"/>
      <sheetName val="Stop Valve  1.5&quot; Galvanis"/>
      <sheetName val="Stop Valve  1.5&quot; PPR"/>
      <sheetName val="Stop Valve  2&quot; PPR"/>
      <sheetName val="Stop Valve  2.5&quot; PPR"/>
      <sheetName val="Stop Valve  3 4 PPR"/>
      <sheetName val="Stop Valve 1 2 External"/>
      <sheetName val="Stop Valve 1 2 Galvanis"/>
      <sheetName val="Stop Valve 1 2 Gazoil"/>
      <sheetName val="Stop Valve 1 2 PPR"/>
      <sheetName val="Stop Valve 1 4 Galvanis "/>
      <sheetName val="Stop Valve 1&quot;  Galvanis"/>
      <sheetName val="Stop Valve 1&quot; Gazoil  "/>
      <sheetName val="Stop Valve 1&quot; PPR Circular Hand"/>
      <sheetName val="Stop Valve 1.25&quot;  Galvanis"/>
      <sheetName val="Stop Valve 1.25&quot; PPR"/>
      <sheetName val="Stop Valve 1.5&quot; PPR 40ml"/>
      <sheetName val="Stop Valve 2&quot; Galvanis"/>
      <sheetName val="Stop Valve 2&quot; Gazoil"/>
      <sheetName val="Stop valve 2.5&quot; Galvanis"/>
      <sheetName val="Stop Valve 3 4  Galvanis_x0009_"/>
      <sheetName val="Stop Valve 3 4 Gazoil"/>
      <sheetName val="Stop valve 3&quot; Galvanis"/>
      <sheetName val="Stop Valve 4&quot; Galvanis"/>
      <sheetName val="Stop Valve 4&quot; UPVC Gray "/>
      <sheetName val="Stop Valve 1 2&quot; UPVC Gray "/>
      <sheetName val="Stop Valve 1.5&quot; UPVC Gray "/>
      <sheetName val="Stop Valve 2&quot; UPVC Gray "/>
      <sheetName val="Stop Valve 3 4&quot; UPVC Gray "/>
      <sheetName val="Stop Valve 1&quot; UPVC Gray "/>
      <sheetName val="Stop Valve 1.25&quot; UPVC Gray "/>
      <sheetName val="Stop Valve Agricultural 1.5&quot;"/>
      <sheetName val="Stop Valve Agriculture 2 "/>
      <sheetName val="Stop Valve Agricultural 2.5&quot;"/>
      <sheetName val="Stop Valve Agricultural 4&quot;_x0009__x0009_"/>
      <sheetName val="Stop valve Air 10mm"/>
      <sheetName val="Stop Valve Air 12mm_x0009_"/>
      <sheetName val="Stop Valve External 1 2 3 8 pla"/>
      <sheetName val="Stop Valve External Double "/>
      <sheetName val="Stop Valve External steel Turki"/>
      <sheetName val="Stop Valve External steel Vitra"/>
      <sheetName val="Stop Valve Hoes Shower "/>
      <sheetName val="Stop Valve Urinal Vitra 310-260"/>
      <sheetName val="Stop Valve Washing _x0009_"/>
      <sheetName val="System Filter Water 3filter CCK"/>
      <sheetName val="System Filter Water 3filter e50"/>
      <sheetName val="System Pump Pressure Water With"/>
      <sheetName val="System Pump Pressure Wilo"/>
      <sheetName val="Tanget 1 2K"/>
      <sheetName val="Tanget 1 4K"/>
      <sheetName val="Tanget 1kg"/>
      <sheetName val="Tank Gasoline Power Sprayer PL1"/>
      <sheetName val="Tank Western Toilet Vitra 5783B"/>
      <sheetName val=" Teflon Omede Rassan"/>
      <sheetName val="Teflon Liquid FORCE 250ml 5543"/>
      <sheetName val="Toilet Bath Bidet Sprayer Vitra"/>
      <sheetName val="Toilet Brush_x0009_"/>
      <sheetName val="Toilet Paper Towel Holder steel"/>
      <sheetName val="Towels Holder Steel Circular"/>
      <sheetName val="truper 6-pc brass quick coupler"/>
      <sheetName val="Union 1&quot; Galvanis"/>
      <sheetName val="Union 1&quot; PPR_x0009__x0009__x0009_"/>
      <sheetName val="Union 1&quot; UPVC"/>
      <sheetName val="Union 1.25&quot; Galvanis"/>
      <sheetName val="Union 1.25&quot; PPR"/>
      <sheetName val="Union 1.25&quot; UPVC"/>
      <sheetName val="Union 1.5&quot; PPR"/>
      <sheetName val="Union 1.5&quot; UPVC"/>
      <sheetName val="Union 1.5&quot; Galvanize"/>
      <sheetName val="Union 1 2&quot; Galvanize"/>
      <sheetName val="Union 2&quot; Galvanis "/>
      <sheetName val="Union 2&quot; PPR_x0009_"/>
      <sheetName val="Union 2&quot; UPVC"/>
      <sheetName val="Union 3&quot; UPVC"/>
      <sheetName val="Union 4&quot; UPVC"/>
      <sheetName val="Union 2.5&quot; Galvanis"/>
      <sheetName val="Union 3 4 Galvanis"/>
      <sheetName val="Union 3 4 PPR_x0009_"/>
      <sheetName val="Union 3&quot;Galvanis"/>
      <sheetName val="Union 4&quot; Galvanis"/>
      <sheetName val="Union Agricultural 1&quot;"/>
      <sheetName val="Union Gazoil 1&quot;"/>
      <sheetName val="Union Male+Female 2&quot; hose Iron "/>
      <sheetName val="Union Male+Female 2&quot; Iron Shaki"/>
      <sheetName val="Union Male+Female 3&quot; Galvanis S"/>
      <sheetName val="Urinal Turknuz "/>
      <sheetName val="Wall Urinal"/>
      <sheetName val="Wash Basin Mixer Ramada"/>
      <sheetName val="Wash Basin Mixer Turki "/>
      <sheetName val="Wash Basin Mixer Turki Cansu"/>
      <sheetName val="Wash Basin Steel 50 50With Mixe"/>
      <sheetName val="Washer  10mm 3cm_x0009_"/>
      <sheetName val="Coupling 1.5&quot; Turki with Washer"/>
      <sheetName val="Washer Nipple 2&quot; Galvanis"/>
      <sheetName val="Washer palstic  3&quot;"/>
      <sheetName val="Washer palstic 2.5&quot;"/>
      <sheetName val="Washer palstic 4&quot;"/>
      <sheetName val="Washer Rubber 10mm"/>
      <sheetName val="Washer Rubber 16mm"/>
      <sheetName val="Water Cooler Faucet Plastic "/>
      <sheetName val="Water Guage 15Par"/>
      <sheetName val="Water Hose  2&quot;"/>
      <sheetName val="Water Pump 2&quot; KOSHIN"/>
      <sheetName val="Water Pump Italy Erara AGA 0.75"/>
      <sheetName val="Water Pump Leo 0.5HP 1&quot; APM37"/>
      <sheetName val="Water Pump Wilo MHI 404 220V 1&quot;"/>
      <sheetName val="Water Submersible 2&quot; 3HP Top On"/>
      <sheetName val="Water Submersible 2.5&quot; 4HP Top "/>
      <sheetName val="Water Submersible Top-One 10H.P"/>
      <sheetName val="Weld Nipple 1 2 Gazoil"/>
      <sheetName val="Western Toilet Toota 293"/>
      <sheetName val="Western Toilet Toota 600"/>
      <sheetName val="White Filter Water GAC+Sediment"/>
      <sheetName val="Wood For Air Cooler Export"/>
      <sheetName val="Black Pipe Insulator 3 4&quot; 180cm"/>
      <sheetName val="Hose Agricultural 2&quot;"/>
      <sheetName val="Hose Agricultural 0.5&quot;"/>
      <sheetName val="Clamp Agricultural 2&quot;   1 2&quot;"/>
      <sheetName val="Male Adapter Agricultura 0.5&quot;"/>
      <sheetName val="Female adpeter Agricultura 2&quot;"/>
      <sheetName val="Gasoil Tank "/>
      <sheetName val="Female+Male Reducer Galva 1.5 3"/>
      <sheetName val="Elbow Gasoil hose + Female 1 2&quot;"/>
      <sheetName val="Elbow Gasoil hose +Male 1 2' "/>
      <sheetName val="Coupling hose Gasoil + Male 1 2"/>
      <sheetName val="Coupling hose Gasoil  3 8&quot;"/>
      <sheetName val="Air Dryer Compressor"/>
      <sheetName val="Offset P-trap 4&quot; Pvc"/>
      <sheetName val="Plastic Water Tank 2000L"/>
      <sheetName val="Plastic Water Tank 1000L "/>
      <sheetName val="Tire "/>
      <sheetName val="Union 1 2&quot; PPR"/>
      <sheetName val="Split T Turki Pvc 4&quot;"/>
      <sheetName val="Split T Turki Pvc 4&quot;   2.5&quot;"/>
      <sheetName val="Split Y Turki Pvc 4&quot;   2.5&quot;"/>
      <sheetName val="Reducer 6&quot; 4&quot; Turki "/>
      <sheetName val="Split T Turki Pvc 6&quot;"/>
      <sheetName val="Split Y Turki Pvc 6&quot;"/>
      <sheetName val="Reducer 8&quot; 4&quot; Turki "/>
      <sheetName val="Split T Turki Pvc 8&quot; "/>
      <sheetName val="Elbow 90 Turki Pvc 8&quot;"/>
      <sheetName val="Reducer Bushing 3&quot; 4&quot; Gal"/>
      <sheetName val="Pipe 8&quot; PVC Turki "/>
      <sheetName val="Flange Adaptor 2&quot; Galvanize"/>
      <sheetName val="Male Elbow 4&quot; Galvanis  "/>
      <sheetName val="Cap 8&quot; PVC turkey with washer"/>
      <sheetName val="East Toilet "/>
      <sheetName val="Boiler 50Liter Everhot"/>
      <sheetName val="Pump Washer 160 HPC Ikon"/>
      <sheetName val="Pipe 3 4&quot;  UPVC grey"/>
      <sheetName val="Elbow 90 3 4&quot;  UPVC grey"/>
      <sheetName val="Reducer 1.5&quot; 3 4&quot; UPVC"/>
      <sheetName val="Cistern Bottom inlet 2.5 4lt du"/>
      <sheetName val="Double angle valve model line d"/>
      <sheetName val="X3 8&quot; f f , with 3 8' insert wa"/>
      <sheetName val="Bidet Handwasher Vitra A45704"/>
      <sheetName val="11 11cm - SQ chrome shabak -dra"/>
      <sheetName val="Tech Shower Cloumns Cheome GYSC"/>
      <sheetName val="Bathrob Holder Double A44947"/>
      <sheetName val="Roll Holder (with cover ) A4494"/>
      <sheetName val="Eros Soap Dispenser Chrome Gedy"/>
      <sheetName val="Towel Ring A44943 vitra"/>
      <sheetName val="Wire Coner Shelf For Shower2483"/>
      <sheetName val="Hose Black Water  3&quot;"/>
      <sheetName val="Base Shower Squear  160 90cm"/>
      <sheetName val="Split Y  1&quot; Galvanize"/>
      <sheetName val="Western Toilet Tootan"/>
      <sheetName val="Male Adpter 3 4&quot; UPVC"/>
      <sheetName val="Reducer 2&quot; 3 4&quot; UPVC"/>
      <sheetName val="Check Valve 1.5&quot; "/>
      <sheetName val="Split T 1.5&quot; Quarter UPVC Gray"/>
      <sheetName val="Nipple Bushing 2&quot; UPVC"/>
      <sheetName val="Water pump Grusnfos pn 96935462"/>
      <sheetName val="Reducer 1.25&quot;   1&quot; Galvanis"/>
      <sheetName val="Male Elbow 1 2&quot; PPR"/>
      <sheetName val="Wash Basin wood 80cm with miror"/>
      <sheetName val="Emergency Clamp Pipe"/>
      <sheetName val="Flexible Faucet for Kitchen Sin"/>
      <sheetName val="Male Cap 2.5&quot;  Galvanis "/>
      <sheetName val="Male Adpeter 2.5&quot; UPVC "/>
      <sheetName val="Reducer 1&quot; 3 4&quot; Gazoil"/>
      <sheetName val="Union 1 2&quot; Gazoil "/>
      <sheetName val="FlowMeter 1.5&quot; UPVC "/>
      <sheetName val="توصالة هواء 1 2 عربانة تريلة"/>
      <sheetName val="Male Union  1 2 PPR"/>
      <sheetName val="Split Y Tree  6&quot; PVC"/>
      <sheetName val="Reducer Bushing 1&quot; 4&quot; Galvanis"/>
      <sheetName val="Stainless Seel Tank "/>
      <sheetName val="Coupling 8&quot; UPVC"/>
      <sheetName val="Pipe 8&quot; UPVC"/>
      <sheetName val="Union 3 4&quot; UPVC"/>
      <sheetName val="Elbow 90° 3 4&quot; Agricultural "/>
      <sheetName val="Coupling 1 2&quot;  Agricultura 32mm"/>
    </sheetNames>
    <sheetDataSet>
      <sheetData sheetId="0">
        <row r="4">
          <cell r="E4">
            <v>3</v>
          </cell>
          <cell r="F4">
            <v>0</v>
          </cell>
        </row>
        <row r="5">
          <cell r="E5">
            <v>1.7</v>
          </cell>
          <cell r="F5">
            <v>0</v>
          </cell>
        </row>
        <row r="6">
          <cell r="E6">
            <v>2.6</v>
          </cell>
          <cell r="F6">
            <v>0</v>
          </cell>
        </row>
        <row r="7">
          <cell r="E7">
            <v>0.15</v>
          </cell>
          <cell r="F7">
            <v>0</v>
          </cell>
        </row>
        <row r="8">
          <cell r="E8">
            <v>20</v>
          </cell>
          <cell r="F8">
            <v>0</v>
          </cell>
        </row>
        <row r="9">
          <cell r="E9">
            <v>10.135</v>
          </cell>
          <cell r="F9">
            <v>0</v>
          </cell>
        </row>
        <row r="10">
          <cell r="E10">
            <v>1</v>
          </cell>
          <cell r="F10">
            <v>0</v>
          </cell>
        </row>
        <row r="11">
          <cell r="E11">
            <v>2</v>
          </cell>
          <cell r="F11">
            <v>1</v>
          </cell>
        </row>
        <row r="12">
          <cell r="E12">
            <v>0.35</v>
          </cell>
          <cell r="F12">
            <v>254</v>
          </cell>
        </row>
        <row r="13">
          <cell r="E13">
            <v>1.5</v>
          </cell>
          <cell r="F13">
            <v>11</v>
          </cell>
        </row>
        <row r="14">
          <cell r="E14">
            <v>2.75</v>
          </cell>
          <cell r="F14">
            <v>5</v>
          </cell>
        </row>
        <row r="15">
          <cell r="E15">
            <v>2</v>
          </cell>
          <cell r="F15">
            <v>16</v>
          </cell>
        </row>
        <row r="16">
          <cell r="E16">
            <v>2.35</v>
          </cell>
          <cell r="F16">
            <v>10</v>
          </cell>
        </row>
        <row r="17">
          <cell r="E17">
            <v>2.5</v>
          </cell>
          <cell r="F17">
            <v>5</v>
          </cell>
        </row>
        <row r="18">
          <cell r="E18">
            <v>1</v>
          </cell>
          <cell r="F18">
            <v>0</v>
          </cell>
        </row>
        <row r="19">
          <cell r="E19">
            <v>1.35</v>
          </cell>
          <cell r="F19">
            <v>0</v>
          </cell>
        </row>
        <row r="20">
          <cell r="E20">
            <v>30</v>
          </cell>
          <cell r="F20">
            <v>0</v>
          </cell>
        </row>
        <row r="21">
          <cell r="E21">
            <v>13.6</v>
          </cell>
          <cell r="F21">
            <v>0</v>
          </cell>
        </row>
        <row r="22">
          <cell r="E22">
            <v>20</v>
          </cell>
          <cell r="F22">
            <v>0</v>
          </cell>
        </row>
        <row r="23">
          <cell r="E23">
            <v>16.329999999999998</v>
          </cell>
          <cell r="F23">
            <v>0</v>
          </cell>
        </row>
        <row r="24">
          <cell r="E24">
            <v>145</v>
          </cell>
          <cell r="F24">
            <v>9</v>
          </cell>
        </row>
        <row r="25">
          <cell r="E25">
            <v>35.25</v>
          </cell>
          <cell r="F25">
            <v>0</v>
          </cell>
        </row>
        <row r="26">
          <cell r="E26">
            <v>60</v>
          </cell>
          <cell r="F26">
            <v>6</v>
          </cell>
        </row>
        <row r="27">
          <cell r="E27">
            <v>0</v>
          </cell>
          <cell r="F27">
            <v>0</v>
          </cell>
        </row>
        <row r="28">
          <cell r="E28">
            <v>10</v>
          </cell>
          <cell r="F28">
            <v>15</v>
          </cell>
        </row>
        <row r="29">
          <cell r="E29">
            <v>210</v>
          </cell>
          <cell r="F29">
            <v>0</v>
          </cell>
        </row>
        <row r="30">
          <cell r="E30">
            <v>34.9</v>
          </cell>
          <cell r="F30">
            <v>0</v>
          </cell>
        </row>
        <row r="31">
          <cell r="E31">
            <v>76</v>
          </cell>
          <cell r="F31">
            <v>0</v>
          </cell>
        </row>
        <row r="32">
          <cell r="E32">
            <v>4</v>
          </cell>
          <cell r="F32">
            <v>12</v>
          </cell>
        </row>
        <row r="33">
          <cell r="E33">
            <v>5</v>
          </cell>
          <cell r="F33">
            <v>15</v>
          </cell>
        </row>
        <row r="34">
          <cell r="E34">
            <v>230</v>
          </cell>
          <cell r="F34">
            <v>0</v>
          </cell>
        </row>
        <row r="35">
          <cell r="E35">
            <v>20</v>
          </cell>
          <cell r="F35">
            <v>10</v>
          </cell>
        </row>
        <row r="36">
          <cell r="E36">
            <v>25</v>
          </cell>
          <cell r="F36">
            <v>0</v>
          </cell>
        </row>
        <row r="37">
          <cell r="E37">
            <v>10</v>
          </cell>
          <cell r="F37">
            <v>0</v>
          </cell>
        </row>
        <row r="38">
          <cell r="E38">
            <v>14.5</v>
          </cell>
          <cell r="F38">
            <v>0</v>
          </cell>
        </row>
        <row r="39">
          <cell r="E39">
            <v>18</v>
          </cell>
          <cell r="F39">
            <v>0</v>
          </cell>
        </row>
        <row r="40">
          <cell r="E40">
            <v>2</v>
          </cell>
          <cell r="F40">
            <v>19</v>
          </cell>
        </row>
        <row r="41">
          <cell r="E41">
            <v>10.130000000000001</v>
          </cell>
          <cell r="F41">
            <v>0</v>
          </cell>
        </row>
        <row r="42">
          <cell r="E42">
            <v>0</v>
          </cell>
          <cell r="F42">
            <v>20</v>
          </cell>
        </row>
        <row r="43">
          <cell r="E43">
            <v>300</v>
          </cell>
          <cell r="F43">
            <v>0</v>
          </cell>
        </row>
        <row r="44">
          <cell r="E44">
            <v>450</v>
          </cell>
          <cell r="F44">
            <v>0</v>
          </cell>
        </row>
        <row r="45">
          <cell r="E45">
            <v>340</v>
          </cell>
          <cell r="F45">
            <v>0</v>
          </cell>
        </row>
        <row r="46">
          <cell r="E46">
            <v>375</v>
          </cell>
          <cell r="F46">
            <v>6</v>
          </cell>
        </row>
        <row r="47">
          <cell r="E47">
            <v>375</v>
          </cell>
          <cell r="F47">
            <v>1</v>
          </cell>
        </row>
        <row r="48">
          <cell r="E48">
            <v>625</v>
          </cell>
          <cell r="F48">
            <v>2</v>
          </cell>
        </row>
        <row r="49">
          <cell r="E49">
            <v>650</v>
          </cell>
          <cell r="F49">
            <v>0</v>
          </cell>
        </row>
        <row r="50">
          <cell r="E50">
            <v>1200</v>
          </cell>
          <cell r="F50">
            <v>0</v>
          </cell>
        </row>
        <row r="51">
          <cell r="E51">
            <v>1800</v>
          </cell>
          <cell r="F51">
            <v>1</v>
          </cell>
        </row>
        <row r="52">
          <cell r="E52">
            <v>245</v>
          </cell>
          <cell r="F52">
            <v>0</v>
          </cell>
        </row>
        <row r="53">
          <cell r="E53">
            <v>65</v>
          </cell>
          <cell r="F53">
            <v>0</v>
          </cell>
        </row>
        <row r="54">
          <cell r="E54">
            <v>295</v>
          </cell>
          <cell r="F54">
            <v>0</v>
          </cell>
        </row>
        <row r="55">
          <cell r="E55">
            <v>150</v>
          </cell>
          <cell r="F55">
            <v>0</v>
          </cell>
        </row>
        <row r="56">
          <cell r="E56">
            <v>165</v>
          </cell>
          <cell r="F56">
            <v>0</v>
          </cell>
        </row>
        <row r="57">
          <cell r="E57">
            <v>115</v>
          </cell>
          <cell r="F57">
            <v>0</v>
          </cell>
        </row>
        <row r="58">
          <cell r="E58">
            <v>11.5</v>
          </cell>
          <cell r="F58">
            <v>0</v>
          </cell>
        </row>
        <row r="59">
          <cell r="E59">
            <v>8.1</v>
          </cell>
          <cell r="F59">
            <v>0</v>
          </cell>
        </row>
        <row r="60">
          <cell r="E60">
            <v>7.5</v>
          </cell>
          <cell r="F60">
            <v>39</v>
          </cell>
        </row>
        <row r="61">
          <cell r="E61">
            <v>4.5</v>
          </cell>
          <cell r="F61">
            <v>0</v>
          </cell>
        </row>
        <row r="62">
          <cell r="E62">
            <v>4.99</v>
          </cell>
          <cell r="F62">
            <v>0</v>
          </cell>
        </row>
        <row r="63">
          <cell r="E63">
            <v>20</v>
          </cell>
          <cell r="F63">
            <v>0</v>
          </cell>
        </row>
        <row r="64">
          <cell r="E64">
            <v>25</v>
          </cell>
          <cell r="F64">
            <v>0</v>
          </cell>
        </row>
        <row r="65">
          <cell r="E65">
            <v>35</v>
          </cell>
          <cell r="F65">
            <v>0</v>
          </cell>
        </row>
        <row r="66">
          <cell r="E66">
            <v>7.2</v>
          </cell>
          <cell r="F66">
            <v>2</v>
          </cell>
        </row>
        <row r="67">
          <cell r="E67">
            <v>1.5</v>
          </cell>
          <cell r="F67">
            <v>0</v>
          </cell>
        </row>
        <row r="68">
          <cell r="E68">
            <v>1.75</v>
          </cell>
          <cell r="F68">
            <v>9</v>
          </cell>
        </row>
        <row r="69">
          <cell r="E69">
            <v>0.2</v>
          </cell>
          <cell r="F69">
            <v>37</v>
          </cell>
        </row>
        <row r="70">
          <cell r="E70">
            <v>0.35</v>
          </cell>
          <cell r="F70">
            <v>0</v>
          </cell>
        </row>
        <row r="71">
          <cell r="E71">
            <v>0.1</v>
          </cell>
          <cell r="F71">
            <v>1</v>
          </cell>
        </row>
        <row r="72">
          <cell r="E72">
            <v>0.45</v>
          </cell>
          <cell r="F72">
            <v>0</v>
          </cell>
        </row>
        <row r="73">
          <cell r="E73">
            <v>2</v>
          </cell>
          <cell r="F73">
            <v>0</v>
          </cell>
        </row>
        <row r="74">
          <cell r="E74">
            <v>0.95</v>
          </cell>
          <cell r="F74">
            <v>35</v>
          </cell>
        </row>
        <row r="75">
          <cell r="E75">
            <v>0.18</v>
          </cell>
          <cell r="F75">
            <v>2</v>
          </cell>
        </row>
        <row r="76">
          <cell r="E76">
            <v>2.02</v>
          </cell>
          <cell r="F76">
            <v>3</v>
          </cell>
        </row>
        <row r="77">
          <cell r="E77">
            <v>1.35</v>
          </cell>
          <cell r="F77">
            <v>9</v>
          </cell>
        </row>
        <row r="78">
          <cell r="E78">
            <v>12</v>
          </cell>
          <cell r="F78">
            <v>1</v>
          </cell>
        </row>
        <row r="79">
          <cell r="E79">
            <v>30</v>
          </cell>
          <cell r="F79">
            <v>0</v>
          </cell>
        </row>
        <row r="80">
          <cell r="E80">
            <v>30</v>
          </cell>
          <cell r="F80">
            <v>2</v>
          </cell>
        </row>
        <row r="81">
          <cell r="E81">
            <v>40</v>
          </cell>
          <cell r="F81">
            <v>22</v>
          </cell>
        </row>
        <row r="82">
          <cell r="E82">
            <v>132</v>
          </cell>
          <cell r="F82">
            <v>0</v>
          </cell>
        </row>
        <row r="83">
          <cell r="E83">
            <v>7</v>
          </cell>
          <cell r="F83">
            <v>8</v>
          </cell>
        </row>
        <row r="84">
          <cell r="E84">
            <v>10</v>
          </cell>
          <cell r="F84">
            <v>19</v>
          </cell>
        </row>
        <row r="85">
          <cell r="E85">
            <v>4.5</v>
          </cell>
          <cell r="F85">
            <v>0</v>
          </cell>
        </row>
        <row r="86">
          <cell r="E86">
            <v>20</v>
          </cell>
          <cell r="F86">
            <v>3</v>
          </cell>
        </row>
        <row r="87">
          <cell r="E87">
            <v>7</v>
          </cell>
          <cell r="F87">
            <v>1</v>
          </cell>
        </row>
        <row r="88">
          <cell r="E88">
            <v>18</v>
          </cell>
          <cell r="F88">
            <v>0</v>
          </cell>
        </row>
        <row r="89">
          <cell r="E89">
            <v>30</v>
          </cell>
          <cell r="F89">
            <v>0</v>
          </cell>
        </row>
        <row r="90">
          <cell r="E90">
            <v>35</v>
          </cell>
          <cell r="F90">
            <v>0</v>
          </cell>
        </row>
        <row r="91">
          <cell r="E91">
            <v>5</v>
          </cell>
          <cell r="F91">
            <v>17</v>
          </cell>
        </row>
        <row r="92">
          <cell r="E92">
            <v>50</v>
          </cell>
          <cell r="F92">
            <v>1</v>
          </cell>
        </row>
        <row r="93">
          <cell r="E93">
            <v>0</v>
          </cell>
          <cell r="F93">
            <v>9</v>
          </cell>
        </row>
        <row r="94">
          <cell r="E94">
            <v>8</v>
          </cell>
          <cell r="F94">
            <v>0</v>
          </cell>
        </row>
        <row r="95">
          <cell r="E95">
            <v>3.15</v>
          </cell>
          <cell r="F95">
            <v>0</v>
          </cell>
        </row>
        <row r="96">
          <cell r="E96">
            <v>0.33</v>
          </cell>
          <cell r="F96">
            <v>0</v>
          </cell>
        </row>
        <row r="97">
          <cell r="E97">
            <v>0.68</v>
          </cell>
          <cell r="F97">
            <v>0</v>
          </cell>
        </row>
        <row r="98">
          <cell r="E98">
            <v>0.68030000000000002</v>
          </cell>
          <cell r="F98">
            <v>10</v>
          </cell>
        </row>
        <row r="99">
          <cell r="E99">
            <v>0.8</v>
          </cell>
          <cell r="F99">
            <v>58</v>
          </cell>
        </row>
        <row r="100">
          <cell r="E100">
            <v>0.68</v>
          </cell>
          <cell r="F100">
            <v>0</v>
          </cell>
        </row>
        <row r="101">
          <cell r="E101">
            <v>1</v>
          </cell>
          <cell r="F101">
            <v>0</v>
          </cell>
        </row>
        <row r="102">
          <cell r="E102">
            <v>2.25</v>
          </cell>
          <cell r="F102">
            <v>57</v>
          </cell>
        </row>
        <row r="103">
          <cell r="E103">
            <v>1.75</v>
          </cell>
          <cell r="F103">
            <v>40</v>
          </cell>
        </row>
        <row r="104">
          <cell r="E104">
            <v>3.55</v>
          </cell>
          <cell r="F104">
            <v>6</v>
          </cell>
        </row>
        <row r="105">
          <cell r="E105">
            <v>4.0670000000000002</v>
          </cell>
          <cell r="F105">
            <v>0</v>
          </cell>
        </row>
        <row r="106">
          <cell r="E106">
            <v>67.56</v>
          </cell>
          <cell r="F106">
            <v>1</v>
          </cell>
        </row>
        <row r="107">
          <cell r="E107">
            <v>0.95</v>
          </cell>
          <cell r="F107">
            <v>0</v>
          </cell>
        </row>
        <row r="108">
          <cell r="E108">
            <v>3.5</v>
          </cell>
          <cell r="F108">
            <v>0</v>
          </cell>
        </row>
        <row r="109">
          <cell r="E109">
            <v>1.2</v>
          </cell>
          <cell r="F109">
            <v>38</v>
          </cell>
        </row>
        <row r="110">
          <cell r="E110">
            <v>2</v>
          </cell>
          <cell r="F110">
            <v>13</v>
          </cell>
        </row>
        <row r="111">
          <cell r="E111">
            <v>2</v>
          </cell>
          <cell r="F111">
            <v>5</v>
          </cell>
        </row>
        <row r="112">
          <cell r="E112">
            <v>1.25</v>
          </cell>
          <cell r="F112">
            <v>0</v>
          </cell>
        </row>
        <row r="113">
          <cell r="E113">
            <v>3.5</v>
          </cell>
          <cell r="F113">
            <v>0</v>
          </cell>
        </row>
        <row r="114">
          <cell r="E114">
            <v>0.34</v>
          </cell>
          <cell r="F114">
            <v>32</v>
          </cell>
        </row>
        <row r="115">
          <cell r="E115">
            <v>0.55000000000000004</v>
          </cell>
          <cell r="F115">
            <v>0</v>
          </cell>
        </row>
        <row r="116">
          <cell r="E116">
            <v>1</v>
          </cell>
          <cell r="F116">
            <v>150</v>
          </cell>
        </row>
        <row r="117">
          <cell r="E117">
            <v>0.3</v>
          </cell>
          <cell r="F117">
            <v>13</v>
          </cell>
        </row>
        <row r="118">
          <cell r="E118">
            <v>4</v>
          </cell>
          <cell r="F118">
            <v>0</v>
          </cell>
        </row>
        <row r="119">
          <cell r="E119">
            <v>0.15</v>
          </cell>
          <cell r="F119">
            <v>0</v>
          </cell>
        </row>
        <row r="120">
          <cell r="E120">
            <v>2.14</v>
          </cell>
          <cell r="F120">
            <v>0</v>
          </cell>
        </row>
        <row r="121">
          <cell r="E121">
            <v>1.75</v>
          </cell>
          <cell r="F121">
            <v>5</v>
          </cell>
        </row>
        <row r="122">
          <cell r="E122">
            <v>1.2</v>
          </cell>
          <cell r="F122">
            <v>166</v>
          </cell>
        </row>
        <row r="123">
          <cell r="E123">
            <v>0.65</v>
          </cell>
          <cell r="F123">
            <v>13</v>
          </cell>
        </row>
        <row r="124">
          <cell r="E124">
            <v>0.21</v>
          </cell>
          <cell r="F124">
            <v>56</v>
          </cell>
        </row>
        <row r="125">
          <cell r="E125">
            <v>0.6</v>
          </cell>
          <cell r="F125">
            <v>6</v>
          </cell>
        </row>
        <row r="126">
          <cell r="E126">
            <v>0.55000000000000004</v>
          </cell>
          <cell r="F126">
            <v>144</v>
          </cell>
        </row>
        <row r="127">
          <cell r="E127">
            <v>8</v>
          </cell>
          <cell r="F127">
            <v>0</v>
          </cell>
        </row>
        <row r="128">
          <cell r="E128">
            <v>1.6</v>
          </cell>
          <cell r="F128">
            <v>26</v>
          </cell>
        </row>
        <row r="129">
          <cell r="E129">
            <v>0.52</v>
          </cell>
          <cell r="F129">
            <v>209</v>
          </cell>
        </row>
        <row r="130">
          <cell r="E130">
            <v>2.0499999999999998</v>
          </cell>
          <cell r="F130">
            <v>4</v>
          </cell>
        </row>
        <row r="131">
          <cell r="E131">
            <v>2.2000000000000002</v>
          </cell>
          <cell r="F131">
            <v>5</v>
          </cell>
        </row>
        <row r="132">
          <cell r="E132">
            <v>12</v>
          </cell>
          <cell r="F132">
            <v>0</v>
          </cell>
        </row>
        <row r="133">
          <cell r="E133">
            <v>0.75</v>
          </cell>
          <cell r="F133">
            <v>66</v>
          </cell>
        </row>
        <row r="134">
          <cell r="E134">
            <v>0.65</v>
          </cell>
          <cell r="F134">
            <v>11</v>
          </cell>
        </row>
        <row r="135">
          <cell r="E135">
            <v>1.25</v>
          </cell>
          <cell r="F135">
            <v>116</v>
          </cell>
        </row>
        <row r="136">
          <cell r="E136">
            <v>0.5</v>
          </cell>
          <cell r="F136">
            <v>108</v>
          </cell>
        </row>
        <row r="137">
          <cell r="E137">
            <v>1.75</v>
          </cell>
          <cell r="F137">
            <v>0</v>
          </cell>
        </row>
        <row r="138">
          <cell r="E138">
            <v>0.14000000000000001</v>
          </cell>
          <cell r="F138">
            <v>1388</v>
          </cell>
        </row>
        <row r="139">
          <cell r="E139">
            <v>0.12</v>
          </cell>
          <cell r="F139">
            <v>7</v>
          </cell>
        </row>
        <row r="140">
          <cell r="E140">
            <v>0.7</v>
          </cell>
          <cell r="F140">
            <v>10</v>
          </cell>
        </row>
        <row r="141">
          <cell r="E141">
            <v>0.5</v>
          </cell>
          <cell r="F141">
            <v>6</v>
          </cell>
        </row>
        <row r="142">
          <cell r="E142">
            <v>0.55000000000000004</v>
          </cell>
          <cell r="F142">
            <v>4</v>
          </cell>
        </row>
        <row r="143">
          <cell r="E143">
            <v>0.6</v>
          </cell>
          <cell r="F143">
            <v>3</v>
          </cell>
        </row>
        <row r="144">
          <cell r="E144">
            <v>0.9</v>
          </cell>
          <cell r="F144">
            <v>2</v>
          </cell>
        </row>
        <row r="145">
          <cell r="E145">
            <v>5.5</v>
          </cell>
          <cell r="F145">
            <v>14</v>
          </cell>
        </row>
        <row r="146">
          <cell r="E146">
            <v>15</v>
          </cell>
          <cell r="F146">
            <v>0</v>
          </cell>
        </row>
        <row r="147">
          <cell r="E147">
            <v>7.5</v>
          </cell>
          <cell r="F147">
            <v>21</v>
          </cell>
        </row>
        <row r="148">
          <cell r="E148">
            <v>0</v>
          </cell>
          <cell r="F148">
            <v>12</v>
          </cell>
        </row>
        <row r="149">
          <cell r="E149">
            <v>2.25</v>
          </cell>
          <cell r="F149">
            <v>57</v>
          </cell>
        </row>
        <row r="150">
          <cell r="E150">
            <v>8</v>
          </cell>
          <cell r="F150">
            <v>2</v>
          </cell>
        </row>
        <row r="151">
          <cell r="E151">
            <v>4</v>
          </cell>
          <cell r="F151">
            <v>0</v>
          </cell>
        </row>
        <row r="152">
          <cell r="E152">
            <v>0</v>
          </cell>
          <cell r="F152">
            <v>0</v>
          </cell>
        </row>
        <row r="153">
          <cell r="E153">
            <v>2.5</v>
          </cell>
          <cell r="F153">
            <v>137</v>
          </cell>
        </row>
        <row r="154">
          <cell r="E154">
            <v>4.7</v>
          </cell>
          <cell r="F154">
            <v>16</v>
          </cell>
        </row>
        <row r="155">
          <cell r="E155">
            <v>0</v>
          </cell>
          <cell r="F155">
            <v>8</v>
          </cell>
        </row>
        <row r="156">
          <cell r="E156">
            <v>0</v>
          </cell>
          <cell r="F156">
            <v>20</v>
          </cell>
        </row>
        <row r="157">
          <cell r="E157">
            <v>0</v>
          </cell>
          <cell r="F157">
            <v>1</v>
          </cell>
        </row>
        <row r="158">
          <cell r="E158">
            <v>3.52</v>
          </cell>
          <cell r="F158">
            <v>0</v>
          </cell>
        </row>
        <row r="159">
          <cell r="E159">
            <v>8</v>
          </cell>
          <cell r="F159">
            <v>0</v>
          </cell>
        </row>
        <row r="160">
          <cell r="E160">
            <v>20</v>
          </cell>
          <cell r="F160">
            <v>21</v>
          </cell>
        </row>
        <row r="161">
          <cell r="E161">
            <v>48.19</v>
          </cell>
          <cell r="F161">
            <v>0</v>
          </cell>
        </row>
        <row r="162">
          <cell r="E162">
            <v>6</v>
          </cell>
          <cell r="F162">
            <v>6</v>
          </cell>
        </row>
        <row r="163">
          <cell r="E163">
            <v>5</v>
          </cell>
          <cell r="F163">
            <v>2</v>
          </cell>
        </row>
        <row r="164">
          <cell r="E164">
            <v>2</v>
          </cell>
          <cell r="F164">
            <v>1</v>
          </cell>
        </row>
        <row r="165">
          <cell r="E165">
            <v>2.2000000000000002</v>
          </cell>
          <cell r="F165">
            <v>2</v>
          </cell>
        </row>
        <row r="166">
          <cell r="E166">
            <v>3</v>
          </cell>
          <cell r="F166">
            <v>25</v>
          </cell>
        </row>
        <row r="167">
          <cell r="E167">
            <v>3.2</v>
          </cell>
          <cell r="F167">
            <v>8</v>
          </cell>
        </row>
        <row r="168">
          <cell r="E168">
            <v>1.2</v>
          </cell>
          <cell r="F168">
            <v>4</v>
          </cell>
        </row>
        <row r="169">
          <cell r="E169">
            <v>1</v>
          </cell>
          <cell r="F169">
            <v>6</v>
          </cell>
        </row>
        <row r="170">
          <cell r="E170">
            <v>0.7</v>
          </cell>
          <cell r="F170">
            <v>6</v>
          </cell>
        </row>
        <row r="171">
          <cell r="E171">
            <v>0.8</v>
          </cell>
          <cell r="F171">
            <v>30</v>
          </cell>
        </row>
        <row r="172">
          <cell r="E172">
            <v>0.9</v>
          </cell>
          <cell r="F172">
            <v>0</v>
          </cell>
        </row>
        <row r="173">
          <cell r="E173">
            <v>0.9</v>
          </cell>
          <cell r="F173">
            <v>2</v>
          </cell>
        </row>
        <row r="174">
          <cell r="E174">
            <v>0.9</v>
          </cell>
          <cell r="F174">
            <v>5</v>
          </cell>
        </row>
        <row r="175">
          <cell r="E175">
            <v>0.5</v>
          </cell>
          <cell r="F175">
            <v>29</v>
          </cell>
        </row>
        <row r="176">
          <cell r="E176">
            <v>0.7</v>
          </cell>
          <cell r="F176">
            <v>4</v>
          </cell>
        </row>
        <row r="177">
          <cell r="E177">
            <v>0.6</v>
          </cell>
          <cell r="F177">
            <v>36</v>
          </cell>
        </row>
        <row r="178">
          <cell r="E178">
            <v>0.9</v>
          </cell>
          <cell r="F178">
            <v>6</v>
          </cell>
        </row>
        <row r="179">
          <cell r="E179">
            <v>0</v>
          </cell>
          <cell r="F179">
            <v>0</v>
          </cell>
        </row>
        <row r="180">
          <cell r="E180">
            <v>3</v>
          </cell>
          <cell r="F180">
            <v>212</v>
          </cell>
        </row>
        <row r="181">
          <cell r="E181">
            <v>5.8</v>
          </cell>
          <cell r="F181">
            <v>1</v>
          </cell>
        </row>
        <row r="182">
          <cell r="E182">
            <v>2</v>
          </cell>
          <cell r="F182">
            <v>64</v>
          </cell>
        </row>
        <row r="183">
          <cell r="E183">
            <v>3</v>
          </cell>
          <cell r="F183">
            <v>75</v>
          </cell>
        </row>
        <row r="184">
          <cell r="E184">
            <v>8</v>
          </cell>
          <cell r="F184">
            <v>24</v>
          </cell>
        </row>
        <row r="185">
          <cell r="E185">
            <v>1.42</v>
          </cell>
          <cell r="F185">
            <v>0</v>
          </cell>
        </row>
        <row r="186">
          <cell r="E186">
            <v>11.9</v>
          </cell>
          <cell r="F186">
            <v>0</v>
          </cell>
        </row>
        <row r="187">
          <cell r="E187">
            <v>2.7</v>
          </cell>
          <cell r="F187">
            <v>0</v>
          </cell>
        </row>
        <row r="188">
          <cell r="E188">
            <v>0.16</v>
          </cell>
          <cell r="F188">
            <v>0</v>
          </cell>
        </row>
        <row r="189">
          <cell r="E189">
            <v>1.25</v>
          </cell>
          <cell r="F189">
            <v>25</v>
          </cell>
        </row>
        <row r="190">
          <cell r="E190">
            <v>0.3</v>
          </cell>
          <cell r="F190">
            <v>0</v>
          </cell>
        </row>
        <row r="191">
          <cell r="E191">
            <v>1.9</v>
          </cell>
          <cell r="F191">
            <v>1</v>
          </cell>
        </row>
        <row r="192">
          <cell r="E192">
            <v>0.15</v>
          </cell>
          <cell r="F192">
            <v>832</v>
          </cell>
        </row>
        <row r="193">
          <cell r="E193">
            <v>0.25</v>
          </cell>
          <cell r="F193">
            <v>30</v>
          </cell>
        </row>
        <row r="194">
          <cell r="E194">
            <v>0.27</v>
          </cell>
          <cell r="F194">
            <v>362</v>
          </cell>
        </row>
        <row r="195">
          <cell r="E195">
            <v>0.6</v>
          </cell>
          <cell r="F195">
            <v>4</v>
          </cell>
        </row>
        <row r="196">
          <cell r="E196">
            <v>0.25</v>
          </cell>
          <cell r="F196">
            <v>1</v>
          </cell>
        </row>
        <row r="197">
          <cell r="E197">
            <v>0.7</v>
          </cell>
          <cell r="F197">
            <v>82</v>
          </cell>
        </row>
        <row r="198">
          <cell r="E198">
            <v>0.85</v>
          </cell>
          <cell r="F198">
            <v>48</v>
          </cell>
        </row>
        <row r="199">
          <cell r="E199">
            <v>0</v>
          </cell>
          <cell r="F199">
            <v>11</v>
          </cell>
        </row>
        <row r="200">
          <cell r="E200">
            <v>0.35</v>
          </cell>
          <cell r="F200">
            <v>16</v>
          </cell>
        </row>
        <row r="201">
          <cell r="E201">
            <v>0.6</v>
          </cell>
          <cell r="F201">
            <v>0</v>
          </cell>
        </row>
        <row r="202">
          <cell r="E202">
            <v>1.4</v>
          </cell>
          <cell r="F202">
            <v>28</v>
          </cell>
        </row>
        <row r="203">
          <cell r="E203">
            <v>0.7</v>
          </cell>
          <cell r="F203">
            <v>1</v>
          </cell>
        </row>
        <row r="204">
          <cell r="E204">
            <v>1.5</v>
          </cell>
          <cell r="F204">
            <v>0</v>
          </cell>
        </row>
        <row r="205">
          <cell r="E205">
            <v>0.5</v>
          </cell>
          <cell r="F205">
            <v>10</v>
          </cell>
        </row>
        <row r="206">
          <cell r="E206">
            <v>0.16</v>
          </cell>
          <cell r="F206">
            <v>9</v>
          </cell>
        </row>
        <row r="207">
          <cell r="E207">
            <v>8</v>
          </cell>
          <cell r="F207">
            <v>5</v>
          </cell>
        </row>
        <row r="208">
          <cell r="E208">
            <v>3</v>
          </cell>
          <cell r="F208">
            <v>96</v>
          </cell>
        </row>
        <row r="209">
          <cell r="E209">
            <v>3.5</v>
          </cell>
          <cell r="F209">
            <v>5</v>
          </cell>
        </row>
        <row r="210">
          <cell r="E210">
            <v>0.5</v>
          </cell>
          <cell r="F210">
            <v>22</v>
          </cell>
        </row>
        <row r="211">
          <cell r="E211">
            <v>3</v>
          </cell>
          <cell r="F211">
            <v>8</v>
          </cell>
        </row>
        <row r="212">
          <cell r="E212">
            <v>5</v>
          </cell>
          <cell r="F212">
            <v>10</v>
          </cell>
        </row>
        <row r="213">
          <cell r="E213">
            <v>0</v>
          </cell>
          <cell r="F213">
            <v>0</v>
          </cell>
        </row>
        <row r="214">
          <cell r="E214">
            <v>1</v>
          </cell>
          <cell r="F214">
            <v>17</v>
          </cell>
        </row>
        <row r="215">
          <cell r="E215">
            <v>8</v>
          </cell>
          <cell r="F215">
            <v>20</v>
          </cell>
        </row>
        <row r="216">
          <cell r="E216">
            <v>15</v>
          </cell>
          <cell r="F216">
            <v>0</v>
          </cell>
        </row>
        <row r="217">
          <cell r="E217">
            <v>0</v>
          </cell>
          <cell r="F217">
            <v>0</v>
          </cell>
        </row>
        <row r="218">
          <cell r="E218">
            <v>7.25</v>
          </cell>
          <cell r="F218">
            <v>0</v>
          </cell>
        </row>
        <row r="219">
          <cell r="E219">
            <v>0.15</v>
          </cell>
          <cell r="F219">
            <v>0</v>
          </cell>
        </row>
        <row r="220">
          <cell r="E220">
            <v>0.12</v>
          </cell>
          <cell r="F220">
            <v>6</v>
          </cell>
        </row>
        <row r="221">
          <cell r="E221">
            <v>2</v>
          </cell>
          <cell r="F221">
            <v>4</v>
          </cell>
        </row>
        <row r="222">
          <cell r="E222">
            <v>0.35</v>
          </cell>
          <cell r="F222">
            <v>4</v>
          </cell>
        </row>
        <row r="223">
          <cell r="E223">
            <v>2</v>
          </cell>
          <cell r="F223">
            <v>4</v>
          </cell>
        </row>
        <row r="224">
          <cell r="E224">
            <v>0.8</v>
          </cell>
          <cell r="F224">
            <v>10</v>
          </cell>
        </row>
        <row r="225">
          <cell r="E225">
            <v>0.26</v>
          </cell>
          <cell r="F225">
            <v>63</v>
          </cell>
        </row>
        <row r="226">
          <cell r="E226">
            <v>0.6</v>
          </cell>
          <cell r="F226">
            <v>22</v>
          </cell>
        </row>
        <row r="227">
          <cell r="E227">
            <v>15</v>
          </cell>
          <cell r="F227">
            <v>0</v>
          </cell>
        </row>
        <row r="228">
          <cell r="E228">
            <v>18</v>
          </cell>
          <cell r="F228">
            <v>3</v>
          </cell>
        </row>
        <row r="229">
          <cell r="E229">
            <v>0.95</v>
          </cell>
          <cell r="F229">
            <v>16</v>
          </cell>
        </row>
        <row r="230">
          <cell r="E230">
            <v>0.9</v>
          </cell>
          <cell r="F230">
            <v>122</v>
          </cell>
        </row>
        <row r="231">
          <cell r="E231">
            <v>0.8</v>
          </cell>
          <cell r="F231">
            <v>0</v>
          </cell>
        </row>
        <row r="232">
          <cell r="E232">
            <v>1.25</v>
          </cell>
          <cell r="F232">
            <v>1</v>
          </cell>
        </row>
        <row r="233">
          <cell r="E233">
            <v>1.2</v>
          </cell>
          <cell r="F233">
            <v>0</v>
          </cell>
        </row>
        <row r="234">
          <cell r="E234">
            <v>6</v>
          </cell>
          <cell r="F234">
            <v>0</v>
          </cell>
        </row>
        <row r="235">
          <cell r="E235">
            <v>6.75</v>
          </cell>
          <cell r="F235">
            <v>0</v>
          </cell>
        </row>
        <row r="236">
          <cell r="E236">
            <v>3</v>
          </cell>
          <cell r="F236">
            <v>3</v>
          </cell>
        </row>
        <row r="237">
          <cell r="E237">
            <v>20.399999999999999</v>
          </cell>
          <cell r="F237">
            <v>0</v>
          </cell>
        </row>
        <row r="238">
          <cell r="E238">
            <v>1.66</v>
          </cell>
          <cell r="F238">
            <v>57</v>
          </cell>
        </row>
        <row r="239">
          <cell r="E239">
            <v>2.5</v>
          </cell>
          <cell r="F239">
            <v>6</v>
          </cell>
        </row>
        <row r="240">
          <cell r="E240">
            <v>6</v>
          </cell>
          <cell r="F240">
            <v>6</v>
          </cell>
        </row>
        <row r="241">
          <cell r="E241">
            <v>2.7</v>
          </cell>
          <cell r="F241">
            <v>1</v>
          </cell>
        </row>
        <row r="242">
          <cell r="E242">
            <v>0.16</v>
          </cell>
          <cell r="F242">
            <v>569</v>
          </cell>
        </row>
        <row r="243">
          <cell r="E243">
            <v>3</v>
          </cell>
          <cell r="F243">
            <v>0</v>
          </cell>
        </row>
        <row r="244">
          <cell r="E244">
            <v>45</v>
          </cell>
          <cell r="F244">
            <v>2</v>
          </cell>
        </row>
        <row r="245">
          <cell r="E245">
            <v>3</v>
          </cell>
          <cell r="F245">
            <v>4</v>
          </cell>
        </row>
        <row r="246">
          <cell r="E246">
            <v>55</v>
          </cell>
          <cell r="F246">
            <v>8</v>
          </cell>
        </row>
        <row r="247">
          <cell r="E247">
            <v>1.5</v>
          </cell>
          <cell r="F247">
            <v>0</v>
          </cell>
        </row>
        <row r="248">
          <cell r="E248">
            <v>9.5</v>
          </cell>
          <cell r="F248">
            <v>1</v>
          </cell>
        </row>
        <row r="249">
          <cell r="E249">
            <v>0</v>
          </cell>
          <cell r="F249">
            <v>15</v>
          </cell>
        </row>
        <row r="250">
          <cell r="E250">
            <v>1.42</v>
          </cell>
          <cell r="F250">
            <v>27</v>
          </cell>
        </row>
        <row r="251">
          <cell r="E251">
            <v>22</v>
          </cell>
          <cell r="F251">
            <v>0</v>
          </cell>
        </row>
        <row r="252">
          <cell r="E252">
            <v>27</v>
          </cell>
          <cell r="F252">
            <v>0</v>
          </cell>
        </row>
        <row r="253">
          <cell r="E253">
            <v>10</v>
          </cell>
          <cell r="F253">
            <v>0</v>
          </cell>
        </row>
        <row r="254">
          <cell r="E254">
            <v>45</v>
          </cell>
          <cell r="F254">
            <v>0</v>
          </cell>
        </row>
        <row r="255">
          <cell r="E255">
            <v>55</v>
          </cell>
          <cell r="F255">
            <v>0</v>
          </cell>
        </row>
        <row r="256">
          <cell r="E256">
            <v>3.5</v>
          </cell>
          <cell r="F256">
            <v>28</v>
          </cell>
        </row>
        <row r="257">
          <cell r="E257">
            <v>4</v>
          </cell>
          <cell r="F257">
            <v>9</v>
          </cell>
        </row>
        <row r="258">
          <cell r="E258">
            <v>1</v>
          </cell>
          <cell r="F258">
            <v>0</v>
          </cell>
        </row>
        <row r="259">
          <cell r="E259">
            <v>0</v>
          </cell>
          <cell r="F259">
            <v>1</v>
          </cell>
        </row>
        <row r="260">
          <cell r="E260">
            <v>0</v>
          </cell>
          <cell r="F260">
            <v>8</v>
          </cell>
        </row>
        <row r="261">
          <cell r="E261">
            <v>1</v>
          </cell>
          <cell r="F261">
            <v>3</v>
          </cell>
        </row>
        <row r="262">
          <cell r="E262">
            <v>7</v>
          </cell>
          <cell r="F262">
            <v>0</v>
          </cell>
        </row>
        <row r="263">
          <cell r="E263">
            <v>0</v>
          </cell>
          <cell r="F263">
            <v>5</v>
          </cell>
        </row>
        <row r="264">
          <cell r="E264">
            <v>9.4499999999999993</v>
          </cell>
          <cell r="F264">
            <v>18</v>
          </cell>
        </row>
        <row r="265">
          <cell r="E265">
            <v>2.1</v>
          </cell>
          <cell r="F265">
            <v>33</v>
          </cell>
        </row>
        <row r="266">
          <cell r="E266">
            <v>2.5</v>
          </cell>
          <cell r="F266">
            <v>0</v>
          </cell>
        </row>
        <row r="267">
          <cell r="E267">
            <v>0</v>
          </cell>
          <cell r="F267">
            <v>3</v>
          </cell>
        </row>
        <row r="268">
          <cell r="E268">
            <v>3.15</v>
          </cell>
          <cell r="F268">
            <v>3</v>
          </cell>
        </row>
        <row r="269">
          <cell r="E269">
            <v>4.5</v>
          </cell>
          <cell r="F269">
            <v>0</v>
          </cell>
        </row>
        <row r="270">
          <cell r="E270">
            <v>1.08</v>
          </cell>
          <cell r="F270">
            <v>1</v>
          </cell>
        </row>
        <row r="271">
          <cell r="E271">
            <v>1.05</v>
          </cell>
          <cell r="F271">
            <v>8</v>
          </cell>
        </row>
        <row r="272">
          <cell r="E272">
            <v>1.02</v>
          </cell>
          <cell r="F272">
            <v>0</v>
          </cell>
        </row>
        <row r="273">
          <cell r="E273">
            <v>0.65</v>
          </cell>
          <cell r="F273">
            <v>9</v>
          </cell>
        </row>
        <row r="274">
          <cell r="E274">
            <v>0.85</v>
          </cell>
          <cell r="F274">
            <v>1</v>
          </cell>
        </row>
        <row r="275">
          <cell r="E275">
            <v>1.75</v>
          </cell>
          <cell r="F275">
            <v>0</v>
          </cell>
        </row>
        <row r="276">
          <cell r="E276">
            <v>0.5</v>
          </cell>
          <cell r="F276">
            <v>9</v>
          </cell>
        </row>
        <row r="277">
          <cell r="E277">
            <v>5</v>
          </cell>
          <cell r="F277">
            <v>9</v>
          </cell>
        </row>
        <row r="278">
          <cell r="E278">
            <v>6.5</v>
          </cell>
          <cell r="F278">
            <v>22</v>
          </cell>
        </row>
        <row r="279">
          <cell r="E279">
            <v>2.5</v>
          </cell>
          <cell r="F279">
            <v>0</v>
          </cell>
        </row>
        <row r="280">
          <cell r="E280">
            <v>0</v>
          </cell>
          <cell r="F280">
            <v>0</v>
          </cell>
        </row>
        <row r="281">
          <cell r="E281">
            <v>1.56</v>
          </cell>
          <cell r="F281">
            <v>0</v>
          </cell>
        </row>
        <row r="282">
          <cell r="E282">
            <v>0.75</v>
          </cell>
          <cell r="F282">
            <v>0</v>
          </cell>
        </row>
        <row r="283">
          <cell r="E283">
            <v>1</v>
          </cell>
          <cell r="F283">
            <v>0</v>
          </cell>
        </row>
        <row r="284">
          <cell r="E284">
            <v>0.95</v>
          </cell>
          <cell r="F284">
            <v>1505</v>
          </cell>
        </row>
        <row r="285">
          <cell r="E285">
            <v>2</v>
          </cell>
          <cell r="F285">
            <v>53</v>
          </cell>
        </row>
        <row r="286">
          <cell r="E286">
            <v>3.77</v>
          </cell>
          <cell r="F286">
            <v>2</v>
          </cell>
        </row>
        <row r="287">
          <cell r="E287">
            <v>10</v>
          </cell>
          <cell r="F287">
            <v>41</v>
          </cell>
        </row>
        <row r="288">
          <cell r="E288">
            <v>4.76</v>
          </cell>
          <cell r="F288">
            <v>0</v>
          </cell>
        </row>
        <row r="289">
          <cell r="E289">
            <v>5</v>
          </cell>
          <cell r="F289">
            <v>0</v>
          </cell>
        </row>
        <row r="290">
          <cell r="E290">
            <v>0</v>
          </cell>
          <cell r="F290">
            <v>12</v>
          </cell>
        </row>
        <row r="291">
          <cell r="E291">
            <v>0</v>
          </cell>
          <cell r="F291">
            <v>26</v>
          </cell>
        </row>
        <row r="292">
          <cell r="E292">
            <v>0</v>
          </cell>
          <cell r="F292">
            <v>5</v>
          </cell>
        </row>
        <row r="293">
          <cell r="E293">
            <v>0</v>
          </cell>
          <cell r="F293">
            <v>3</v>
          </cell>
        </row>
        <row r="294">
          <cell r="E294">
            <v>0</v>
          </cell>
          <cell r="F294">
            <v>6</v>
          </cell>
        </row>
        <row r="295">
          <cell r="E295">
            <v>0</v>
          </cell>
          <cell r="F295">
            <v>1</v>
          </cell>
        </row>
        <row r="296">
          <cell r="E296">
            <v>0</v>
          </cell>
          <cell r="F296">
            <v>3</v>
          </cell>
        </row>
        <row r="297">
          <cell r="E297">
            <v>0</v>
          </cell>
          <cell r="F297">
            <v>1</v>
          </cell>
        </row>
        <row r="298">
          <cell r="E298">
            <v>0</v>
          </cell>
          <cell r="F298">
            <v>7</v>
          </cell>
        </row>
        <row r="299">
          <cell r="E299">
            <v>1.55</v>
          </cell>
          <cell r="F299">
            <v>22</v>
          </cell>
        </row>
        <row r="300">
          <cell r="E300">
            <v>1.7</v>
          </cell>
          <cell r="F300">
            <v>1</v>
          </cell>
        </row>
        <row r="301">
          <cell r="E301">
            <v>2.4</v>
          </cell>
          <cell r="F301">
            <v>1</v>
          </cell>
        </row>
        <row r="302">
          <cell r="E302">
            <v>2</v>
          </cell>
          <cell r="F302">
            <v>0</v>
          </cell>
        </row>
        <row r="303">
          <cell r="E303">
            <v>1.86</v>
          </cell>
          <cell r="F303">
            <v>0</v>
          </cell>
        </row>
        <row r="304">
          <cell r="E304">
            <v>1.55</v>
          </cell>
          <cell r="F304">
            <v>0</v>
          </cell>
        </row>
        <row r="305">
          <cell r="E305">
            <v>9.1</v>
          </cell>
          <cell r="F305">
            <v>12</v>
          </cell>
        </row>
        <row r="306">
          <cell r="E306">
            <v>5.55</v>
          </cell>
          <cell r="F306">
            <v>15</v>
          </cell>
        </row>
        <row r="307">
          <cell r="E307">
            <v>2.91</v>
          </cell>
          <cell r="F307">
            <v>387</v>
          </cell>
        </row>
        <row r="308">
          <cell r="E308">
            <v>8</v>
          </cell>
          <cell r="F308">
            <v>0</v>
          </cell>
        </row>
        <row r="309">
          <cell r="E309">
            <v>13.51</v>
          </cell>
          <cell r="F309">
            <v>0</v>
          </cell>
        </row>
        <row r="310">
          <cell r="E310">
            <v>7</v>
          </cell>
          <cell r="F310">
            <v>0</v>
          </cell>
        </row>
        <row r="311">
          <cell r="E311">
            <v>250</v>
          </cell>
          <cell r="F311">
            <v>0</v>
          </cell>
        </row>
        <row r="312">
          <cell r="E312">
            <v>10</v>
          </cell>
          <cell r="F312">
            <v>0</v>
          </cell>
        </row>
        <row r="313">
          <cell r="E313">
            <v>18</v>
          </cell>
          <cell r="F313">
            <v>0</v>
          </cell>
        </row>
        <row r="314">
          <cell r="E314">
            <v>11.62</v>
          </cell>
          <cell r="F314">
            <v>0</v>
          </cell>
        </row>
        <row r="315">
          <cell r="E315">
            <v>20</v>
          </cell>
          <cell r="F315">
            <v>0</v>
          </cell>
        </row>
        <row r="316">
          <cell r="E316">
            <v>2</v>
          </cell>
          <cell r="F316">
            <v>0</v>
          </cell>
        </row>
        <row r="317">
          <cell r="E317">
            <v>15</v>
          </cell>
          <cell r="F317">
            <v>0</v>
          </cell>
        </row>
        <row r="318">
          <cell r="E318">
            <v>35</v>
          </cell>
          <cell r="F318">
            <v>0</v>
          </cell>
        </row>
        <row r="319">
          <cell r="E319">
            <v>12</v>
          </cell>
          <cell r="F319">
            <v>0</v>
          </cell>
        </row>
        <row r="320">
          <cell r="E320">
            <v>12</v>
          </cell>
          <cell r="F320">
            <v>0</v>
          </cell>
        </row>
        <row r="321">
          <cell r="E321">
            <v>20</v>
          </cell>
          <cell r="F321">
            <v>0</v>
          </cell>
        </row>
        <row r="322">
          <cell r="E322">
            <v>30</v>
          </cell>
          <cell r="F322">
            <v>0</v>
          </cell>
        </row>
        <row r="323">
          <cell r="E323">
            <v>20</v>
          </cell>
          <cell r="F323">
            <v>0</v>
          </cell>
        </row>
        <row r="324">
          <cell r="E324">
            <v>13.99</v>
          </cell>
          <cell r="F324">
            <v>0</v>
          </cell>
        </row>
        <row r="325">
          <cell r="E325">
            <v>7</v>
          </cell>
          <cell r="F325">
            <v>0</v>
          </cell>
        </row>
        <row r="326">
          <cell r="E326">
            <v>12</v>
          </cell>
          <cell r="F326">
            <v>14</v>
          </cell>
        </row>
        <row r="327">
          <cell r="E327">
            <v>135</v>
          </cell>
          <cell r="F327">
            <v>4</v>
          </cell>
        </row>
        <row r="328">
          <cell r="E328">
            <v>13</v>
          </cell>
          <cell r="F328">
            <v>0</v>
          </cell>
        </row>
        <row r="329">
          <cell r="E329">
            <v>0.9375</v>
          </cell>
          <cell r="F329">
            <v>84</v>
          </cell>
        </row>
        <row r="330">
          <cell r="E330">
            <v>5</v>
          </cell>
          <cell r="F330">
            <v>163</v>
          </cell>
        </row>
        <row r="331">
          <cell r="E331">
            <v>5.5</v>
          </cell>
          <cell r="F331">
            <v>52</v>
          </cell>
        </row>
        <row r="332">
          <cell r="E332">
            <v>28</v>
          </cell>
          <cell r="F332">
            <v>0</v>
          </cell>
        </row>
        <row r="333">
          <cell r="E333">
            <v>20</v>
          </cell>
          <cell r="F333">
            <v>0</v>
          </cell>
        </row>
        <row r="334">
          <cell r="E334">
            <v>13.65</v>
          </cell>
          <cell r="F334">
            <v>0</v>
          </cell>
        </row>
        <row r="335">
          <cell r="E335">
            <v>9.8000000000000007</v>
          </cell>
          <cell r="F335">
            <v>0</v>
          </cell>
        </row>
        <row r="336">
          <cell r="E336">
            <v>42.5</v>
          </cell>
          <cell r="F336">
            <v>0</v>
          </cell>
        </row>
        <row r="337">
          <cell r="E337">
            <v>0.68899999999999995</v>
          </cell>
          <cell r="F337">
            <v>0</v>
          </cell>
        </row>
        <row r="338">
          <cell r="E338">
            <v>0.27</v>
          </cell>
          <cell r="F338">
            <v>0</v>
          </cell>
        </row>
        <row r="339">
          <cell r="E339">
            <v>2.2999999999999998</v>
          </cell>
          <cell r="F339">
            <v>0</v>
          </cell>
        </row>
        <row r="340">
          <cell r="E340">
            <v>3</v>
          </cell>
          <cell r="F340">
            <v>0</v>
          </cell>
        </row>
        <row r="341">
          <cell r="E341">
            <v>3.35</v>
          </cell>
          <cell r="F341">
            <v>0</v>
          </cell>
        </row>
        <row r="342">
          <cell r="E342">
            <v>12.5</v>
          </cell>
          <cell r="F342">
            <v>0</v>
          </cell>
        </row>
        <row r="343">
          <cell r="E343">
            <v>44.22</v>
          </cell>
          <cell r="F343">
            <v>0</v>
          </cell>
        </row>
        <row r="344">
          <cell r="E344">
            <v>23.5</v>
          </cell>
          <cell r="F344">
            <v>2</v>
          </cell>
        </row>
        <row r="345">
          <cell r="E345">
            <v>10.5</v>
          </cell>
          <cell r="F345">
            <v>0</v>
          </cell>
        </row>
        <row r="346">
          <cell r="E346">
            <v>0.75</v>
          </cell>
          <cell r="F346">
            <v>60.3</v>
          </cell>
        </row>
        <row r="347">
          <cell r="E347">
            <v>6</v>
          </cell>
          <cell r="F347">
            <v>0</v>
          </cell>
        </row>
        <row r="348">
          <cell r="E348">
            <v>1.5</v>
          </cell>
          <cell r="F348">
            <v>50</v>
          </cell>
        </row>
        <row r="349">
          <cell r="E349">
            <v>3.42</v>
          </cell>
          <cell r="F349">
            <v>0</v>
          </cell>
        </row>
        <row r="350">
          <cell r="E350">
            <v>4</v>
          </cell>
          <cell r="F350">
            <v>0</v>
          </cell>
        </row>
        <row r="351">
          <cell r="E351">
            <v>1.67</v>
          </cell>
          <cell r="F351">
            <v>0</v>
          </cell>
        </row>
        <row r="352">
          <cell r="E352">
            <v>0</v>
          </cell>
          <cell r="F352">
            <v>90</v>
          </cell>
        </row>
        <row r="353">
          <cell r="E353">
            <v>10</v>
          </cell>
          <cell r="F353">
            <v>0</v>
          </cell>
        </row>
        <row r="354">
          <cell r="E354">
            <v>1</v>
          </cell>
          <cell r="F354">
            <v>0</v>
          </cell>
        </row>
        <row r="355">
          <cell r="E355">
            <v>1.5</v>
          </cell>
          <cell r="F355">
            <v>277</v>
          </cell>
        </row>
        <row r="356">
          <cell r="E356">
            <v>2</v>
          </cell>
          <cell r="F356">
            <v>0</v>
          </cell>
        </row>
        <row r="357">
          <cell r="E357">
            <v>2</v>
          </cell>
          <cell r="F357">
            <v>67</v>
          </cell>
        </row>
        <row r="358">
          <cell r="E358">
            <v>10</v>
          </cell>
          <cell r="F358">
            <v>0</v>
          </cell>
        </row>
        <row r="359">
          <cell r="E359">
            <v>33.299999999999997</v>
          </cell>
          <cell r="F359">
            <v>0</v>
          </cell>
        </row>
        <row r="360">
          <cell r="E360">
            <v>4.7699999999999996</v>
          </cell>
          <cell r="F360">
            <v>0</v>
          </cell>
        </row>
        <row r="361">
          <cell r="E361">
            <v>4</v>
          </cell>
          <cell r="F361">
            <v>1</v>
          </cell>
        </row>
        <row r="362">
          <cell r="E362">
            <v>1.35</v>
          </cell>
          <cell r="F362">
            <v>0</v>
          </cell>
        </row>
        <row r="363">
          <cell r="E363">
            <v>10</v>
          </cell>
          <cell r="F363">
            <v>0</v>
          </cell>
        </row>
        <row r="364">
          <cell r="E364">
            <v>1</v>
          </cell>
          <cell r="F364">
            <v>0</v>
          </cell>
        </row>
        <row r="365">
          <cell r="E365">
            <v>2.5</v>
          </cell>
          <cell r="F365">
            <v>0</v>
          </cell>
        </row>
        <row r="366">
          <cell r="E366">
            <v>23.6</v>
          </cell>
          <cell r="F366">
            <v>0</v>
          </cell>
        </row>
        <row r="367">
          <cell r="E367">
            <v>93</v>
          </cell>
          <cell r="F367">
            <v>0</v>
          </cell>
        </row>
        <row r="368">
          <cell r="E368">
            <v>15</v>
          </cell>
          <cell r="F368">
            <v>0</v>
          </cell>
        </row>
        <row r="369">
          <cell r="E369">
            <v>30</v>
          </cell>
          <cell r="F369">
            <v>0</v>
          </cell>
        </row>
        <row r="370">
          <cell r="E370">
            <v>46</v>
          </cell>
          <cell r="F370">
            <v>1</v>
          </cell>
        </row>
        <row r="371">
          <cell r="E371">
            <v>20</v>
          </cell>
          <cell r="F371">
            <v>0</v>
          </cell>
        </row>
        <row r="372">
          <cell r="E372">
            <v>50</v>
          </cell>
          <cell r="F372">
            <v>0</v>
          </cell>
        </row>
        <row r="373">
          <cell r="E373">
            <v>7</v>
          </cell>
          <cell r="F373">
            <v>28</v>
          </cell>
        </row>
        <row r="374">
          <cell r="E374">
            <v>4</v>
          </cell>
          <cell r="F374">
            <v>0</v>
          </cell>
        </row>
        <row r="375">
          <cell r="E375">
            <v>3.42</v>
          </cell>
          <cell r="F375">
            <v>0</v>
          </cell>
        </row>
        <row r="376">
          <cell r="E376">
            <v>25</v>
          </cell>
          <cell r="F376">
            <v>0</v>
          </cell>
        </row>
        <row r="377">
          <cell r="E377">
            <v>0</v>
          </cell>
          <cell r="F377">
            <v>7</v>
          </cell>
        </row>
        <row r="378">
          <cell r="E378">
            <v>1.02</v>
          </cell>
          <cell r="F378">
            <v>0</v>
          </cell>
        </row>
        <row r="379">
          <cell r="E379">
            <v>4.5</v>
          </cell>
          <cell r="F379">
            <v>0</v>
          </cell>
        </row>
        <row r="380">
          <cell r="E380">
            <v>0</v>
          </cell>
          <cell r="F380">
            <v>5</v>
          </cell>
        </row>
        <row r="381">
          <cell r="E381">
            <v>0</v>
          </cell>
          <cell r="F381">
            <v>6</v>
          </cell>
        </row>
        <row r="382">
          <cell r="E382">
            <v>0</v>
          </cell>
          <cell r="F382">
            <v>10</v>
          </cell>
        </row>
        <row r="383">
          <cell r="E383">
            <v>0.16</v>
          </cell>
          <cell r="F383">
            <v>33</v>
          </cell>
        </row>
        <row r="384">
          <cell r="E384">
            <v>5.5</v>
          </cell>
          <cell r="F384">
            <v>8</v>
          </cell>
        </row>
        <row r="385">
          <cell r="E385">
            <v>7</v>
          </cell>
          <cell r="F385">
            <v>4</v>
          </cell>
        </row>
        <row r="386">
          <cell r="E386">
            <v>12</v>
          </cell>
          <cell r="F386">
            <v>1</v>
          </cell>
        </row>
        <row r="387">
          <cell r="E387">
            <v>11.2</v>
          </cell>
          <cell r="F387">
            <v>35</v>
          </cell>
        </row>
        <row r="388">
          <cell r="E388">
            <v>1.4</v>
          </cell>
          <cell r="F388">
            <v>6</v>
          </cell>
        </row>
        <row r="389">
          <cell r="E389">
            <v>0.33</v>
          </cell>
          <cell r="F389">
            <v>2</v>
          </cell>
        </row>
        <row r="390">
          <cell r="E390">
            <v>1.5</v>
          </cell>
          <cell r="F390">
            <v>38</v>
          </cell>
        </row>
        <row r="391">
          <cell r="E391">
            <v>0</v>
          </cell>
          <cell r="F391">
            <v>1</v>
          </cell>
        </row>
        <row r="392">
          <cell r="E392">
            <v>0</v>
          </cell>
          <cell r="F392">
            <v>4</v>
          </cell>
        </row>
        <row r="393">
          <cell r="E393">
            <v>0</v>
          </cell>
          <cell r="F393">
            <v>0</v>
          </cell>
        </row>
        <row r="394">
          <cell r="E394">
            <v>10</v>
          </cell>
          <cell r="F394">
            <v>2</v>
          </cell>
        </row>
        <row r="395">
          <cell r="E395">
            <v>7</v>
          </cell>
          <cell r="F395">
            <v>1</v>
          </cell>
        </row>
        <row r="396">
          <cell r="E396">
            <v>0.35</v>
          </cell>
          <cell r="F396">
            <v>255</v>
          </cell>
        </row>
        <row r="397">
          <cell r="E397">
            <v>1.36</v>
          </cell>
          <cell r="F397">
            <v>0</v>
          </cell>
        </row>
        <row r="398">
          <cell r="E398">
            <v>0.1</v>
          </cell>
          <cell r="F398">
            <v>147</v>
          </cell>
        </row>
        <row r="399">
          <cell r="E399">
            <v>0.15</v>
          </cell>
          <cell r="F399">
            <v>47</v>
          </cell>
        </row>
        <row r="400">
          <cell r="E400">
            <v>0.35</v>
          </cell>
          <cell r="F400">
            <v>0</v>
          </cell>
        </row>
        <row r="401">
          <cell r="E401">
            <v>0</v>
          </cell>
          <cell r="F401">
            <v>2</v>
          </cell>
        </row>
        <row r="402">
          <cell r="E402">
            <v>0.5</v>
          </cell>
          <cell r="F402">
            <v>0</v>
          </cell>
        </row>
        <row r="403">
          <cell r="E403">
            <v>7</v>
          </cell>
          <cell r="F403">
            <v>17</v>
          </cell>
        </row>
        <row r="404">
          <cell r="E404">
            <v>6.8</v>
          </cell>
          <cell r="F404">
            <v>4</v>
          </cell>
        </row>
        <row r="405">
          <cell r="E405">
            <v>6.5</v>
          </cell>
          <cell r="F405">
            <v>2</v>
          </cell>
        </row>
        <row r="406">
          <cell r="E406">
            <v>0.35</v>
          </cell>
          <cell r="F406">
            <v>69</v>
          </cell>
        </row>
        <row r="407">
          <cell r="E407">
            <v>5</v>
          </cell>
          <cell r="F407">
            <v>1</v>
          </cell>
        </row>
        <row r="408">
          <cell r="E408">
            <v>6</v>
          </cell>
          <cell r="F408">
            <v>20</v>
          </cell>
        </row>
        <row r="409">
          <cell r="E409">
            <v>0.85</v>
          </cell>
          <cell r="F409">
            <v>79</v>
          </cell>
        </row>
        <row r="410">
          <cell r="E410">
            <v>1.9</v>
          </cell>
          <cell r="F410">
            <v>48</v>
          </cell>
        </row>
        <row r="411">
          <cell r="E411">
            <v>2.35</v>
          </cell>
          <cell r="F411">
            <v>27</v>
          </cell>
        </row>
        <row r="412">
          <cell r="E412">
            <v>2.72</v>
          </cell>
          <cell r="F412">
            <v>0</v>
          </cell>
        </row>
        <row r="413">
          <cell r="E413">
            <v>3</v>
          </cell>
          <cell r="F413">
            <v>0</v>
          </cell>
        </row>
        <row r="414">
          <cell r="E414">
            <v>1</v>
          </cell>
          <cell r="F414">
            <v>8</v>
          </cell>
        </row>
        <row r="415">
          <cell r="E415">
            <v>3.5</v>
          </cell>
          <cell r="F415">
            <v>8</v>
          </cell>
        </row>
        <row r="416">
          <cell r="E416">
            <v>2</v>
          </cell>
          <cell r="F416">
            <v>0</v>
          </cell>
        </row>
        <row r="417">
          <cell r="E417">
            <v>4.28</v>
          </cell>
          <cell r="F417">
            <v>71</v>
          </cell>
        </row>
        <row r="418">
          <cell r="E418">
            <v>16.5</v>
          </cell>
          <cell r="F418">
            <v>37</v>
          </cell>
        </row>
        <row r="419">
          <cell r="E419">
            <v>10</v>
          </cell>
          <cell r="F419">
            <v>0</v>
          </cell>
        </row>
        <row r="420">
          <cell r="E420">
            <v>0</v>
          </cell>
          <cell r="F420">
            <v>22</v>
          </cell>
        </row>
        <row r="421">
          <cell r="E421">
            <v>0</v>
          </cell>
          <cell r="F421">
            <v>4</v>
          </cell>
        </row>
        <row r="422">
          <cell r="E422">
            <v>0</v>
          </cell>
          <cell r="F422">
            <v>85</v>
          </cell>
        </row>
        <row r="423">
          <cell r="E423">
            <v>0</v>
          </cell>
          <cell r="F423">
            <v>0</v>
          </cell>
        </row>
        <row r="424">
          <cell r="E424">
            <v>0</v>
          </cell>
          <cell r="F424">
            <v>3</v>
          </cell>
        </row>
        <row r="425">
          <cell r="E425">
            <v>0</v>
          </cell>
          <cell r="F425">
            <v>1</v>
          </cell>
        </row>
        <row r="426">
          <cell r="E426">
            <v>0</v>
          </cell>
          <cell r="F426">
            <v>5</v>
          </cell>
        </row>
        <row r="427">
          <cell r="E427">
            <v>0</v>
          </cell>
          <cell r="F427">
            <v>1</v>
          </cell>
        </row>
        <row r="428">
          <cell r="E428">
            <v>0</v>
          </cell>
          <cell r="F428">
            <v>3</v>
          </cell>
        </row>
        <row r="429">
          <cell r="E429">
            <v>1.7</v>
          </cell>
          <cell r="F429">
            <v>0</v>
          </cell>
        </row>
        <row r="430">
          <cell r="E430">
            <v>10</v>
          </cell>
          <cell r="F430">
            <v>0</v>
          </cell>
        </row>
        <row r="431">
          <cell r="E431">
            <v>6.75</v>
          </cell>
          <cell r="F431">
            <v>0</v>
          </cell>
        </row>
        <row r="432">
          <cell r="E432">
            <v>3.23</v>
          </cell>
          <cell r="F432">
            <v>77</v>
          </cell>
        </row>
        <row r="433">
          <cell r="E433">
            <v>16</v>
          </cell>
          <cell r="F433">
            <v>0</v>
          </cell>
        </row>
        <row r="434">
          <cell r="E434">
            <v>0.85</v>
          </cell>
          <cell r="F434">
            <v>0</v>
          </cell>
        </row>
        <row r="435">
          <cell r="E435">
            <v>15</v>
          </cell>
          <cell r="F435">
            <v>0</v>
          </cell>
        </row>
        <row r="436">
          <cell r="E436">
            <v>65</v>
          </cell>
          <cell r="F436">
            <v>0</v>
          </cell>
        </row>
        <row r="437">
          <cell r="E437">
            <v>85</v>
          </cell>
          <cell r="F437">
            <v>0</v>
          </cell>
        </row>
        <row r="438">
          <cell r="E438">
            <v>33</v>
          </cell>
          <cell r="F438">
            <v>0</v>
          </cell>
        </row>
        <row r="439">
          <cell r="E439">
            <v>1.35</v>
          </cell>
          <cell r="F439">
            <v>28</v>
          </cell>
        </row>
        <row r="440">
          <cell r="E440">
            <v>1.35</v>
          </cell>
          <cell r="F440">
            <v>17</v>
          </cell>
        </row>
        <row r="441">
          <cell r="E441">
            <v>0.4</v>
          </cell>
          <cell r="F441">
            <v>0</v>
          </cell>
        </row>
        <row r="442">
          <cell r="E442">
            <v>3.04</v>
          </cell>
          <cell r="F442">
            <v>0</v>
          </cell>
        </row>
        <row r="443">
          <cell r="E443">
            <v>1</v>
          </cell>
          <cell r="F443">
            <v>0</v>
          </cell>
        </row>
        <row r="444">
          <cell r="E444">
            <v>1</v>
          </cell>
          <cell r="F444">
            <v>13</v>
          </cell>
        </row>
        <row r="445">
          <cell r="E445">
            <v>3.37</v>
          </cell>
          <cell r="F445">
            <v>76</v>
          </cell>
        </row>
        <row r="446">
          <cell r="E446">
            <v>1.1000000000000001</v>
          </cell>
          <cell r="F446">
            <v>48</v>
          </cell>
        </row>
        <row r="447">
          <cell r="E447">
            <v>1.4</v>
          </cell>
          <cell r="F447">
            <v>58</v>
          </cell>
        </row>
        <row r="448">
          <cell r="E448">
            <v>3.5</v>
          </cell>
          <cell r="F448">
            <v>92</v>
          </cell>
        </row>
        <row r="449">
          <cell r="E449">
            <v>7</v>
          </cell>
          <cell r="F449">
            <v>0</v>
          </cell>
        </row>
        <row r="450">
          <cell r="E450">
            <v>2.04</v>
          </cell>
          <cell r="F450">
            <v>1</v>
          </cell>
        </row>
        <row r="451">
          <cell r="E451">
            <v>0</v>
          </cell>
          <cell r="F451">
            <v>1</v>
          </cell>
        </row>
        <row r="452">
          <cell r="E452">
            <v>0</v>
          </cell>
          <cell r="F452">
            <v>3</v>
          </cell>
        </row>
        <row r="453">
          <cell r="E453">
            <v>7.5</v>
          </cell>
          <cell r="F453">
            <v>49</v>
          </cell>
        </row>
        <row r="454">
          <cell r="E454">
            <v>1.68</v>
          </cell>
          <cell r="F454">
            <v>34</v>
          </cell>
        </row>
        <row r="455">
          <cell r="E455">
            <v>0.38</v>
          </cell>
          <cell r="F455">
            <v>93</v>
          </cell>
        </row>
        <row r="456">
          <cell r="E456">
            <v>1.66</v>
          </cell>
          <cell r="F456">
            <v>0</v>
          </cell>
        </row>
        <row r="457">
          <cell r="E457">
            <v>7.5</v>
          </cell>
          <cell r="F457">
            <v>10</v>
          </cell>
        </row>
        <row r="458">
          <cell r="E458">
            <v>11</v>
          </cell>
          <cell r="F458">
            <v>0</v>
          </cell>
        </row>
        <row r="459">
          <cell r="E459">
            <v>1.7</v>
          </cell>
          <cell r="F459">
            <v>8</v>
          </cell>
        </row>
        <row r="460">
          <cell r="E460">
            <v>8</v>
          </cell>
          <cell r="F460">
            <v>0</v>
          </cell>
        </row>
        <row r="461">
          <cell r="E461">
            <v>0</v>
          </cell>
          <cell r="F461">
            <v>2</v>
          </cell>
        </row>
        <row r="462">
          <cell r="E462">
            <v>6</v>
          </cell>
          <cell r="F462">
            <v>0</v>
          </cell>
        </row>
        <row r="463">
          <cell r="E463">
            <v>5.5</v>
          </cell>
          <cell r="F463">
            <v>0</v>
          </cell>
        </row>
        <row r="464">
          <cell r="E464">
            <v>3.5</v>
          </cell>
          <cell r="F464">
            <v>27</v>
          </cell>
        </row>
        <row r="465">
          <cell r="E465">
            <v>0</v>
          </cell>
          <cell r="F465">
            <v>0</v>
          </cell>
        </row>
        <row r="466">
          <cell r="E466">
            <v>0</v>
          </cell>
          <cell r="F466">
            <v>0</v>
          </cell>
        </row>
        <row r="467">
          <cell r="E467">
            <v>3.5</v>
          </cell>
          <cell r="F467">
            <v>0</v>
          </cell>
        </row>
        <row r="468">
          <cell r="E468">
            <v>5.5</v>
          </cell>
          <cell r="F468">
            <v>91</v>
          </cell>
        </row>
        <row r="469">
          <cell r="E469">
            <v>3.5</v>
          </cell>
          <cell r="F469">
            <v>38</v>
          </cell>
        </row>
        <row r="470">
          <cell r="E470">
            <v>25</v>
          </cell>
          <cell r="F470">
            <v>0</v>
          </cell>
        </row>
        <row r="471">
          <cell r="E471">
            <v>2.4</v>
          </cell>
          <cell r="F471">
            <v>0.87</v>
          </cell>
        </row>
        <row r="472">
          <cell r="E472">
            <v>15</v>
          </cell>
          <cell r="F472">
            <v>4</v>
          </cell>
        </row>
        <row r="473">
          <cell r="E473">
            <v>19</v>
          </cell>
          <cell r="F473">
            <v>3.8330000000000002</v>
          </cell>
        </row>
        <row r="474">
          <cell r="E474">
            <v>6.2</v>
          </cell>
          <cell r="F474">
            <v>9</v>
          </cell>
        </row>
        <row r="475">
          <cell r="E475">
            <v>7.5</v>
          </cell>
          <cell r="F475">
            <v>0</v>
          </cell>
        </row>
        <row r="476">
          <cell r="E476">
            <v>10.1</v>
          </cell>
          <cell r="F476">
            <v>26</v>
          </cell>
        </row>
        <row r="477">
          <cell r="E477">
            <v>15.5</v>
          </cell>
          <cell r="F477">
            <v>20</v>
          </cell>
        </row>
        <row r="478">
          <cell r="E478">
            <v>2.5</v>
          </cell>
          <cell r="F478">
            <v>0</v>
          </cell>
        </row>
        <row r="479">
          <cell r="E479">
            <v>0</v>
          </cell>
          <cell r="F479">
            <v>1</v>
          </cell>
        </row>
        <row r="480">
          <cell r="E480">
            <v>50</v>
          </cell>
          <cell r="F480">
            <v>0</v>
          </cell>
        </row>
        <row r="481">
          <cell r="E481">
            <v>2.5</v>
          </cell>
          <cell r="F481">
            <v>0</v>
          </cell>
        </row>
        <row r="482">
          <cell r="E482">
            <v>16.5</v>
          </cell>
          <cell r="F482">
            <v>37</v>
          </cell>
        </row>
        <row r="483">
          <cell r="E483">
            <v>10.75</v>
          </cell>
          <cell r="F483">
            <v>0</v>
          </cell>
        </row>
        <row r="484">
          <cell r="E484">
            <v>0</v>
          </cell>
          <cell r="F484">
            <v>0</v>
          </cell>
        </row>
        <row r="485">
          <cell r="E485">
            <v>15</v>
          </cell>
          <cell r="F485">
            <v>0</v>
          </cell>
        </row>
        <row r="486">
          <cell r="E486">
            <v>28</v>
          </cell>
          <cell r="F486">
            <v>0</v>
          </cell>
        </row>
        <row r="487">
          <cell r="E487">
            <v>10.135</v>
          </cell>
          <cell r="F487">
            <v>0</v>
          </cell>
        </row>
        <row r="488">
          <cell r="E488">
            <v>3.5</v>
          </cell>
          <cell r="F488">
            <v>0</v>
          </cell>
        </row>
        <row r="489">
          <cell r="E489">
            <v>27.7</v>
          </cell>
          <cell r="F489">
            <v>5</v>
          </cell>
        </row>
        <row r="490">
          <cell r="E490">
            <v>0</v>
          </cell>
          <cell r="F490">
            <v>1</v>
          </cell>
        </row>
        <row r="491">
          <cell r="E491">
            <v>7</v>
          </cell>
          <cell r="F491">
            <v>14</v>
          </cell>
        </row>
        <row r="492">
          <cell r="E492">
            <v>67</v>
          </cell>
          <cell r="F492">
            <v>0</v>
          </cell>
        </row>
        <row r="493">
          <cell r="E493">
            <v>4.25</v>
          </cell>
          <cell r="F493">
            <v>0</v>
          </cell>
        </row>
        <row r="494">
          <cell r="E494">
            <v>17.5</v>
          </cell>
          <cell r="F494">
            <v>0</v>
          </cell>
        </row>
        <row r="495">
          <cell r="E495">
            <v>16.5</v>
          </cell>
          <cell r="F495">
            <v>0</v>
          </cell>
        </row>
        <row r="496">
          <cell r="E496">
            <v>3.55</v>
          </cell>
          <cell r="F496">
            <v>103</v>
          </cell>
        </row>
        <row r="497">
          <cell r="E497">
            <v>3</v>
          </cell>
          <cell r="F497">
            <v>0</v>
          </cell>
        </row>
        <row r="498">
          <cell r="E498">
            <v>5.5</v>
          </cell>
          <cell r="F498">
            <v>0</v>
          </cell>
        </row>
        <row r="499">
          <cell r="E499">
            <v>11</v>
          </cell>
          <cell r="F499">
            <v>2</v>
          </cell>
        </row>
        <row r="500">
          <cell r="E500">
            <v>95</v>
          </cell>
          <cell r="F500">
            <v>0</v>
          </cell>
        </row>
        <row r="501">
          <cell r="E501">
            <v>7</v>
          </cell>
          <cell r="F501">
            <v>0</v>
          </cell>
        </row>
        <row r="502">
          <cell r="E502">
            <v>12.244</v>
          </cell>
          <cell r="F502">
            <v>0</v>
          </cell>
        </row>
        <row r="503">
          <cell r="E503">
            <v>0</v>
          </cell>
          <cell r="F503">
            <v>0</v>
          </cell>
        </row>
        <row r="504">
          <cell r="E504">
            <v>7</v>
          </cell>
          <cell r="F504">
            <v>18</v>
          </cell>
        </row>
        <row r="505">
          <cell r="E505">
            <v>7</v>
          </cell>
          <cell r="F505">
            <v>4</v>
          </cell>
        </row>
        <row r="506">
          <cell r="E506">
            <v>3.29</v>
          </cell>
          <cell r="F506">
            <v>0</v>
          </cell>
        </row>
        <row r="507">
          <cell r="E507">
            <v>33.5</v>
          </cell>
          <cell r="F507">
            <v>15</v>
          </cell>
        </row>
        <row r="508">
          <cell r="E508">
            <v>13</v>
          </cell>
          <cell r="F508">
            <v>0</v>
          </cell>
        </row>
        <row r="509">
          <cell r="E509">
            <v>29</v>
          </cell>
          <cell r="F509">
            <v>0</v>
          </cell>
        </row>
        <row r="510">
          <cell r="E510">
            <v>0</v>
          </cell>
          <cell r="F510">
            <v>39</v>
          </cell>
        </row>
        <row r="511">
          <cell r="E511">
            <v>59.5</v>
          </cell>
          <cell r="F511">
            <v>3</v>
          </cell>
        </row>
        <row r="512">
          <cell r="E512">
            <v>0</v>
          </cell>
          <cell r="F512">
            <v>89</v>
          </cell>
        </row>
        <row r="513">
          <cell r="E513">
            <v>0.34399999999999997</v>
          </cell>
          <cell r="F513">
            <v>0</v>
          </cell>
        </row>
        <row r="514">
          <cell r="E514">
            <v>0.85</v>
          </cell>
          <cell r="F514">
            <v>1</v>
          </cell>
        </row>
        <row r="515">
          <cell r="E515">
            <v>3.5</v>
          </cell>
          <cell r="F515">
            <v>0</v>
          </cell>
        </row>
        <row r="516">
          <cell r="E516">
            <v>0.41</v>
          </cell>
          <cell r="F516">
            <v>575</v>
          </cell>
        </row>
        <row r="517">
          <cell r="E517">
            <v>0.25</v>
          </cell>
          <cell r="F517">
            <v>121</v>
          </cell>
        </row>
        <row r="518">
          <cell r="E518">
            <v>0.3</v>
          </cell>
          <cell r="F518">
            <v>180</v>
          </cell>
        </row>
        <row r="519">
          <cell r="E519">
            <v>0.2</v>
          </cell>
          <cell r="F519">
            <v>0</v>
          </cell>
        </row>
        <row r="520">
          <cell r="E520">
            <v>0.39</v>
          </cell>
          <cell r="F520">
            <v>88</v>
          </cell>
        </row>
        <row r="521">
          <cell r="E521">
            <v>0.6</v>
          </cell>
          <cell r="F521">
            <v>82</v>
          </cell>
        </row>
        <row r="522">
          <cell r="E522">
            <v>0.75</v>
          </cell>
          <cell r="F522">
            <v>104</v>
          </cell>
        </row>
        <row r="523">
          <cell r="E523">
            <v>0.2</v>
          </cell>
          <cell r="F523">
            <v>15</v>
          </cell>
        </row>
        <row r="524">
          <cell r="E524">
            <v>0.85</v>
          </cell>
          <cell r="F524">
            <v>980</v>
          </cell>
        </row>
        <row r="525">
          <cell r="E525">
            <v>1.25</v>
          </cell>
          <cell r="F525">
            <v>10</v>
          </cell>
        </row>
        <row r="526">
          <cell r="E526">
            <v>130</v>
          </cell>
          <cell r="F526">
            <v>0</v>
          </cell>
        </row>
        <row r="527">
          <cell r="E527">
            <v>13.6</v>
          </cell>
          <cell r="F527">
            <v>0</v>
          </cell>
        </row>
        <row r="528">
          <cell r="E528">
            <v>6.75</v>
          </cell>
          <cell r="F528">
            <v>0</v>
          </cell>
        </row>
        <row r="529">
          <cell r="E529">
            <v>6</v>
          </cell>
          <cell r="F529">
            <v>32</v>
          </cell>
        </row>
        <row r="530">
          <cell r="E530">
            <v>30</v>
          </cell>
          <cell r="F530">
            <v>0</v>
          </cell>
        </row>
        <row r="531">
          <cell r="E531">
            <v>6.5</v>
          </cell>
          <cell r="F531">
            <v>0</v>
          </cell>
        </row>
        <row r="532">
          <cell r="E532">
            <v>12</v>
          </cell>
          <cell r="F532">
            <v>0</v>
          </cell>
        </row>
        <row r="533">
          <cell r="E533">
            <v>6.8</v>
          </cell>
          <cell r="F533">
            <v>2</v>
          </cell>
        </row>
        <row r="534">
          <cell r="E534">
            <v>0.35</v>
          </cell>
          <cell r="F534">
            <v>46</v>
          </cell>
        </row>
        <row r="535">
          <cell r="E535">
            <v>0.5</v>
          </cell>
          <cell r="F535">
            <v>102</v>
          </cell>
        </row>
        <row r="536">
          <cell r="E536">
            <v>1</v>
          </cell>
          <cell r="F536">
            <v>10</v>
          </cell>
        </row>
        <row r="537">
          <cell r="E537">
            <v>7.5</v>
          </cell>
          <cell r="F537">
            <v>0</v>
          </cell>
        </row>
        <row r="538">
          <cell r="E538">
            <v>2.5</v>
          </cell>
          <cell r="F538">
            <v>0</v>
          </cell>
        </row>
        <row r="539">
          <cell r="E539">
            <v>50</v>
          </cell>
          <cell r="F539">
            <v>0</v>
          </cell>
        </row>
        <row r="540">
          <cell r="E540">
            <v>100</v>
          </cell>
          <cell r="F540">
            <v>0</v>
          </cell>
        </row>
        <row r="541">
          <cell r="E541">
            <v>170</v>
          </cell>
          <cell r="F541">
            <v>0</v>
          </cell>
        </row>
        <row r="542">
          <cell r="E542">
            <v>119</v>
          </cell>
          <cell r="F542">
            <v>0</v>
          </cell>
        </row>
        <row r="543">
          <cell r="E543">
            <v>255</v>
          </cell>
          <cell r="F543">
            <v>0</v>
          </cell>
        </row>
        <row r="544">
          <cell r="E544">
            <v>220</v>
          </cell>
          <cell r="F544">
            <v>0</v>
          </cell>
        </row>
        <row r="545">
          <cell r="E545">
            <v>70</v>
          </cell>
          <cell r="F545">
            <v>0</v>
          </cell>
        </row>
        <row r="546">
          <cell r="E546">
            <v>0.16</v>
          </cell>
          <cell r="F546">
            <v>100</v>
          </cell>
        </row>
        <row r="547">
          <cell r="E547">
            <v>2.85</v>
          </cell>
          <cell r="F547">
            <v>51</v>
          </cell>
        </row>
        <row r="548">
          <cell r="E548">
            <v>2.5</v>
          </cell>
          <cell r="F548">
            <v>30</v>
          </cell>
        </row>
        <row r="549">
          <cell r="E549">
            <v>2.7</v>
          </cell>
          <cell r="F549">
            <v>0</v>
          </cell>
        </row>
        <row r="550">
          <cell r="E550">
            <v>0.16</v>
          </cell>
          <cell r="F550">
            <v>441</v>
          </cell>
        </row>
        <row r="551">
          <cell r="E551">
            <v>0.35</v>
          </cell>
          <cell r="F551">
            <v>60</v>
          </cell>
        </row>
        <row r="552">
          <cell r="E552">
            <v>0.38</v>
          </cell>
          <cell r="F552">
            <v>8</v>
          </cell>
        </row>
        <row r="553">
          <cell r="E553">
            <v>0.33</v>
          </cell>
          <cell r="F553">
            <v>7</v>
          </cell>
        </row>
        <row r="554">
          <cell r="E554">
            <v>0.39</v>
          </cell>
          <cell r="F554">
            <v>32</v>
          </cell>
        </row>
        <row r="555">
          <cell r="E555">
            <v>0</v>
          </cell>
          <cell r="F555">
            <v>2</v>
          </cell>
        </row>
        <row r="556">
          <cell r="E556">
            <v>1</v>
          </cell>
          <cell r="F556">
            <v>0</v>
          </cell>
        </row>
        <row r="557">
          <cell r="E557">
            <v>0.8</v>
          </cell>
          <cell r="F557">
            <v>2</v>
          </cell>
        </row>
        <row r="558">
          <cell r="E558">
            <v>0.9</v>
          </cell>
          <cell r="F558">
            <v>0</v>
          </cell>
        </row>
        <row r="559">
          <cell r="E559">
            <v>15</v>
          </cell>
          <cell r="F559">
            <v>0</v>
          </cell>
        </row>
        <row r="560">
          <cell r="E560">
            <v>1.5</v>
          </cell>
          <cell r="F560">
            <v>32</v>
          </cell>
        </row>
        <row r="561">
          <cell r="E561">
            <v>15</v>
          </cell>
          <cell r="F561">
            <v>0</v>
          </cell>
        </row>
        <row r="562">
          <cell r="E562">
            <v>0.62</v>
          </cell>
          <cell r="F562">
            <v>97</v>
          </cell>
        </row>
        <row r="563">
          <cell r="E563">
            <v>0.69</v>
          </cell>
          <cell r="F563">
            <v>0</v>
          </cell>
        </row>
        <row r="564">
          <cell r="E564">
            <v>0</v>
          </cell>
          <cell r="F564">
            <v>2</v>
          </cell>
        </row>
        <row r="565">
          <cell r="E565">
            <v>2.2000000000000002</v>
          </cell>
          <cell r="F565">
            <v>1</v>
          </cell>
        </row>
        <row r="566">
          <cell r="E566">
            <v>1.35</v>
          </cell>
          <cell r="F566">
            <v>0</v>
          </cell>
        </row>
        <row r="567">
          <cell r="E567">
            <v>1.5</v>
          </cell>
          <cell r="F567">
            <v>26</v>
          </cell>
        </row>
        <row r="568">
          <cell r="E568">
            <v>3</v>
          </cell>
          <cell r="F568">
            <v>1</v>
          </cell>
        </row>
        <row r="569">
          <cell r="E569">
            <v>1.5</v>
          </cell>
          <cell r="F569">
            <v>0</v>
          </cell>
        </row>
        <row r="570">
          <cell r="E570">
            <v>1.5</v>
          </cell>
          <cell r="F570">
            <v>18</v>
          </cell>
        </row>
        <row r="571">
          <cell r="E571">
            <v>2</v>
          </cell>
          <cell r="F571">
            <v>0</v>
          </cell>
        </row>
        <row r="572">
          <cell r="E572">
            <v>0.6</v>
          </cell>
          <cell r="F572">
            <v>100</v>
          </cell>
        </row>
        <row r="573">
          <cell r="E573">
            <v>3.5</v>
          </cell>
          <cell r="F573">
            <v>0</v>
          </cell>
        </row>
        <row r="574">
          <cell r="E574">
            <v>0</v>
          </cell>
          <cell r="F574">
            <v>9</v>
          </cell>
        </row>
        <row r="575">
          <cell r="E575">
            <v>3.71</v>
          </cell>
          <cell r="F575">
            <v>0</v>
          </cell>
        </row>
        <row r="576">
          <cell r="E576">
            <v>0</v>
          </cell>
          <cell r="F576">
            <v>1</v>
          </cell>
        </row>
        <row r="577">
          <cell r="E577">
            <v>20</v>
          </cell>
          <cell r="F577">
            <v>0</v>
          </cell>
        </row>
        <row r="578">
          <cell r="E578">
            <v>25</v>
          </cell>
          <cell r="F578">
            <v>0</v>
          </cell>
        </row>
        <row r="579">
          <cell r="E579">
            <v>0</v>
          </cell>
          <cell r="F579">
            <v>4</v>
          </cell>
        </row>
        <row r="580">
          <cell r="E580">
            <v>0</v>
          </cell>
          <cell r="F580">
            <v>7</v>
          </cell>
        </row>
        <row r="581">
          <cell r="E581">
            <v>55</v>
          </cell>
          <cell r="F581">
            <v>0</v>
          </cell>
        </row>
        <row r="582">
          <cell r="E582">
            <v>45</v>
          </cell>
          <cell r="F582">
            <v>0</v>
          </cell>
        </row>
        <row r="583">
          <cell r="E583">
            <v>2</v>
          </cell>
          <cell r="F583">
            <v>237</v>
          </cell>
        </row>
        <row r="584">
          <cell r="E584">
            <v>1.8</v>
          </cell>
          <cell r="F584">
            <v>0</v>
          </cell>
        </row>
        <row r="585">
          <cell r="E585">
            <v>6</v>
          </cell>
          <cell r="F585">
            <v>0</v>
          </cell>
        </row>
        <row r="586">
          <cell r="E586">
            <v>2</v>
          </cell>
          <cell r="F586">
            <v>0</v>
          </cell>
        </row>
        <row r="587">
          <cell r="E587">
            <v>0</v>
          </cell>
          <cell r="F587">
            <v>19</v>
          </cell>
        </row>
        <row r="588">
          <cell r="E588">
            <v>2</v>
          </cell>
          <cell r="F588">
            <v>53</v>
          </cell>
        </row>
        <row r="589">
          <cell r="E589">
            <v>0</v>
          </cell>
          <cell r="F589">
            <v>0</v>
          </cell>
        </row>
        <row r="590">
          <cell r="E590">
            <v>3</v>
          </cell>
          <cell r="F590">
            <v>1</v>
          </cell>
        </row>
        <row r="591">
          <cell r="E591">
            <v>0</v>
          </cell>
          <cell r="F591">
            <v>9</v>
          </cell>
        </row>
        <row r="592">
          <cell r="E592">
            <v>0</v>
          </cell>
          <cell r="F592">
            <v>34</v>
          </cell>
        </row>
        <row r="593">
          <cell r="E593">
            <v>0</v>
          </cell>
          <cell r="F593">
            <v>37</v>
          </cell>
        </row>
        <row r="594">
          <cell r="E594">
            <v>0</v>
          </cell>
          <cell r="F594">
            <v>11</v>
          </cell>
        </row>
        <row r="595">
          <cell r="E595">
            <v>4.9000000000000004</v>
          </cell>
          <cell r="F595">
            <v>7</v>
          </cell>
        </row>
        <row r="596">
          <cell r="E596">
            <v>0</v>
          </cell>
          <cell r="F596">
            <v>0</v>
          </cell>
        </row>
        <row r="597">
          <cell r="E597">
            <v>0.81</v>
          </cell>
          <cell r="F597">
            <v>141</v>
          </cell>
        </row>
        <row r="598">
          <cell r="E598">
            <v>0.8</v>
          </cell>
          <cell r="F598">
            <v>97</v>
          </cell>
        </row>
        <row r="599">
          <cell r="E599">
            <v>0.35</v>
          </cell>
          <cell r="F599">
            <v>0</v>
          </cell>
        </row>
        <row r="600">
          <cell r="E600">
            <v>2.25</v>
          </cell>
          <cell r="F600">
            <v>128</v>
          </cell>
        </row>
        <row r="601">
          <cell r="E601">
            <v>3</v>
          </cell>
          <cell r="F601">
            <v>49</v>
          </cell>
        </row>
        <row r="602">
          <cell r="E602">
            <v>1.5</v>
          </cell>
          <cell r="F602">
            <v>4</v>
          </cell>
        </row>
        <row r="603">
          <cell r="E603">
            <v>1</v>
          </cell>
          <cell r="F603">
            <v>9</v>
          </cell>
        </row>
        <row r="604">
          <cell r="E604">
            <v>1</v>
          </cell>
          <cell r="F604">
            <v>45</v>
          </cell>
        </row>
        <row r="605">
          <cell r="E605">
            <v>2.2000000000000002</v>
          </cell>
          <cell r="F605">
            <v>4</v>
          </cell>
        </row>
        <row r="606">
          <cell r="E606">
            <v>1.75</v>
          </cell>
          <cell r="F606">
            <v>10</v>
          </cell>
        </row>
        <row r="607">
          <cell r="E607">
            <v>1.9</v>
          </cell>
          <cell r="F607">
            <v>4</v>
          </cell>
        </row>
        <row r="608">
          <cell r="E608">
            <v>2</v>
          </cell>
          <cell r="F608">
            <v>4</v>
          </cell>
        </row>
        <row r="609">
          <cell r="E609">
            <v>1.5</v>
          </cell>
          <cell r="F609">
            <v>6</v>
          </cell>
        </row>
        <row r="610">
          <cell r="E610">
            <v>2.2000000000000002</v>
          </cell>
          <cell r="F610">
            <v>8</v>
          </cell>
        </row>
        <row r="611">
          <cell r="E611">
            <v>2.5</v>
          </cell>
          <cell r="F611">
            <v>0</v>
          </cell>
        </row>
        <row r="612">
          <cell r="E612">
            <v>2</v>
          </cell>
          <cell r="F612">
            <v>7</v>
          </cell>
        </row>
        <row r="613">
          <cell r="E613">
            <v>2</v>
          </cell>
          <cell r="F613">
            <v>0</v>
          </cell>
        </row>
        <row r="614">
          <cell r="E614">
            <v>2</v>
          </cell>
          <cell r="F614">
            <v>0</v>
          </cell>
        </row>
        <row r="615">
          <cell r="E615">
            <v>2.5</v>
          </cell>
          <cell r="F615">
            <v>0</v>
          </cell>
        </row>
        <row r="616">
          <cell r="E616">
            <v>0</v>
          </cell>
          <cell r="F616">
            <v>1</v>
          </cell>
        </row>
        <row r="617">
          <cell r="E617">
            <v>0</v>
          </cell>
          <cell r="F617">
            <v>3</v>
          </cell>
        </row>
        <row r="618">
          <cell r="E618">
            <v>6.5</v>
          </cell>
          <cell r="F618">
            <v>5</v>
          </cell>
        </row>
        <row r="619">
          <cell r="E619">
            <v>7.5</v>
          </cell>
          <cell r="F619">
            <v>1</v>
          </cell>
        </row>
        <row r="620">
          <cell r="E620">
            <v>4</v>
          </cell>
          <cell r="F620">
            <v>0</v>
          </cell>
        </row>
        <row r="621">
          <cell r="E621">
            <v>0.6</v>
          </cell>
          <cell r="F621">
            <v>22</v>
          </cell>
        </row>
        <row r="622">
          <cell r="E622">
            <v>1.68</v>
          </cell>
          <cell r="F622">
            <v>50</v>
          </cell>
        </row>
        <row r="623">
          <cell r="E623">
            <v>0</v>
          </cell>
          <cell r="F623">
            <v>128</v>
          </cell>
        </row>
        <row r="624">
          <cell r="E624">
            <v>0</v>
          </cell>
          <cell r="F624">
            <v>17</v>
          </cell>
        </row>
        <row r="625">
          <cell r="E625">
            <v>0</v>
          </cell>
          <cell r="F625">
            <v>2</v>
          </cell>
        </row>
        <row r="626">
          <cell r="E626">
            <v>1</v>
          </cell>
          <cell r="F626">
            <v>197</v>
          </cell>
        </row>
        <row r="627">
          <cell r="E627">
            <v>7</v>
          </cell>
          <cell r="F627">
            <v>0</v>
          </cell>
        </row>
        <row r="628">
          <cell r="E628">
            <v>2</v>
          </cell>
          <cell r="F628">
            <v>60.200000000000017</v>
          </cell>
        </row>
        <row r="629">
          <cell r="E629">
            <v>0.1</v>
          </cell>
          <cell r="F629">
            <v>9</v>
          </cell>
        </row>
        <row r="630">
          <cell r="E630">
            <v>0.08</v>
          </cell>
          <cell r="F630">
            <v>4</v>
          </cell>
        </row>
        <row r="631">
          <cell r="E631">
            <v>3.3000000000000002E-2</v>
          </cell>
          <cell r="F631">
            <v>53</v>
          </cell>
        </row>
        <row r="632">
          <cell r="E632">
            <v>0.06</v>
          </cell>
          <cell r="F632">
            <v>0</v>
          </cell>
        </row>
        <row r="633">
          <cell r="E633">
            <v>0.04</v>
          </cell>
          <cell r="F633">
            <v>186</v>
          </cell>
        </row>
        <row r="634">
          <cell r="E634">
            <v>1</v>
          </cell>
          <cell r="F634">
            <v>0</v>
          </cell>
        </row>
        <row r="635">
          <cell r="E635">
            <v>0.06</v>
          </cell>
          <cell r="F635">
            <v>348</v>
          </cell>
        </row>
        <row r="636">
          <cell r="E636">
            <v>0.09</v>
          </cell>
          <cell r="F636">
            <v>61</v>
          </cell>
        </row>
        <row r="637">
          <cell r="E637">
            <v>16</v>
          </cell>
          <cell r="F637">
            <v>0</v>
          </cell>
        </row>
        <row r="638">
          <cell r="E638">
            <v>32</v>
          </cell>
          <cell r="F638">
            <v>0</v>
          </cell>
        </row>
        <row r="639">
          <cell r="E639">
            <v>29</v>
          </cell>
          <cell r="F639">
            <v>0</v>
          </cell>
        </row>
        <row r="640">
          <cell r="E640">
            <v>30</v>
          </cell>
          <cell r="F640">
            <v>0</v>
          </cell>
        </row>
        <row r="641">
          <cell r="E641">
            <v>52.503</v>
          </cell>
          <cell r="F641">
            <v>0</v>
          </cell>
        </row>
        <row r="642">
          <cell r="E642">
            <v>9.68</v>
          </cell>
          <cell r="F642">
            <v>0</v>
          </cell>
        </row>
        <row r="643">
          <cell r="E643">
            <v>90</v>
          </cell>
          <cell r="F643">
            <v>0</v>
          </cell>
        </row>
        <row r="644">
          <cell r="E644">
            <v>33</v>
          </cell>
          <cell r="F644">
            <v>0</v>
          </cell>
        </row>
        <row r="645">
          <cell r="E645">
            <v>7</v>
          </cell>
          <cell r="F645">
            <v>1</v>
          </cell>
        </row>
        <row r="646">
          <cell r="E646">
            <v>95</v>
          </cell>
          <cell r="F646">
            <v>0</v>
          </cell>
        </row>
        <row r="647">
          <cell r="E647">
            <v>3</v>
          </cell>
          <cell r="F647">
            <v>29</v>
          </cell>
        </row>
        <row r="648">
          <cell r="E648">
            <v>28</v>
          </cell>
          <cell r="F648">
            <v>0</v>
          </cell>
        </row>
        <row r="649">
          <cell r="E649">
            <v>50</v>
          </cell>
          <cell r="F649">
            <v>0</v>
          </cell>
        </row>
        <row r="650">
          <cell r="E650">
            <v>2</v>
          </cell>
          <cell r="F650">
            <v>0</v>
          </cell>
        </row>
        <row r="651">
          <cell r="E651">
            <v>6.55</v>
          </cell>
          <cell r="F651">
            <v>0</v>
          </cell>
        </row>
        <row r="652">
          <cell r="E652">
            <v>0</v>
          </cell>
          <cell r="F652">
            <v>0</v>
          </cell>
        </row>
        <row r="653">
          <cell r="E653">
            <v>4</v>
          </cell>
          <cell r="F653">
            <v>0</v>
          </cell>
        </row>
        <row r="654">
          <cell r="E654">
            <v>3</v>
          </cell>
          <cell r="F654">
            <v>16</v>
          </cell>
        </row>
        <row r="655">
          <cell r="E655">
            <v>4.5</v>
          </cell>
          <cell r="F655">
            <v>161</v>
          </cell>
        </row>
        <row r="656">
          <cell r="E656">
            <v>3.95</v>
          </cell>
          <cell r="F656">
            <v>4</v>
          </cell>
        </row>
        <row r="657">
          <cell r="E657">
            <v>0.5</v>
          </cell>
          <cell r="F657">
            <v>0</v>
          </cell>
        </row>
        <row r="658">
          <cell r="E658">
            <v>0.25</v>
          </cell>
          <cell r="F658">
            <v>9</v>
          </cell>
        </row>
        <row r="659">
          <cell r="E659">
            <v>0.6</v>
          </cell>
          <cell r="F659">
            <v>5</v>
          </cell>
        </row>
        <row r="660">
          <cell r="E660">
            <v>0.6</v>
          </cell>
          <cell r="F660">
            <v>0</v>
          </cell>
        </row>
        <row r="661">
          <cell r="E661">
            <v>0.37</v>
          </cell>
          <cell r="F661">
            <v>516</v>
          </cell>
        </row>
        <row r="662">
          <cell r="E662">
            <v>0.65</v>
          </cell>
          <cell r="F662">
            <v>0</v>
          </cell>
        </row>
        <row r="663">
          <cell r="E663">
            <v>0.62</v>
          </cell>
          <cell r="F663">
            <v>27</v>
          </cell>
        </row>
        <row r="664">
          <cell r="E664">
            <v>22</v>
          </cell>
          <cell r="F664">
            <v>0</v>
          </cell>
        </row>
        <row r="665">
          <cell r="F665">
            <v>1</v>
          </cell>
        </row>
        <row r="666">
          <cell r="E666">
            <v>0.51</v>
          </cell>
          <cell r="F666">
            <v>18</v>
          </cell>
        </row>
        <row r="667">
          <cell r="E667">
            <v>0.95</v>
          </cell>
          <cell r="F667">
            <v>112</v>
          </cell>
        </row>
        <row r="668">
          <cell r="E668">
            <v>2.12</v>
          </cell>
          <cell r="F668">
            <v>30</v>
          </cell>
        </row>
        <row r="669">
          <cell r="E669">
            <v>6.8</v>
          </cell>
          <cell r="F669">
            <v>2</v>
          </cell>
        </row>
        <row r="670">
          <cell r="E670">
            <v>3.25</v>
          </cell>
          <cell r="F670">
            <v>0</v>
          </cell>
        </row>
        <row r="671">
          <cell r="E671">
            <v>2.2000000000000002</v>
          </cell>
          <cell r="F671">
            <v>100</v>
          </cell>
        </row>
        <row r="672">
          <cell r="E672">
            <v>0</v>
          </cell>
          <cell r="F672">
            <v>0</v>
          </cell>
        </row>
        <row r="673">
          <cell r="E673">
            <v>0</v>
          </cell>
          <cell r="F673">
            <v>6</v>
          </cell>
        </row>
        <row r="674">
          <cell r="E674">
            <v>0</v>
          </cell>
          <cell r="F674">
            <v>2</v>
          </cell>
        </row>
        <row r="675">
          <cell r="E675">
            <v>0</v>
          </cell>
          <cell r="F675">
            <v>0</v>
          </cell>
        </row>
        <row r="676">
          <cell r="E676">
            <v>0</v>
          </cell>
          <cell r="F676">
            <v>6</v>
          </cell>
        </row>
        <row r="677">
          <cell r="E677">
            <v>0</v>
          </cell>
          <cell r="F677">
            <v>1</v>
          </cell>
        </row>
        <row r="678">
          <cell r="E678">
            <v>0</v>
          </cell>
          <cell r="F678">
            <v>18</v>
          </cell>
        </row>
        <row r="679">
          <cell r="E679">
            <v>0</v>
          </cell>
          <cell r="F679">
            <v>25</v>
          </cell>
        </row>
        <row r="680">
          <cell r="E680">
            <v>3.37</v>
          </cell>
          <cell r="F680">
            <v>0</v>
          </cell>
        </row>
        <row r="681">
          <cell r="E681">
            <v>0.19</v>
          </cell>
          <cell r="F681">
            <v>1278</v>
          </cell>
        </row>
        <row r="682">
          <cell r="E682">
            <v>0.19</v>
          </cell>
          <cell r="F682">
            <v>2</v>
          </cell>
        </row>
        <row r="683">
          <cell r="E683">
            <v>55</v>
          </cell>
          <cell r="F683">
            <v>0</v>
          </cell>
        </row>
        <row r="684">
          <cell r="E684">
            <v>0.35</v>
          </cell>
          <cell r="F684">
            <v>7</v>
          </cell>
        </row>
        <row r="685">
          <cell r="E685">
            <v>4</v>
          </cell>
          <cell r="F685">
            <v>21</v>
          </cell>
        </row>
        <row r="686">
          <cell r="E686">
            <v>70</v>
          </cell>
          <cell r="F686">
            <v>0</v>
          </cell>
        </row>
        <row r="687">
          <cell r="E687">
            <v>10</v>
          </cell>
          <cell r="F687">
            <v>40</v>
          </cell>
        </row>
        <row r="688">
          <cell r="E688">
            <v>5.5</v>
          </cell>
          <cell r="F688">
            <v>96</v>
          </cell>
        </row>
        <row r="689">
          <cell r="E689">
            <v>15</v>
          </cell>
          <cell r="F689">
            <v>0</v>
          </cell>
        </row>
        <row r="690">
          <cell r="E690">
            <v>3</v>
          </cell>
          <cell r="F690">
            <v>6</v>
          </cell>
        </row>
        <row r="691">
          <cell r="E691">
            <v>3.5</v>
          </cell>
          <cell r="F691">
            <v>16</v>
          </cell>
        </row>
        <row r="692">
          <cell r="E692">
            <v>2.84</v>
          </cell>
          <cell r="F692">
            <v>9</v>
          </cell>
        </row>
        <row r="693">
          <cell r="E693">
            <v>4</v>
          </cell>
          <cell r="F693">
            <v>7</v>
          </cell>
        </row>
        <row r="694">
          <cell r="E694">
            <v>5.25</v>
          </cell>
          <cell r="F694">
            <v>73</v>
          </cell>
        </row>
        <row r="695">
          <cell r="E695">
            <v>22.75</v>
          </cell>
          <cell r="F695">
            <v>1</v>
          </cell>
        </row>
        <row r="696">
          <cell r="E696">
            <v>1.6</v>
          </cell>
          <cell r="F696">
            <v>37</v>
          </cell>
        </row>
        <row r="697">
          <cell r="E697">
            <v>5.5</v>
          </cell>
          <cell r="F697">
            <v>0</v>
          </cell>
        </row>
        <row r="698">
          <cell r="E698">
            <v>11</v>
          </cell>
          <cell r="F698">
            <v>18</v>
          </cell>
        </row>
        <row r="699">
          <cell r="E699">
            <v>30</v>
          </cell>
          <cell r="F699">
            <v>0</v>
          </cell>
        </row>
        <row r="700">
          <cell r="E700">
            <v>7</v>
          </cell>
          <cell r="F700">
            <v>6</v>
          </cell>
        </row>
        <row r="701">
          <cell r="E701">
            <v>6.5</v>
          </cell>
          <cell r="F701">
            <v>0</v>
          </cell>
        </row>
        <row r="702">
          <cell r="E702">
            <v>10</v>
          </cell>
          <cell r="F702">
            <v>0</v>
          </cell>
        </row>
        <row r="703">
          <cell r="E703">
            <v>8</v>
          </cell>
          <cell r="F703">
            <v>67</v>
          </cell>
        </row>
        <row r="704">
          <cell r="E704">
            <v>14</v>
          </cell>
          <cell r="F704">
            <v>0</v>
          </cell>
        </row>
        <row r="705">
          <cell r="E705">
            <v>11.1</v>
          </cell>
          <cell r="F705">
            <v>30</v>
          </cell>
        </row>
        <row r="706">
          <cell r="E706">
            <v>16</v>
          </cell>
          <cell r="F706">
            <v>17</v>
          </cell>
        </row>
        <row r="707">
          <cell r="E707">
            <v>0</v>
          </cell>
          <cell r="F707">
            <v>1</v>
          </cell>
        </row>
        <row r="708">
          <cell r="E708">
            <v>6</v>
          </cell>
          <cell r="F708">
            <v>300</v>
          </cell>
        </row>
        <row r="709">
          <cell r="E709">
            <v>2.7</v>
          </cell>
          <cell r="F709">
            <v>0</v>
          </cell>
        </row>
        <row r="710">
          <cell r="E710">
            <v>3.27</v>
          </cell>
          <cell r="F710">
            <v>0</v>
          </cell>
        </row>
        <row r="711">
          <cell r="E711">
            <v>4.5</v>
          </cell>
          <cell r="F711">
            <v>0</v>
          </cell>
        </row>
        <row r="712">
          <cell r="E712">
            <v>7</v>
          </cell>
          <cell r="F712">
            <v>6</v>
          </cell>
        </row>
        <row r="713">
          <cell r="E713">
            <v>2.11</v>
          </cell>
          <cell r="F713">
            <v>0</v>
          </cell>
        </row>
        <row r="714">
          <cell r="E714">
            <v>15</v>
          </cell>
          <cell r="F714">
            <v>0</v>
          </cell>
        </row>
        <row r="715">
          <cell r="E715">
            <v>9</v>
          </cell>
          <cell r="F715">
            <v>0</v>
          </cell>
        </row>
        <row r="716">
          <cell r="E716">
            <v>0</v>
          </cell>
          <cell r="F716">
            <v>0</v>
          </cell>
        </row>
        <row r="717">
          <cell r="E717">
            <v>10.5</v>
          </cell>
          <cell r="F717">
            <v>3</v>
          </cell>
        </row>
        <row r="718">
          <cell r="E718">
            <v>10</v>
          </cell>
          <cell r="F718">
            <v>8</v>
          </cell>
        </row>
        <row r="719">
          <cell r="E719">
            <v>11</v>
          </cell>
          <cell r="F719">
            <v>8</v>
          </cell>
        </row>
        <row r="720">
          <cell r="E720">
            <v>20</v>
          </cell>
          <cell r="F720">
            <v>21</v>
          </cell>
        </row>
        <row r="721">
          <cell r="E721">
            <v>16.899999999999999</v>
          </cell>
          <cell r="F721">
            <v>0</v>
          </cell>
        </row>
        <row r="722">
          <cell r="E722">
            <v>52</v>
          </cell>
          <cell r="F722">
            <v>2</v>
          </cell>
        </row>
        <row r="723">
          <cell r="E723">
            <v>6</v>
          </cell>
          <cell r="F723">
            <v>7</v>
          </cell>
        </row>
        <row r="724">
          <cell r="E724">
            <v>8.5</v>
          </cell>
          <cell r="F724">
            <v>0</v>
          </cell>
        </row>
        <row r="725">
          <cell r="E725">
            <v>65</v>
          </cell>
          <cell r="F725">
            <v>1</v>
          </cell>
        </row>
        <row r="726">
          <cell r="E726">
            <v>80</v>
          </cell>
          <cell r="F726">
            <v>0</v>
          </cell>
        </row>
        <row r="727">
          <cell r="E727">
            <v>90</v>
          </cell>
          <cell r="F727">
            <v>0</v>
          </cell>
        </row>
        <row r="728">
          <cell r="E728">
            <v>0</v>
          </cell>
          <cell r="F728">
            <v>2</v>
          </cell>
        </row>
        <row r="729">
          <cell r="E729">
            <v>0</v>
          </cell>
          <cell r="F729">
            <v>0</v>
          </cell>
        </row>
        <row r="730">
          <cell r="E730">
            <v>8.5</v>
          </cell>
          <cell r="F730">
            <v>3</v>
          </cell>
        </row>
        <row r="731">
          <cell r="E731">
            <v>0</v>
          </cell>
          <cell r="F731">
            <v>5</v>
          </cell>
        </row>
        <row r="732">
          <cell r="E732">
            <v>0</v>
          </cell>
          <cell r="F732">
            <v>23</v>
          </cell>
        </row>
        <row r="733">
          <cell r="E733">
            <v>0</v>
          </cell>
          <cell r="F733">
            <v>0</v>
          </cell>
        </row>
        <row r="734">
          <cell r="E734">
            <v>0</v>
          </cell>
          <cell r="F734">
            <v>5</v>
          </cell>
        </row>
        <row r="735">
          <cell r="E735">
            <v>0</v>
          </cell>
          <cell r="F735">
            <v>5</v>
          </cell>
        </row>
        <row r="736">
          <cell r="E736">
            <v>0</v>
          </cell>
          <cell r="F736">
            <v>19</v>
          </cell>
        </row>
        <row r="737">
          <cell r="E737">
            <v>0</v>
          </cell>
          <cell r="F737">
            <v>0</v>
          </cell>
        </row>
        <row r="738">
          <cell r="E738">
            <v>1.5</v>
          </cell>
          <cell r="F738">
            <v>56</v>
          </cell>
        </row>
        <row r="739">
          <cell r="E739">
            <v>2.85</v>
          </cell>
          <cell r="F739">
            <v>78</v>
          </cell>
        </row>
        <row r="740">
          <cell r="E740">
            <v>3</v>
          </cell>
          <cell r="F740">
            <v>0</v>
          </cell>
        </row>
        <row r="741">
          <cell r="E741">
            <v>6.75</v>
          </cell>
          <cell r="F741">
            <v>19</v>
          </cell>
        </row>
        <row r="742">
          <cell r="E742">
            <v>2.5</v>
          </cell>
          <cell r="F742">
            <v>7</v>
          </cell>
        </row>
        <row r="743">
          <cell r="E743">
            <v>9.84</v>
          </cell>
          <cell r="F743">
            <v>0</v>
          </cell>
        </row>
        <row r="744">
          <cell r="E744">
            <v>4</v>
          </cell>
          <cell r="F744">
            <v>0</v>
          </cell>
        </row>
        <row r="745">
          <cell r="E745">
            <v>15</v>
          </cell>
          <cell r="F745">
            <v>0</v>
          </cell>
        </row>
        <row r="746">
          <cell r="E746">
            <v>3</v>
          </cell>
          <cell r="F746">
            <v>67</v>
          </cell>
        </row>
        <row r="747">
          <cell r="E747">
            <v>250</v>
          </cell>
          <cell r="F747">
            <v>0</v>
          </cell>
        </row>
        <row r="748">
          <cell r="E748">
            <v>885</v>
          </cell>
          <cell r="F748">
            <v>0</v>
          </cell>
        </row>
        <row r="749">
          <cell r="E749">
            <v>2200</v>
          </cell>
          <cell r="F749">
            <v>0</v>
          </cell>
        </row>
        <row r="750">
          <cell r="E750">
            <v>1500</v>
          </cell>
          <cell r="F750">
            <v>0</v>
          </cell>
        </row>
        <row r="751">
          <cell r="E751">
            <v>4</v>
          </cell>
          <cell r="F751">
            <v>0</v>
          </cell>
        </row>
        <row r="752">
          <cell r="E752">
            <v>2.5</v>
          </cell>
          <cell r="F752">
            <v>0</v>
          </cell>
        </row>
        <row r="753">
          <cell r="E753">
            <v>11</v>
          </cell>
          <cell r="F753">
            <v>12</v>
          </cell>
        </row>
        <row r="754">
          <cell r="E754">
            <v>275</v>
          </cell>
          <cell r="F754">
            <v>0</v>
          </cell>
        </row>
        <row r="755">
          <cell r="E755">
            <v>41.872</v>
          </cell>
          <cell r="F755">
            <v>0</v>
          </cell>
        </row>
        <row r="756">
          <cell r="E756">
            <v>0.65</v>
          </cell>
          <cell r="F756">
            <v>0</v>
          </cell>
        </row>
        <row r="757">
          <cell r="E757">
            <v>8</v>
          </cell>
          <cell r="F757">
            <v>0</v>
          </cell>
        </row>
        <row r="758">
          <cell r="E758">
            <v>8</v>
          </cell>
          <cell r="F758">
            <v>0</v>
          </cell>
        </row>
        <row r="759">
          <cell r="E759">
            <v>1.36</v>
          </cell>
          <cell r="F759">
            <v>0</v>
          </cell>
        </row>
        <row r="760">
          <cell r="E760">
            <v>17</v>
          </cell>
          <cell r="F760">
            <v>11</v>
          </cell>
        </row>
        <row r="761">
          <cell r="E761">
            <v>5.5</v>
          </cell>
          <cell r="F761">
            <v>14</v>
          </cell>
        </row>
        <row r="762">
          <cell r="E762">
            <v>2</v>
          </cell>
          <cell r="F762">
            <v>84</v>
          </cell>
        </row>
        <row r="763">
          <cell r="E763">
            <v>1</v>
          </cell>
          <cell r="F763">
            <v>149</v>
          </cell>
        </row>
        <row r="764">
          <cell r="E764">
            <v>2.2000000000000002</v>
          </cell>
          <cell r="F764">
            <v>0</v>
          </cell>
        </row>
        <row r="765">
          <cell r="E765">
            <v>0</v>
          </cell>
          <cell r="F765">
            <v>7</v>
          </cell>
        </row>
        <row r="766">
          <cell r="E766">
            <v>3.5</v>
          </cell>
          <cell r="F766">
            <v>4</v>
          </cell>
        </row>
        <row r="767">
          <cell r="E767">
            <v>0</v>
          </cell>
          <cell r="F767">
            <v>14</v>
          </cell>
        </row>
        <row r="768">
          <cell r="E768">
            <v>4.5</v>
          </cell>
          <cell r="F768">
            <v>4</v>
          </cell>
        </row>
        <row r="769">
          <cell r="E769">
            <v>0</v>
          </cell>
          <cell r="F769">
            <v>4</v>
          </cell>
        </row>
        <row r="770">
          <cell r="E770">
            <v>0</v>
          </cell>
          <cell r="F770">
            <v>40</v>
          </cell>
        </row>
        <row r="771">
          <cell r="E771">
            <v>0</v>
          </cell>
          <cell r="F771">
            <v>7</v>
          </cell>
        </row>
        <row r="772">
          <cell r="E772">
            <v>5.5</v>
          </cell>
          <cell r="F772">
            <v>9</v>
          </cell>
        </row>
        <row r="773">
          <cell r="E773">
            <v>5</v>
          </cell>
          <cell r="F773">
            <v>0</v>
          </cell>
        </row>
        <row r="774">
          <cell r="E774">
            <v>0</v>
          </cell>
          <cell r="F774">
            <v>0</v>
          </cell>
        </row>
        <row r="775">
          <cell r="E775">
            <v>0</v>
          </cell>
          <cell r="F775">
            <v>1</v>
          </cell>
        </row>
        <row r="776">
          <cell r="E776">
            <v>0</v>
          </cell>
          <cell r="F776">
            <v>0</v>
          </cell>
        </row>
        <row r="777">
          <cell r="E777">
            <v>0</v>
          </cell>
          <cell r="F777">
            <v>3</v>
          </cell>
        </row>
        <row r="778">
          <cell r="E778">
            <v>0</v>
          </cell>
          <cell r="F778">
            <v>65</v>
          </cell>
        </row>
        <row r="779">
          <cell r="E779">
            <v>0.5</v>
          </cell>
          <cell r="F779">
            <v>121</v>
          </cell>
        </row>
        <row r="780">
          <cell r="E780">
            <v>0</v>
          </cell>
          <cell r="F780">
            <v>1</v>
          </cell>
        </row>
        <row r="781">
          <cell r="E781">
            <v>0</v>
          </cell>
          <cell r="F781">
            <v>11</v>
          </cell>
        </row>
        <row r="782">
          <cell r="E782">
            <v>3.5</v>
          </cell>
          <cell r="F782">
            <v>0</v>
          </cell>
        </row>
        <row r="783">
          <cell r="E783">
            <v>0</v>
          </cell>
          <cell r="F783">
            <v>7</v>
          </cell>
        </row>
        <row r="784">
          <cell r="E784">
            <v>9</v>
          </cell>
          <cell r="F784">
            <v>0</v>
          </cell>
        </row>
        <row r="785">
          <cell r="E785">
            <v>8</v>
          </cell>
          <cell r="F785">
            <v>1</v>
          </cell>
        </row>
        <row r="786">
          <cell r="E786">
            <v>15.5</v>
          </cell>
          <cell r="F786">
            <v>5</v>
          </cell>
        </row>
        <row r="787">
          <cell r="E787">
            <v>40</v>
          </cell>
          <cell r="F787">
            <v>0</v>
          </cell>
        </row>
        <row r="788">
          <cell r="E788">
            <v>37</v>
          </cell>
          <cell r="F788">
            <v>2</v>
          </cell>
        </row>
        <row r="789">
          <cell r="E789">
            <v>17</v>
          </cell>
          <cell r="F789">
            <v>0</v>
          </cell>
        </row>
        <row r="790">
          <cell r="E790">
            <v>25</v>
          </cell>
          <cell r="F790">
            <v>0</v>
          </cell>
        </row>
        <row r="791">
          <cell r="E791">
            <v>12</v>
          </cell>
          <cell r="F791">
            <v>0</v>
          </cell>
        </row>
        <row r="792">
          <cell r="E792">
            <v>1.7</v>
          </cell>
          <cell r="F792">
            <v>27.5</v>
          </cell>
        </row>
        <row r="793">
          <cell r="E793">
            <v>0.55000000000000004</v>
          </cell>
          <cell r="F793">
            <v>211</v>
          </cell>
        </row>
        <row r="794">
          <cell r="E794">
            <v>10</v>
          </cell>
          <cell r="F794">
            <v>1</v>
          </cell>
        </row>
        <row r="795">
          <cell r="E795">
            <v>1.5</v>
          </cell>
          <cell r="F795">
            <v>0</v>
          </cell>
        </row>
        <row r="796">
          <cell r="E796">
            <v>1.5</v>
          </cell>
          <cell r="F796">
            <v>0</v>
          </cell>
        </row>
        <row r="797">
          <cell r="E797">
            <v>1</v>
          </cell>
          <cell r="F797">
            <v>0</v>
          </cell>
        </row>
        <row r="798">
          <cell r="E798">
            <v>3</v>
          </cell>
          <cell r="F798">
            <v>0</v>
          </cell>
        </row>
        <row r="799">
          <cell r="E799">
            <v>5.0999999999999996</v>
          </cell>
          <cell r="F799">
            <v>0</v>
          </cell>
        </row>
        <row r="800">
          <cell r="E800">
            <v>6</v>
          </cell>
          <cell r="F800">
            <v>1</v>
          </cell>
        </row>
        <row r="801">
          <cell r="E801">
            <v>4.7699999999999996</v>
          </cell>
          <cell r="F801">
            <v>0</v>
          </cell>
        </row>
        <row r="802">
          <cell r="E802">
            <v>0</v>
          </cell>
          <cell r="F802">
            <v>21</v>
          </cell>
        </row>
        <row r="803">
          <cell r="E803">
            <v>60</v>
          </cell>
          <cell r="F803">
            <v>-1</v>
          </cell>
        </row>
        <row r="804">
          <cell r="E804">
            <v>47</v>
          </cell>
          <cell r="F804">
            <v>0</v>
          </cell>
        </row>
        <row r="805">
          <cell r="E805">
            <v>1.875</v>
          </cell>
          <cell r="F805">
            <v>0</v>
          </cell>
        </row>
        <row r="806">
          <cell r="E806">
            <v>3.5</v>
          </cell>
          <cell r="F806">
            <v>0</v>
          </cell>
        </row>
        <row r="807">
          <cell r="E807">
            <v>0.35</v>
          </cell>
          <cell r="F807">
            <v>6</v>
          </cell>
        </row>
        <row r="808">
          <cell r="E808">
            <v>0</v>
          </cell>
          <cell r="F808">
            <v>0</v>
          </cell>
        </row>
        <row r="809">
          <cell r="E809">
            <v>0</v>
          </cell>
          <cell r="F809">
            <v>0</v>
          </cell>
        </row>
        <row r="810">
          <cell r="E810">
            <v>0</v>
          </cell>
          <cell r="F810">
            <v>0</v>
          </cell>
        </row>
        <row r="811">
          <cell r="E811">
            <v>0</v>
          </cell>
          <cell r="F811">
            <v>0</v>
          </cell>
        </row>
        <row r="812">
          <cell r="E812">
            <v>0</v>
          </cell>
          <cell r="F812">
            <v>0</v>
          </cell>
        </row>
        <row r="813">
          <cell r="E813">
            <v>0</v>
          </cell>
          <cell r="F813">
            <v>0</v>
          </cell>
        </row>
        <row r="814">
          <cell r="E814">
            <v>0</v>
          </cell>
          <cell r="F814">
            <v>0</v>
          </cell>
        </row>
        <row r="815">
          <cell r="E815">
            <v>0</v>
          </cell>
          <cell r="F815">
            <v>0</v>
          </cell>
        </row>
        <row r="816">
          <cell r="E816">
            <v>0</v>
          </cell>
          <cell r="F816">
            <v>0</v>
          </cell>
        </row>
        <row r="817">
          <cell r="E817">
            <v>0</v>
          </cell>
          <cell r="F817">
            <v>0</v>
          </cell>
        </row>
        <row r="818">
          <cell r="E818">
            <v>1</v>
          </cell>
          <cell r="F818">
            <v>3</v>
          </cell>
        </row>
        <row r="819">
          <cell r="E819">
            <v>5</v>
          </cell>
          <cell r="F819">
            <v>26</v>
          </cell>
        </row>
        <row r="820">
          <cell r="E820">
            <v>10</v>
          </cell>
          <cell r="F820">
            <v>3</v>
          </cell>
        </row>
        <row r="821">
          <cell r="E821">
            <v>300</v>
          </cell>
          <cell r="F821">
            <v>0</v>
          </cell>
        </row>
        <row r="822">
          <cell r="E822">
            <v>2</v>
          </cell>
          <cell r="F822">
            <v>5</v>
          </cell>
        </row>
        <row r="823">
          <cell r="E823">
            <v>14</v>
          </cell>
          <cell r="F823">
            <v>5</v>
          </cell>
        </row>
        <row r="824">
          <cell r="E824">
            <v>28</v>
          </cell>
          <cell r="F824">
            <v>1</v>
          </cell>
        </row>
        <row r="825">
          <cell r="E825">
            <v>2.5</v>
          </cell>
          <cell r="F825">
            <v>15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sheetName val="Aluminium White Lambert 6m"/>
      <sheetName val="Aluminium Holder Silver 6m"/>
      <sheetName val="Aluminium Latch Door lock  "/>
      <sheetName val="Angle Door Aluminium 267cm 6.5c"/>
      <sheetName val="Angle Fly Blocker Plastic "/>
      <sheetName val="Angle PVC Dicoration white 3.66"/>
      <sheetName val="Black Lastic 100m MAKEPLAST"/>
      <sheetName val="Brown Angle PVC 5   10cm  6m"/>
      <sheetName val="Brush Down Door_x0009_"/>
      <sheetName val="Clear Double Glass 97 105cm"/>
      <sheetName val="Clear Double Glass 98 105cm"/>
      <sheetName val="Clear Glass 4mm "/>
      <sheetName val="Clear Glass 71.5 48cm"/>
      <sheetName val="Clear Glass 90 170cm"/>
      <sheetName val="Cover Door Slide Brown PVC 6mt"/>
      <sheetName val="Cylinder Lock  Aluminium Door "/>
      <sheetName val="Cylinder Lock  PVC&amp;Aluminium Do"/>
      <sheetName val="Door hinge Walnut  PVC"/>
      <sheetName val="Door Hinge White Aluminium (Nar"/>
      <sheetName val=" White Aluminium (Narmada)diffe"/>
      <sheetName val="Door Hinge White PVC (Narmada)"/>
      <sheetName val="Door lock Body Aluminium "/>
      <sheetName val="Door lock PVC Room"/>
      <sheetName val="Door lock PVC W.C"/>
      <sheetName val="Door (full ) from other compani"/>
      <sheetName val="Door PVC Slide 1 2m"/>
      <sheetName val="Double Catch Brown Window  PVC "/>
      <sheetName val="Single Catch Window PVC"/>
      <sheetName val="Espanolla 120cm"/>
      <sheetName val="Espanolla 180cm"/>
      <sheetName val="Espanolla 40cm"/>
      <sheetName val="Espanolla 60cm"/>
      <sheetName val="Espanolla 80cm"/>
      <sheetName val="plastic draining piece  "/>
      <sheetName val="Espanolla Slide 80cm"/>
      <sheetName val="Galvanis C Channel 0.6mm 1.5 4."/>
      <sheetName val="Glass With Border 50 50cm"/>
      <sheetName val="Glass With Border 80 200cm"/>
      <sheetName val="Handle Door  brown PVC"/>
      <sheetName val="Handle Door  brown PVC w.c"/>
      <sheetName val="Handle Door Aluminium White"/>
      <sheetName val="Handle Door Slide Brown PVC"/>
      <sheetName val="Handle Door White PVC  "/>
      <sheetName val="Handle Door White PVC W.C"/>
      <sheetName val="Handle Window Brown PVC"/>
      <sheetName val="Handle Window white aluminiume"/>
      <sheetName val="Handle Window Door PVC"/>
      <sheetName val="Hinge Slide Window  "/>
      <sheetName val="Holder Angle Aluminium 4cm"/>
      <sheetName val="Iron 2.5 2.5 1.5cm 6mt"/>
      <sheetName val="iron door hinge (Narmada)"/>
      <sheetName val="Holder Angle pvc 4cm"/>
      <sheetName val="Iron Door Slide  6m 0.8 4.5cm"/>
      <sheetName val="Iron Slide For Boorslide 6m "/>
      <sheetName val="Iron T Door 1 2.5 2.5cm"/>
      <sheetName val="Iron Z Door 2.5 2.5cm"/>
      <sheetName val="Iron Z Window 2.5 2.5cm"/>
      <sheetName val="L Brown Window PVC 6m"/>
      <sheetName val="L White Door Aluminum 6m"/>
      <sheetName val="L White Door PVC 6m"/>
      <sheetName val="Lock Body M Aluminium+PVC "/>
      <sheetName val="M Lock Door Slide "/>
      <sheetName val="Panel PVC 1 2m"/>
      <sheetName val="Panel PVC 2 3m_x0009_"/>
      <sheetName val="Plastic Glass Fiberglas 3mm 33 "/>
      <sheetName val="PVC W.C door hinge (Narmada)"/>
      <sheetName val="Pvc window hinge (Narmada)"/>
      <sheetName val="Ruber + Aluminium Join Profile "/>
      <sheetName val="Steel Wire Fly Bocker 100cm 3mt"/>
      <sheetName val="Steel Wire Fly Bocker 180cm 3mt"/>
      <sheetName val="T White Door Aluminum 6m_x0009_"/>
      <sheetName val="T White Door PVC 6m"/>
      <sheetName val="Tinted Double Glass 4mm"/>
      <sheetName val="Tire Door Slide  PVC "/>
      <sheetName val="Welding Teflon PVC"/>
      <sheetName val="White Aluminium catch Door"/>
      <sheetName val="White Aluminium fly Blocker 6m"/>
      <sheetName val="White Angle Aluminum 2 2cm 6m"/>
      <sheetName val="White Angle Aluminum 3 3cm"/>
      <sheetName val="White Angle Aluminum 4 4cm"/>
      <sheetName val="White Angle Aluminum 5 5cm 6m"/>
      <sheetName val="White Angle 2.5cm 2.5cm plastic"/>
      <sheetName val="Galvanized Angle "/>
      <sheetName val="White Angle PVC 5 10cm  6m"/>
      <sheetName val="White Angle PVC 6   15cm  6m"/>
      <sheetName val="White Lock Double Door Aluminum"/>
      <sheetName val="White Pipe Square PVC 6 6cm"/>
      <sheetName val="White PVC catch Door"/>
      <sheetName val="White Rubber 4.5mm "/>
      <sheetName val="Window provision and installati"/>
      <sheetName val="Z Brown Window Slide PVC 6m"/>
      <sheetName val="Z White Door Aluminum 6m"/>
      <sheetName val="Z White Door PVC"/>
      <sheetName val="M Lock Window  "/>
      <sheetName val="Z White Window PVC"/>
      <sheetName val="White Angle PVC 6cm   9cm  6m"/>
      <sheetName val="Aluminume Door 2 1mt (Ready to "/>
      <sheetName val="PVC Door 2 1mt (Read to instal"/>
      <sheetName val="PVC W.C Door 2 0.8mt (Ready to "/>
      <sheetName val="PVC W.C Door 2.10 0.8mt (Ready "/>
      <sheetName val="Frame Aluminium fly Blocker 6m"/>
      <sheetName val="Alouminume Lock "/>
      <sheetName val="Z White window Aluminume 6m"/>
      <sheetName val="Z White window aluminume Holder"/>
      <sheetName val="Multi High Series Steel Door L "/>
      <sheetName val="Multi High Series Steel Door Do"/>
      <sheetName val="Iron Single Door 0.98 2.08mt "/>
      <sheetName val="Single Door Wood 90 203cm"/>
      <sheetName val="Louvers  Aluminum100 160cm Wind"/>
      <sheetName val="Louvers Aluminum 20 15cm"/>
      <sheetName val="Louvers Aluminum 30 60cm "/>
      <sheetName val="Louvers Aluminum 35 25cm"/>
      <sheetName val="Louvers Aluminum 45 85cm"/>
      <sheetName val="Louvers Aluminum 50 50cm Window"/>
      <sheetName val="Louvers Aluminum 50 60cm Window"/>
      <sheetName val="Louvers Aluminum 55 25cm"/>
      <sheetName val="T white window PVC"/>
      <sheetName val="White Angle PVC 3cm   3cm  3m"/>
      <sheetName val="Silver Angle Aluminum  2.5cm   "/>
      <sheetName val="Black Rubber for Aluminium catc"/>
      <sheetName val="White Aluminium Catch Door Doub"/>
      <sheetName val="White Panel with glass "/>
      <sheetName val="White Angle PVC 6cm   10cm "/>
      <sheetName val="Cover Z black window aluminum 6"/>
      <sheetName val="Frame Z black window aluminum 6"/>
      <sheetName val="لقمة "/>
      <sheetName val="اغراض محجل المنيوم _x0009__x0009_"/>
    </sheetNames>
    <sheetDataSet>
      <sheetData sheetId="0">
        <row r="4">
          <cell r="E4">
            <v>0</v>
          </cell>
          <cell r="F4">
            <v>15</v>
          </cell>
        </row>
        <row r="5">
          <cell r="E5">
            <v>10.9476</v>
          </cell>
          <cell r="F5">
            <v>24</v>
          </cell>
        </row>
        <row r="6">
          <cell r="E6">
            <v>15</v>
          </cell>
          <cell r="F6">
            <v>10.41</v>
          </cell>
        </row>
        <row r="7">
          <cell r="E7">
            <v>1.95</v>
          </cell>
          <cell r="F7">
            <v>0</v>
          </cell>
        </row>
        <row r="8">
          <cell r="E8">
            <v>7.0000000000000007E-2</v>
          </cell>
          <cell r="F8">
            <v>90</v>
          </cell>
        </row>
        <row r="9">
          <cell r="E9">
            <v>0</v>
          </cell>
          <cell r="F9">
            <v>34</v>
          </cell>
        </row>
        <row r="10">
          <cell r="E10">
            <v>0.45</v>
          </cell>
          <cell r="F10">
            <v>2</v>
          </cell>
        </row>
        <row r="11">
          <cell r="E11">
            <v>8</v>
          </cell>
          <cell r="F11">
            <v>1.5499999999999998</v>
          </cell>
        </row>
        <row r="12">
          <cell r="E12">
            <v>19</v>
          </cell>
          <cell r="F12">
            <v>35</v>
          </cell>
        </row>
        <row r="13">
          <cell r="E13">
            <v>1.5</v>
          </cell>
          <cell r="F13">
            <v>93</v>
          </cell>
        </row>
        <row r="14">
          <cell r="E14">
            <v>3</v>
          </cell>
          <cell r="F14">
            <v>47</v>
          </cell>
        </row>
        <row r="15">
          <cell r="E15">
            <v>3</v>
          </cell>
          <cell r="F15">
            <v>14</v>
          </cell>
        </row>
        <row r="16">
          <cell r="E16">
            <v>0.5</v>
          </cell>
          <cell r="F16">
            <v>85</v>
          </cell>
        </row>
        <row r="17">
          <cell r="E17">
            <v>0.35</v>
          </cell>
          <cell r="F17">
            <v>72</v>
          </cell>
        </row>
        <row r="18">
          <cell r="E18">
            <v>0.75</v>
          </cell>
          <cell r="F18">
            <v>11</v>
          </cell>
        </row>
        <row r="19">
          <cell r="E19">
            <v>3</v>
          </cell>
          <cell r="F19">
            <v>36</v>
          </cell>
        </row>
        <row r="20">
          <cell r="E20">
            <v>2.25</v>
          </cell>
          <cell r="F20">
            <v>24</v>
          </cell>
        </row>
        <row r="21">
          <cell r="E21">
            <v>2.25</v>
          </cell>
          <cell r="F21">
            <v>64</v>
          </cell>
        </row>
        <row r="22">
          <cell r="E22">
            <v>6.5</v>
          </cell>
          <cell r="F22">
            <v>0</v>
          </cell>
        </row>
        <row r="23">
          <cell r="E23">
            <v>3.5</v>
          </cell>
          <cell r="F23">
            <v>0</v>
          </cell>
        </row>
        <row r="24">
          <cell r="E24">
            <v>2</v>
          </cell>
          <cell r="F24">
            <v>6</v>
          </cell>
        </row>
        <row r="25">
          <cell r="E25">
            <v>0.85</v>
          </cell>
          <cell r="F25">
            <v>16</v>
          </cell>
        </row>
        <row r="26">
          <cell r="E26">
            <v>0.8</v>
          </cell>
          <cell r="F26">
            <v>0</v>
          </cell>
        </row>
        <row r="27">
          <cell r="E27">
            <v>0.85</v>
          </cell>
          <cell r="F27">
            <v>0</v>
          </cell>
        </row>
        <row r="28">
          <cell r="E28">
            <v>3</v>
          </cell>
          <cell r="F28">
            <v>0</v>
          </cell>
        </row>
        <row r="29">
          <cell r="E29">
            <v>2</v>
          </cell>
          <cell r="F29">
            <v>22</v>
          </cell>
        </row>
        <row r="30">
          <cell r="E30">
            <v>2</v>
          </cell>
          <cell r="F30">
            <v>27</v>
          </cell>
        </row>
        <row r="31">
          <cell r="E31">
            <v>2</v>
          </cell>
          <cell r="F31">
            <v>22</v>
          </cell>
        </row>
        <row r="32">
          <cell r="E32">
            <v>2</v>
          </cell>
          <cell r="F32">
            <v>25</v>
          </cell>
        </row>
        <row r="33">
          <cell r="E33">
            <v>3.75</v>
          </cell>
          <cell r="F33">
            <v>25.4</v>
          </cell>
        </row>
        <row r="34">
          <cell r="E34">
            <v>0.62</v>
          </cell>
          <cell r="F34">
            <v>0</v>
          </cell>
        </row>
        <row r="35">
          <cell r="E35">
            <v>0.6</v>
          </cell>
          <cell r="F35">
            <v>23</v>
          </cell>
        </row>
        <row r="36">
          <cell r="E36">
            <v>0.28000000000000003</v>
          </cell>
          <cell r="F36">
            <v>0</v>
          </cell>
        </row>
        <row r="37">
          <cell r="E37">
            <v>3.7</v>
          </cell>
          <cell r="F37">
            <v>0</v>
          </cell>
        </row>
        <row r="38">
          <cell r="E38">
            <v>2.5</v>
          </cell>
          <cell r="F38">
            <v>0</v>
          </cell>
        </row>
        <row r="39">
          <cell r="E39">
            <v>0</v>
          </cell>
          <cell r="F39">
            <v>14</v>
          </cell>
        </row>
        <row r="40">
          <cell r="E40">
            <v>6</v>
          </cell>
          <cell r="F40">
            <v>8</v>
          </cell>
        </row>
        <row r="41">
          <cell r="E41">
            <v>24</v>
          </cell>
          <cell r="F41">
            <v>19</v>
          </cell>
        </row>
        <row r="42">
          <cell r="E42">
            <v>4</v>
          </cell>
          <cell r="F42">
            <v>3</v>
          </cell>
        </row>
        <row r="43">
          <cell r="E43">
            <v>12.28</v>
          </cell>
          <cell r="F43">
            <v>0</v>
          </cell>
        </row>
        <row r="44">
          <cell r="E44">
            <v>0</v>
          </cell>
          <cell r="F44">
            <v>2</v>
          </cell>
        </row>
        <row r="45">
          <cell r="E45">
            <v>0</v>
          </cell>
          <cell r="F45">
            <v>85</v>
          </cell>
        </row>
        <row r="46">
          <cell r="E46">
            <v>0.4</v>
          </cell>
          <cell r="F46">
            <v>43</v>
          </cell>
        </row>
        <row r="47">
          <cell r="E47">
            <v>0.4</v>
          </cell>
          <cell r="F47">
            <v>1323.84</v>
          </cell>
        </row>
        <row r="48">
          <cell r="E48">
            <v>14</v>
          </cell>
          <cell r="F48">
            <v>0</v>
          </cell>
        </row>
        <row r="49">
          <cell r="E49">
            <v>35</v>
          </cell>
          <cell r="F49">
            <v>1.1799999999999997</v>
          </cell>
        </row>
        <row r="50">
          <cell r="E50">
            <v>1</v>
          </cell>
          <cell r="F50">
            <v>1</v>
          </cell>
        </row>
        <row r="51">
          <cell r="E51">
            <v>3</v>
          </cell>
          <cell r="F51">
            <v>50</v>
          </cell>
        </row>
        <row r="52">
          <cell r="E52">
            <v>0</v>
          </cell>
          <cell r="F52">
            <v>1</v>
          </cell>
        </row>
        <row r="53">
          <cell r="E53">
            <v>0</v>
          </cell>
          <cell r="F53">
            <v>20</v>
          </cell>
        </row>
        <row r="54">
          <cell r="E54">
            <v>1</v>
          </cell>
          <cell r="F54">
            <v>85</v>
          </cell>
        </row>
        <row r="55">
          <cell r="E55">
            <v>0</v>
          </cell>
          <cell r="F55">
            <v>4</v>
          </cell>
        </row>
        <row r="56">
          <cell r="E56">
            <v>1</v>
          </cell>
          <cell r="F56">
            <v>2</v>
          </cell>
        </row>
        <row r="57">
          <cell r="E57">
            <v>0</v>
          </cell>
          <cell r="F57">
            <v>33</v>
          </cell>
        </row>
        <row r="58">
          <cell r="E58">
            <v>15.99</v>
          </cell>
          <cell r="F58">
            <v>10.503</v>
          </cell>
        </row>
        <row r="59">
          <cell r="E59">
            <v>10.95</v>
          </cell>
          <cell r="F59">
            <v>14.332999999999998</v>
          </cell>
        </row>
        <row r="60">
          <cell r="E60">
            <v>2.5</v>
          </cell>
          <cell r="F60">
            <v>6</v>
          </cell>
        </row>
        <row r="61">
          <cell r="E61">
            <v>0</v>
          </cell>
          <cell r="F61">
            <v>44</v>
          </cell>
        </row>
        <row r="62">
          <cell r="E62">
            <v>4.774</v>
          </cell>
          <cell r="F62">
            <v>35</v>
          </cell>
        </row>
        <row r="63">
          <cell r="E63">
            <v>2</v>
          </cell>
          <cell r="F63">
            <v>0</v>
          </cell>
        </row>
        <row r="64">
          <cell r="E64">
            <v>6</v>
          </cell>
          <cell r="F64">
            <v>0</v>
          </cell>
        </row>
        <row r="65">
          <cell r="E65">
            <v>7</v>
          </cell>
          <cell r="F65">
            <v>1</v>
          </cell>
        </row>
        <row r="66">
          <cell r="E66">
            <v>12</v>
          </cell>
          <cell r="F66">
            <v>-2</v>
          </cell>
        </row>
        <row r="67">
          <cell r="E67">
            <v>12</v>
          </cell>
          <cell r="F67">
            <v>4</v>
          </cell>
        </row>
        <row r="68">
          <cell r="E68">
            <v>12</v>
          </cell>
          <cell r="F68">
            <v>0</v>
          </cell>
        </row>
        <row r="69">
          <cell r="E69">
            <v>10</v>
          </cell>
          <cell r="F69">
            <v>0</v>
          </cell>
        </row>
        <row r="70">
          <cell r="E70">
            <v>2</v>
          </cell>
          <cell r="F70">
            <v>0</v>
          </cell>
        </row>
        <row r="71">
          <cell r="E71">
            <v>0.75</v>
          </cell>
          <cell r="F71">
            <v>14</v>
          </cell>
        </row>
        <row r="72">
          <cell r="E72">
            <v>1</v>
          </cell>
          <cell r="F72">
            <v>0</v>
          </cell>
        </row>
        <row r="73">
          <cell r="E73">
            <v>1</v>
          </cell>
          <cell r="F73">
            <v>1</v>
          </cell>
        </row>
        <row r="74">
          <cell r="E74">
            <v>12</v>
          </cell>
          <cell r="F74">
            <v>8</v>
          </cell>
        </row>
        <row r="75">
          <cell r="E75">
            <v>0.05</v>
          </cell>
          <cell r="F75">
            <v>883</v>
          </cell>
        </row>
        <row r="76">
          <cell r="E76">
            <v>2.95</v>
          </cell>
          <cell r="F76">
            <v>21</v>
          </cell>
        </row>
        <row r="77">
          <cell r="E77">
            <v>0.48</v>
          </cell>
          <cell r="F77">
            <v>95</v>
          </cell>
        </row>
        <row r="78">
          <cell r="E78">
            <v>7</v>
          </cell>
          <cell r="F78">
            <v>2.9599999999999991</v>
          </cell>
        </row>
        <row r="79">
          <cell r="E79">
            <v>5.7</v>
          </cell>
          <cell r="F79">
            <v>10.82</v>
          </cell>
        </row>
        <row r="80">
          <cell r="E80">
            <v>35</v>
          </cell>
          <cell r="F80">
            <v>0</v>
          </cell>
        </row>
        <row r="81">
          <cell r="E81">
            <v>0.45</v>
          </cell>
          <cell r="F81">
            <v>187</v>
          </cell>
        </row>
        <row r="82">
          <cell r="E82">
            <v>0.25</v>
          </cell>
          <cell r="F82">
            <v>303</v>
          </cell>
        </row>
        <row r="83">
          <cell r="E83">
            <v>4.0170000000000003</v>
          </cell>
          <cell r="F83">
            <v>71</v>
          </cell>
        </row>
        <row r="84">
          <cell r="E84">
            <v>3</v>
          </cell>
          <cell r="F84">
            <v>8</v>
          </cell>
        </row>
        <row r="85">
          <cell r="E85">
            <v>15.88</v>
          </cell>
          <cell r="F85">
            <v>40</v>
          </cell>
        </row>
        <row r="86">
          <cell r="E86">
            <v>13.5</v>
          </cell>
          <cell r="F86">
            <v>11</v>
          </cell>
        </row>
        <row r="87">
          <cell r="E87">
            <v>10.95</v>
          </cell>
          <cell r="F87">
            <v>17</v>
          </cell>
        </row>
        <row r="88">
          <cell r="E88">
            <v>0.35</v>
          </cell>
          <cell r="F88">
            <v>0</v>
          </cell>
        </row>
        <row r="89">
          <cell r="E89">
            <v>135</v>
          </cell>
          <cell r="F89">
            <v>1</v>
          </cell>
        </row>
        <row r="90">
          <cell r="E90">
            <v>70</v>
          </cell>
          <cell r="F90">
            <v>1</v>
          </cell>
        </row>
        <row r="91">
          <cell r="E91">
            <v>75</v>
          </cell>
          <cell r="F91">
            <v>2</v>
          </cell>
        </row>
        <row r="92">
          <cell r="E92">
            <v>75</v>
          </cell>
          <cell r="F92">
            <v>9</v>
          </cell>
        </row>
        <row r="93">
          <cell r="E93">
            <v>5</v>
          </cell>
          <cell r="F93">
            <v>0</v>
          </cell>
        </row>
        <row r="94">
          <cell r="E94">
            <v>8</v>
          </cell>
          <cell r="F94">
            <v>0</v>
          </cell>
        </row>
        <row r="95">
          <cell r="E95">
            <v>509</v>
          </cell>
          <cell r="F95">
            <v>5</v>
          </cell>
        </row>
        <row r="96">
          <cell r="E96">
            <v>440</v>
          </cell>
          <cell r="F96">
            <v>0</v>
          </cell>
        </row>
        <row r="97">
          <cell r="E97">
            <v>100</v>
          </cell>
          <cell r="F97">
            <v>12</v>
          </cell>
        </row>
        <row r="98">
          <cell r="E98">
            <v>155</v>
          </cell>
          <cell r="F98">
            <v>0</v>
          </cell>
        </row>
        <row r="99">
          <cell r="E99">
            <v>29</v>
          </cell>
          <cell r="F99">
            <v>29</v>
          </cell>
        </row>
        <row r="100">
          <cell r="E100">
            <v>10</v>
          </cell>
          <cell r="F100">
            <v>0</v>
          </cell>
        </row>
        <row r="101">
          <cell r="E101">
            <v>45</v>
          </cell>
          <cell r="F101">
            <v>0</v>
          </cell>
        </row>
        <row r="102">
          <cell r="E102">
            <v>60</v>
          </cell>
          <cell r="F102">
            <v>0</v>
          </cell>
        </row>
        <row r="103">
          <cell r="E103">
            <v>60</v>
          </cell>
          <cell r="F103">
            <v>0</v>
          </cell>
        </row>
        <row r="104">
          <cell r="E104">
            <v>60</v>
          </cell>
          <cell r="F104">
            <v>0</v>
          </cell>
        </row>
        <row r="105">
          <cell r="E105">
            <v>50</v>
          </cell>
          <cell r="F105">
            <v>0</v>
          </cell>
        </row>
        <row r="106">
          <cell r="E106">
            <v>24</v>
          </cell>
          <cell r="F106">
            <v>0</v>
          </cell>
        </row>
        <row r="107">
          <cell r="E107">
            <v>10.95</v>
          </cell>
          <cell r="F107">
            <v>89</v>
          </cell>
        </row>
        <row r="108">
          <cell r="E108">
            <v>1.5</v>
          </cell>
          <cell r="F108">
            <v>0</v>
          </cell>
        </row>
        <row r="109">
          <cell r="E109">
            <v>0.25</v>
          </cell>
          <cell r="F109">
            <v>152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sheetName val="Adhesive Vinyl_x0009_"/>
      <sheetName val="Adhesive Vinyl Irani 3kg"/>
      <sheetName val="Aquadur (A B) 10k"/>
      <sheetName val="Black Dufa Paint 15L 9501"/>
      <sheetName val="Black Jotun Matt Paint 16.2L "/>
      <sheetName val="Black Mastic For Joint"/>
      <sheetName val="White paint water isolator mast"/>
      <sheetName val="Black Paint DYO 2.5lt"/>
      <sheetName val="Black Paint Hempel 6880 20L"/>
      <sheetName val="Black Panit Lira "/>
      <sheetName val="Black Silicon AL Najar 280ml "/>
      <sheetName val="Black Silicon Wurth 300ml "/>
      <sheetName val="Black Spray Paint"/>
      <sheetName val="Blue Spray Paint Polinice "/>
      <sheetName val="Bottle Thinner 2.84L"/>
      <sheetName val="Brown Silicon 280g "/>
      <sheetName val="Clear Silicon _x0009_"/>
      <sheetName val="Clear Silicon AL Najar 280ml "/>
      <sheetName val="Off White Silicon Akfix 200g"/>
      <sheetName val="Chemi Sheild 15Lt Qc1072"/>
      <sheetName val="Chemi Sheild 15Lt CP0000"/>
      <sheetName val="Chemi Caulk CP0000"/>
      <sheetName val="Electrical Paint Gun MEAKIDA 70"/>
      <sheetName val="Epoxy Akfix_x0009_"/>
      <sheetName val="Epoxy Injectable mortar HIT-HY "/>
      <sheetName val="Epoxy Injectable mortar HIT-RE "/>
      <sheetName val="Epoxy Soudal 300ml P300.ST"/>
      <sheetName val="Fast Adhesive "/>
      <sheetName val="Fast Adhesive 777 750g"/>
      <sheetName val="Fast Spray QWAM_x0009_"/>
      <sheetName val="Foam Wurth  750ml"/>
      <sheetName val="Gasoline "/>
      <sheetName val="Gray Hyperseal "/>
      <sheetName val="Gray Paint Last Layer 20K Dufa"/>
      <sheetName val="Gray Paint Primer 3.5L Oxide _x0009_"/>
      <sheetName val="Gray Paint Primer 4k Spring_x0009_"/>
      <sheetName val="Greasy Black Paint 5L"/>
      <sheetName val="Greasy White Paint 4L"/>
      <sheetName val="Green Hyperseal "/>
      <sheetName val="Grinding Brush Cleaning disc (B"/>
      <sheetName val="Grinding Brush Cleaning disc (S"/>
      <sheetName val="Gun Paint Somafix"/>
      <sheetName val="Gutter Clear Silicon"/>
      <sheetName val="Gypsum Board Smoothing Sponge"/>
      <sheetName val="Hyperdesmo D2K  (A B) Grey Ral "/>
      <sheetName val="Iso Screed 25k"/>
      <sheetName val="ISO Stone 5k 1090"/>
      <sheetName val="Jotuk Style fabric_x0009_"/>
      <sheetName val="Jotun Matt Base Paint 16.2L "/>
      <sheetName val="Jotun Paint Blue 4L 5015"/>
      <sheetName val="Jotun Paint 1931 18Lt"/>
      <sheetName val="Jotun Paint 3.6L 10342"/>
      <sheetName val="Jotun Paint 3.6l 8395"/>
      <sheetName val="Jotun Primer Paint Red 4L "/>
      <sheetName val="Jotun Paint 3.6L 9004"/>
      <sheetName val="Jotun Paint External 18Lt"/>
      <sheetName val="JOTUN Paint Grey 7035 3.6L"/>
      <sheetName val="Jotun Paint Primer Alkali DU-20"/>
      <sheetName val="Jotun Paint Tex Ultra Base A 3."/>
      <sheetName val="Jotun Primer Paint 3.6LT"/>
      <sheetName val="Kalekim 1954 25k"/>
      <sheetName val="Liquid Nails Subfloor 828ml"/>
      <sheetName val="Normal  White Paint  20L"/>
      <sheetName val="O-ACE-sis Multishock 5lb"/>
      <sheetName val="Off White Jotun Matt Paint 16.2"/>
      <sheetName val="Off white Paint 15L BETEK"/>
      <sheetName val="Off White Paint 3.6l Asia"/>
      <sheetName val="orange paint dewilux"/>
      <sheetName val="Original Wood Glue 3.78lt"/>
      <sheetName val="Pain Spray 425g RUST STOP"/>
      <sheetName val="Greasy Paint Black  "/>
      <sheetName val="Paint Brush 1&quot;"/>
      <sheetName val="Paint Brush 2&quot;"/>
      <sheetName val="Paint Brush Wood 1&quot; ACE"/>
      <sheetName val="Paint Brush Wood 1.5&quot; ACE"/>
      <sheetName val="Paint Brush Wood 2&quot; ACE"/>
      <sheetName val="Paint Brush Wood 2.5&quot; ACE"/>
      <sheetName val="Paint Brush Wood 3&quot; ACE"/>
      <sheetName val="Paint Color Galvanis_x0009_"/>
      <sheetName val="Paint Gold Color 1k Nice Color "/>
      <sheetName val="Paint Gray Hemple 330ml"/>
      <sheetName val="Paint Gray Primer First 3.6L L"/>
      <sheetName val="Paint Hempel 552ME  14.1Lt A+2L"/>
      <sheetName val="Paint Hempel 8Lt A17360+2Lt B 9"/>
      <sheetName val="Paint Hemple"/>
      <sheetName val="Paint Hemple 16L A+4L B 3055210"/>
      <sheetName val="Paint Hemple 18L A12.6Lt+B4.5Lt"/>
      <sheetName val="Primer paint kanat Grey "/>
      <sheetName val="paint kanat Dark Grey  Final"/>
      <sheetName val="Paint Hemple 2.56 A+0.95 B  458"/>
      <sheetName val="Paint Roller 10cm Dekor_x0009_"/>
      <sheetName val="Paint Roller 15cm Dekor_x0009_"/>
      <sheetName val="Paint Roller 5cm"/>
      <sheetName val="Paint Roller 7.5cm Dekor_x0009_"/>
      <sheetName val="Paint Roller Dekor 25cm"/>
      <sheetName val="Paint Tape 5cm_x0009_"/>
      <sheetName val="Paint Wood Prizma 1Lt"/>
      <sheetName val="Paste Plywood Polster"/>
      <sheetName val="Paste Qwam"/>
      <sheetName val="Paste Vinyl 20K hammer fast"/>
      <sheetName val="Pilot Jotun Paint Primer Gray 5"/>
      <sheetName val="Paste Gypsum Board Basic"/>
      <sheetName val="Pipe Silicon PVC Electical  V-T"/>
      <sheetName val="Primer Blue Paint dufa 2.5L "/>
      <sheetName val="Blue Paint 3.5L Asia"/>
      <sheetName val="Prakcoat 15Lt"/>
      <sheetName val="Red Paint Hemple 18L A12.5Lt+B4"/>
      <sheetName val="Red Panit 3.6lt"/>
      <sheetName val="Red Spray Paint"/>
      <sheetName val="Roll Paint and Tray Kit Izmir F"/>
      <sheetName val="Sand Paper 120P"/>
      <sheetName val="Sand Paper 60 10mt"/>
      <sheetName val="Sand Paper AA60"/>
      <sheetName val="Sand paper AA2020"/>
      <sheetName val="SBR"/>
      <sheetName val="Sika Antisol 1000k WB-IQ"/>
      <sheetName val="Sika Antisol 200k WB-IQ"/>
      <sheetName val="Sika Antisol 20k WB-IQ"/>
      <sheetName val="Sika Bonding Primer 15Lt A13L+B"/>
      <sheetName val="Sika Boom 750mm CTR"/>
      <sheetName val="Sika Ceram 259 25kg"/>
      <sheetName val="Sika Cor Zinc Grey A+B 15L"/>
      <sheetName val="Sika dur 507  25k"/>
      <sheetName val="Sika Carbo Dur BC RODS DIA 6mm-"/>
      <sheetName val="Sika fill 300 Thermic White 12k"/>
      <sheetName val="Sika Flex 11FC Plus Hyperseal 6"/>
      <sheetName val="Sika Flex Hyperseal Gray  600ml"/>
      <sheetName val="Sika Flex Hyperseal White 600ml"/>
      <sheetName val="Sika Floor 161 A18.96K+B5.04 "/>
      <sheetName val="Sika Floor 264 A18.96K+B5.04 "/>
      <sheetName val="Sika Floor 263 SL (A+B) 7040 25"/>
      <sheetName val="Sika Floor 400N 18K lastic"/>
      <sheetName val="Sika Floor PS A4k+B2k"/>
      <sheetName val="Sika Gard PW Gray BH A+B 14k"/>
      <sheetName val="Sika Grout 212 IQ 25k"/>
      <sheetName val="Sika Grout 214 IQ 25k"/>
      <sheetName val="Sika Lastic 1keu  20k"/>
      <sheetName val="Sika Lastic 560 20k"/>
      <sheetName val="Sika Latex IQ20k"/>
      <sheetName val="Sika Latex IQ4k"/>
      <sheetName val="Sika Monotop 620 25kg"/>
      <sheetName val="Sika topseal 107 elastic (AB) 3"/>
      <sheetName val="Sikaseal Tape F Waterproofing G"/>
      <sheetName val="Sika Polysulphidee PG 4L A+B TM"/>
      <sheetName val="Sika Primer 3N 250ml"/>
      <sheetName val="Sika Primer PU 1LT"/>
      <sheetName val="Sika Seramik Astari 3k"/>
      <sheetName val="Sika Visco Crete-180 GS 1000Lt "/>
      <sheetName val="Sika Visco Crete-209 1000k "/>
      <sheetName val="Sika Visco Crete-209 20k "/>
      <sheetName val="Silicon Hilti FS-One Max"/>
      <sheetName val="Silicon Wurth  300ml"/>
      <sheetName val="Silver paint dewilux"/>
      <sheetName val="Silver Spray Paint Polinais_x0009_"/>
      <sheetName val="Special Oil For Dilution Kubila"/>
      <sheetName val="Sponge Sandpaper P120"/>
      <sheetName val="Spray Adhesive 3M Super 77"/>
      <sheetName val="Spray Black 325g Rust Stop ACE"/>
      <sheetName val="Spray Black 340g High Heat Ultr"/>
      <sheetName val="Spray Foam"/>
      <sheetName val="Spray Paint 7140"/>
      <sheetName val="Spray Paint Genc 400ml"/>
      <sheetName val="Spray Paint Glavanis Wurth 400m"/>
      <sheetName val="Spray Paint Gray GENE"/>
      <sheetName val="Spray Paint Green 400ml"/>
      <sheetName val="Spray Paint Steel Dufa 520G"/>
      <sheetName val="Tape Gypsum Board 5cm 90m knauf"/>
      <sheetName val="Tape Paint 1 2&quot; Emars 1.23cm"/>
      <sheetName val="Thinner 1L "/>
      <sheetName val="Thinner 5LtHumple "/>
      <sheetName val="Thinner kanat 14k"/>
      <sheetName val="Titebond Original wood glue ,"/>
      <sheetName val="Thinner Jotun 5L_x0009_"/>
      <sheetName val="Ultracolor Plus  5kg"/>
      <sheetName val="Ultracolor Plus 131 5kg"/>
      <sheetName val="Varnish 2.5Lt"/>
      <sheetName val="Varnish 947ml MINWAX"/>
      <sheetName val="Wallpaper Adhesive Aciselsan 25"/>
      <sheetName val="White Hyperseal _x0009_"/>
      <sheetName val="White Hyperseal Wurth  300ml"/>
      <sheetName val="White JOTUN Matt Paint 18L  723"/>
      <sheetName val="White Paint 15L BETEK"/>
      <sheetName val="White Paint DYO 2.5lt"/>
      <sheetName val="White Paint Hemple 14.5L A+4.5B"/>
      <sheetName val="White Paint Hemple 16L A+4B 153"/>
      <sheetName val="White Jotun Primer Paint  18L"/>
      <sheetName val="White Silicon _x0009_"/>
      <sheetName val="White Spray Paint "/>
      <sheetName val="Wood Jotun Paint Stain EXT GL Y"/>
      <sheetName val="Wood Paint Sanding Sealer 3.6lt"/>
      <sheetName val="Woodshild Varnish MTT 1L Jotun "/>
      <sheetName val="Yellow Jotun Primer Paint  5L 1"/>
      <sheetName val="Yellow Paint Hempel 6880 20L"/>
      <sheetName val="Yellow Spray Paint"/>
      <sheetName val="Yellow Panit 3.6lt"/>
      <sheetName val="Jotun Paint fenomastic wall lid"/>
      <sheetName val="Sand Paper 115 mm"/>
      <sheetName val="Grinder CD for Sand Paper 115 m"/>
      <sheetName val="JotunShiled Texultra base a 16."/>
      <sheetName val="JotunShiled Alkali Resistant Pr"/>
      <sheetName val="Black Spray Paint Asphalt 750g "/>
      <sheetName val="Contex sb Primer 18lt 26630"/>
      <sheetName val="Hemple Hemaparoof 596Me 20kg"/>
      <sheetName val="MDF Paste ASTS Pvc Tut Hg 04"/>
      <sheetName val="MDF Tape Astas PVC TUT HG"/>
      <sheetName val="MDF Tape 20 Ceviz 1400 20MM"/>
      <sheetName val="Sika Visco Crete-209 20k  (2)"/>
    </sheetNames>
    <sheetDataSet>
      <sheetData sheetId="0">
        <row r="4">
          <cell r="E4">
            <v>26.41</v>
          </cell>
          <cell r="F4">
            <v>187.5</v>
          </cell>
        </row>
        <row r="5">
          <cell r="E5">
            <v>10</v>
          </cell>
          <cell r="F5">
            <v>2</v>
          </cell>
        </row>
        <row r="6">
          <cell r="E6">
            <v>9</v>
          </cell>
          <cell r="F6">
            <v>2.85</v>
          </cell>
        </row>
        <row r="7">
          <cell r="E7">
            <v>2.85</v>
          </cell>
          <cell r="F7">
            <v>7</v>
          </cell>
        </row>
        <row r="8">
          <cell r="E8">
            <v>0.45839999999999997</v>
          </cell>
          <cell r="F8">
            <v>15</v>
          </cell>
        </row>
        <row r="9">
          <cell r="E9">
            <v>0.52100000000000002</v>
          </cell>
          <cell r="F9">
            <v>80</v>
          </cell>
        </row>
        <row r="10">
          <cell r="E10">
            <v>1.73</v>
          </cell>
          <cell r="F10">
            <v>0</v>
          </cell>
        </row>
        <row r="11">
          <cell r="E11">
            <v>1.25</v>
          </cell>
          <cell r="F11">
            <v>0</v>
          </cell>
        </row>
        <row r="12">
          <cell r="E12">
            <v>33</v>
          </cell>
          <cell r="F12">
            <v>0</v>
          </cell>
        </row>
        <row r="13">
          <cell r="E13">
            <v>32</v>
          </cell>
          <cell r="F13">
            <v>0</v>
          </cell>
        </row>
        <row r="14">
          <cell r="E14">
            <v>5</v>
          </cell>
          <cell r="F14">
            <v>3</v>
          </cell>
        </row>
        <row r="15">
          <cell r="E15">
            <v>1.83</v>
          </cell>
          <cell r="F15">
            <v>18</v>
          </cell>
        </row>
        <row r="16">
          <cell r="E16">
            <v>1</v>
          </cell>
          <cell r="F16">
            <v>1</v>
          </cell>
        </row>
        <row r="17">
          <cell r="E17">
            <v>6.5</v>
          </cell>
          <cell r="F17">
            <v>0</v>
          </cell>
        </row>
        <row r="18">
          <cell r="E18">
            <v>0.49</v>
          </cell>
          <cell r="F18">
            <v>0</v>
          </cell>
        </row>
        <row r="19">
          <cell r="E19">
            <v>3.282</v>
          </cell>
          <cell r="F19">
            <v>0</v>
          </cell>
        </row>
        <row r="20">
          <cell r="E20">
            <v>45</v>
          </cell>
          <cell r="F20">
            <v>4.2749999999999995</v>
          </cell>
        </row>
        <row r="21">
          <cell r="E21">
            <v>14500</v>
          </cell>
          <cell r="F21">
            <v>7.07</v>
          </cell>
        </row>
        <row r="22">
          <cell r="E22">
            <v>2.5</v>
          </cell>
          <cell r="F22">
            <v>12</v>
          </cell>
        </row>
        <row r="23">
          <cell r="E23">
            <v>0.85</v>
          </cell>
          <cell r="F23">
            <v>25</v>
          </cell>
        </row>
        <row r="24">
          <cell r="E24">
            <v>3.11</v>
          </cell>
          <cell r="F24">
            <v>13</v>
          </cell>
        </row>
        <row r="25">
          <cell r="E25">
            <v>0.5</v>
          </cell>
          <cell r="F25">
            <v>1</v>
          </cell>
        </row>
        <row r="26">
          <cell r="E26">
            <v>95</v>
          </cell>
          <cell r="F26">
            <v>0</v>
          </cell>
        </row>
        <row r="27">
          <cell r="E27">
            <v>95</v>
          </cell>
          <cell r="F27">
            <v>0</v>
          </cell>
        </row>
        <row r="28">
          <cell r="E28">
            <v>72</v>
          </cell>
          <cell r="F28">
            <v>0</v>
          </cell>
        </row>
        <row r="29">
          <cell r="E29">
            <v>19</v>
          </cell>
          <cell r="F29">
            <v>0</v>
          </cell>
        </row>
        <row r="30">
          <cell r="E30">
            <v>19</v>
          </cell>
          <cell r="F30">
            <v>0</v>
          </cell>
        </row>
        <row r="31">
          <cell r="E31">
            <v>24</v>
          </cell>
          <cell r="F31">
            <v>0</v>
          </cell>
        </row>
        <row r="32">
          <cell r="E32">
            <v>60</v>
          </cell>
          <cell r="F32">
            <v>0</v>
          </cell>
        </row>
        <row r="33">
          <cell r="E33">
            <v>23</v>
          </cell>
          <cell r="F33">
            <v>0</v>
          </cell>
        </row>
        <row r="34">
          <cell r="E34">
            <v>60</v>
          </cell>
          <cell r="F34">
            <v>0</v>
          </cell>
        </row>
        <row r="35">
          <cell r="E35">
            <v>30</v>
          </cell>
          <cell r="F35">
            <v>0</v>
          </cell>
        </row>
        <row r="36">
          <cell r="E36">
            <v>23</v>
          </cell>
          <cell r="F36">
            <v>6.5</v>
          </cell>
        </row>
        <row r="37">
          <cell r="E37">
            <v>14</v>
          </cell>
          <cell r="F37">
            <v>0</v>
          </cell>
        </row>
        <row r="38">
          <cell r="E38">
            <v>10.199999999999999</v>
          </cell>
          <cell r="F38">
            <v>5.85</v>
          </cell>
        </row>
        <row r="39">
          <cell r="E39">
            <v>27.75</v>
          </cell>
          <cell r="F39">
            <v>0.25</v>
          </cell>
        </row>
        <row r="40">
          <cell r="E40">
            <v>35</v>
          </cell>
          <cell r="F40">
            <v>0</v>
          </cell>
        </row>
        <row r="41">
          <cell r="E41">
            <v>9.5500000000000007</v>
          </cell>
          <cell r="F41">
            <v>2.9379999999999979</v>
          </cell>
        </row>
        <row r="42">
          <cell r="E42">
            <v>0.19170000000000001</v>
          </cell>
          <cell r="F42">
            <v>54</v>
          </cell>
        </row>
        <row r="43">
          <cell r="E43">
            <v>0.54</v>
          </cell>
          <cell r="F43">
            <v>9</v>
          </cell>
        </row>
        <row r="44">
          <cell r="E44">
            <v>0.17</v>
          </cell>
          <cell r="F44">
            <v>0</v>
          </cell>
        </row>
        <row r="45">
          <cell r="E45">
            <v>1.034</v>
          </cell>
          <cell r="F45">
            <v>0</v>
          </cell>
        </row>
        <row r="46">
          <cell r="E46">
            <v>1.54</v>
          </cell>
          <cell r="F46">
            <v>0</v>
          </cell>
        </row>
        <row r="47">
          <cell r="E47">
            <v>2.0499999999999998</v>
          </cell>
          <cell r="F47">
            <v>0</v>
          </cell>
        </row>
        <row r="48">
          <cell r="E48">
            <v>2.5</v>
          </cell>
          <cell r="F48">
            <v>0</v>
          </cell>
        </row>
        <row r="49">
          <cell r="E49">
            <v>5.5</v>
          </cell>
          <cell r="F49">
            <v>34.731999999999999</v>
          </cell>
        </row>
        <row r="50">
          <cell r="E50">
            <v>39</v>
          </cell>
          <cell r="F50">
            <v>9.9999999999999992E-2</v>
          </cell>
        </row>
        <row r="51">
          <cell r="E51">
            <v>210</v>
          </cell>
          <cell r="F51">
            <v>0</v>
          </cell>
        </row>
        <row r="52">
          <cell r="E52">
            <v>157</v>
          </cell>
          <cell r="F52">
            <v>1</v>
          </cell>
        </row>
        <row r="53">
          <cell r="E53">
            <v>173</v>
          </cell>
          <cell r="F53">
            <v>0.33499999999999996</v>
          </cell>
        </row>
        <row r="54">
          <cell r="E54">
            <v>36</v>
          </cell>
          <cell r="F54">
            <v>0</v>
          </cell>
        </row>
        <row r="55">
          <cell r="E55">
            <v>0.8</v>
          </cell>
          <cell r="F55">
            <v>0</v>
          </cell>
        </row>
        <row r="56">
          <cell r="E56">
            <v>0.8</v>
          </cell>
          <cell r="F56">
            <v>92</v>
          </cell>
        </row>
        <row r="57">
          <cell r="E57">
            <v>2.48</v>
          </cell>
          <cell r="F57">
            <v>5.5</v>
          </cell>
        </row>
        <row r="58">
          <cell r="E58">
            <v>0.74</v>
          </cell>
          <cell r="F58">
            <v>92.28</v>
          </cell>
        </row>
        <row r="59">
          <cell r="E59">
            <v>1.25</v>
          </cell>
          <cell r="F59">
            <v>0</v>
          </cell>
        </row>
        <row r="60">
          <cell r="E60">
            <v>0.33</v>
          </cell>
          <cell r="F60">
            <v>370</v>
          </cell>
        </row>
        <row r="61">
          <cell r="E61">
            <v>5.5</v>
          </cell>
          <cell r="F61">
            <v>11</v>
          </cell>
        </row>
        <row r="62">
          <cell r="E62">
            <v>1</v>
          </cell>
          <cell r="F62">
            <v>7</v>
          </cell>
        </row>
        <row r="63">
          <cell r="E63">
            <v>90</v>
          </cell>
          <cell r="F63">
            <v>0</v>
          </cell>
        </row>
        <row r="64">
          <cell r="E64">
            <v>35</v>
          </cell>
          <cell r="F64">
            <v>0</v>
          </cell>
        </row>
        <row r="65">
          <cell r="E65">
            <v>18</v>
          </cell>
          <cell r="F65">
            <v>0</v>
          </cell>
        </row>
        <row r="66">
          <cell r="E66">
            <v>13</v>
          </cell>
          <cell r="F66">
            <v>1.5</v>
          </cell>
        </row>
        <row r="67">
          <cell r="E67">
            <v>180</v>
          </cell>
          <cell r="F67">
            <v>0</v>
          </cell>
        </row>
        <row r="68">
          <cell r="E68">
            <v>0.52100000000000002</v>
          </cell>
          <cell r="F68">
            <v>29</v>
          </cell>
        </row>
        <row r="69">
          <cell r="E69">
            <v>2.35</v>
          </cell>
          <cell r="F69">
            <v>1</v>
          </cell>
        </row>
        <row r="70">
          <cell r="E70">
            <v>7</v>
          </cell>
          <cell r="F70">
            <v>0</v>
          </cell>
        </row>
        <row r="71">
          <cell r="E71">
            <v>1.69</v>
          </cell>
          <cell r="F71">
            <v>0</v>
          </cell>
        </row>
        <row r="72">
          <cell r="E72">
            <v>8</v>
          </cell>
          <cell r="F72">
            <v>1.0999999999999999</v>
          </cell>
        </row>
        <row r="73">
          <cell r="E73">
            <v>880</v>
          </cell>
          <cell r="F73">
            <v>0</v>
          </cell>
        </row>
        <row r="74">
          <cell r="E74">
            <v>195</v>
          </cell>
          <cell r="F74">
            <v>0</v>
          </cell>
        </row>
        <row r="75">
          <cell r="E75">
            <v>21</v>
          </cell>
          <cell r="F75">
            <v>0</v>
          </cell>
        </row>
        <row r="76">
          <cell r="E76">
            <v>6</v>
          </cell>
          <cell r="F76">
            <v>0</v>
          </cell>
        </row>
        <row r="77">
          <cell r="E77">
            <v>6</v>
          </cell>
          <cell r="F77">
            <v>10</v>
          </cell>
        </row>
        <row r="78">
          <cell r="E78">
            <v>160</v>
          </cell>
          <cell r="F78">
            <v>0</v>
          </cell>
        </row>
        <row r="79">
          <cell r="E79">
            <v>184</v>
          </cell>
          <cell r="F79">
            <v>0</v>
          </cell>
        </row>
        <row r="80">
          <cell r="E80">
            <v>220</v>
          </cell>
          <cell r="F80">
            <v>0</v>
          </cell>
        </row>
        <row r="81">
          <cell r="E81">
            <v>46</v>
          </cell>
          <cell r="F81">
            <v>0</v>
          </cell>
        </row>
        <row r="82">
          <cell r="E82">
            <v>135</v>
          </cell>
          <cell r="F82">
            <v>0</v>
          </cell>
        </row>
        <row r="83">
          <cell r="E83">
            <v>9</v>
          </cell>
          <cell r="F83">
            <v>0</v>
          </cell>
        </row>
        <row r="84">
          <cell r="E84">
            <v>22</v>
          </cell>
          <cell r="F84">
            <v>0</v>
          </cell>
        </row>
        <row r="85">
          <cell r="E85">
            <v>45</v>
          </cell>
          <cell r="F85">
            <v>0</v>
          </cell>
        </row>
        <row r="86">
          <cell r="E86">
            <v>110</v>
          </cell>
          <cell r="F86">
            <v>0</v>
          </cell>
        </row>
        <row r="87">
          <cell r="E87">
            <v>43</v>
          </cell>
          <cell r="F87">
            <v>0</v>
          </cell>
        </row>
        <row r="88">
          <cell r="E88">
            <v>16.5</v>
          </cell>
          <cell r="F88">
            <v>0</v>
          </cell>
        </row>
        <row r="89">
          <cell r="E89">
            <v>33</v>
          </cell>
          <cell r="F89">
            <v>0</v>
          </cell>
        </row>
        <row r="90">
          <cell r="E90">
            <v>13</v>
          </cell>
          <cell r="F90">
            <v>1</v>
          </cell>
        </row>
        <row r="91">
          <cell r="E91">
            <v>9</v>
          </cell>
          <cell r="F91">
            <v>2</v>
          </cell>
        </row>
        <row r="92">
          <cell r="E92">
            <v>1130</v>
          </cell>
          <cell r="F92">
            <v>0</v>
          </cell>
        </row>
        <row r="93">
          <cell r="E93">
            <v>850</v>
          </cell>
          <cell r="F93">
            <v>0</v>
          </cell>
        </row>
        <row r="94">
          <cell r="E94">
            <v>24</v>
          </cell>
          <cell r="F94">
            <v>0</v>
          </cell>
        </row>
        <row r="95">
          <cell r="E95">
            <v>15</v>
          </cell>
          <cell r="F95">
            <v>0</v>
          </cell>
        </row>
        <row r="96">
          <cell r="E96">
            <v>3</v>
          </cell>
          <cell r="F96">
            <v>0</v>
          </cell>
        </row>
        <row r="97">
          <cell r="E97">
            <v>25</v>
          </cell>
          <cell r="F97">
            <v>4.8</v>
          </cell>
        </row>
        <row r="98">
          <cell r="E98">
            <v>0.5625</v>
          </cell>
          <cell r="F98">
            <v>38.5</v>
          </cell>
        </row>
        <row r="99">
          <cell r="E99">
            <v>35</v>
          </cell>
          <cell r="F99">
            <v>0</v>
          </cell>
        </row>
        <row r="100">
          <cell r="E100">
            <v>3</v>
          </cell>
          <cell r="F100">
            <v>0</v>
          </cell>
        </row>
        <row r="101">
          <cell r="E101">
            <v>13.16</v>
          </cell>
          <cell r="F101">
            <v>2</v>
          </cell>
        </row>
        <row r="102">
          <cell r="E102">
            <v>10</v>
          </cell>
          <cell r="F102">
            <v>0</v>
          </cell>
        </row>
        <row r="103">
          <cell r="E103">
            <v>15</v>
          </cell>
          <cell r="F103">
            <v>0</v>
          </cell>
        </row>
        <row r="104">
          <cell r="E104">
            <v>2.585</v>
          </cell>
          <cell r="F104">
            <v>3</v>
          </cell>
        </row>
        <row r="105">
          <cell r="E105">
            <v>17</v>
          </cell>
          <cell r="F105">
            <v>0</v>
          </cell>
        </row>
        <row r="106">
          <cell r="E106">
            <v>3.5</v>
          </cell>
          <cell r="F106">
            <v>0</v>
          </cell>
        </row>
        <row r="107">
          <cell r="E107">
            <v>10.25</v>
          </cell>
          <cell r="F107">
            <v>0</v>
          </cell>
        </row>
        <row r="108">
          <cell r="E108">
            <v>3</v>
          </cell>
          <cell r="F108">
            <v>0</v>
          </cell>
        </row>
        <row r="109">
          <cell r="E109">
            <v>0.54159999999999997</v>
          </cell>
          <cell r="F109">
            <v>2</v>
          </cell>
        </row>
        <row r="110">
          <cell r="E110">
            <v>4</v>
          </cell>
          <cell r="F110">
            <v>4</v>
          </cell>
        </row>
        <row r="111">
          <cell r="E111">
            <v>3</v>
          </cell>
          <cell r="F111">
            <v>0</v>
          </cell>
        </row>
        <row r="112">
          <cell r="E112">
            <v>0.4</v>
          </cell>
          <cell r="F112">
            <v>0</v>
          </cell>
        </row>
        <row r="113">
          <cell r="E113">
            <v>0.61</v>
          </cell>
          <cell r="F113">
            <v>59</v>
          </cell>
        </row>
        <row r="114">
          <cell r="E114">
            <v>23</v>
          </cell>
          <cell r="F114">
            <v>0</v>
          </cell>
        </row>
        <row r="115">
          <cell r="E115">
            <v>25</v>
          </cell>
          <cell r="F115">
            <v>0</v>
          </cell>
        </row>
        <row r="116">
          <cell r="E116">
            <v>35</v>
          </cell>
          <cell r="F116">
            <v>6</v>
          </cell>
        </row>
        <row r="117">
          <cell r="E117">
            <v>15</v>
          </cell>
          <cell r="F117">
            <v>0</v>
          </cell>
        </row>
        <row r="118">
          <cell r="E118">
            <v>10.210000000000001</v>
          </cell>
          <cell r="F118">
            <v>0</v>
          </cell>
        </row>
        <row r="119">
          <cell r="E119">
            <v>17</v>
          </cell>
          <cell r="F119">
            <v>0</v>
          </cell>
        </row>
        <row r="120">
          <cell r="E120">
            <v>33</v>
          </cell>
          <cell r="F120">
            <v>0</v>
          </cell>
        </row>
        <row r="121">
          <cell r="E121">
            <v>3.44</v>
          </cell>
          <cell r="F121">
            <v>0</v>
          </cell>
        </row>
        <row r="122">
          <cell r="E122">
            <v>3.5</v>
          </cell>
          <cell r="F122">
            <v>3</v>
          </cell>
        </row>
        <row r="123">
          <cell r="E123">
            <v>4.5</v>
          </cell>
          <cell r="F123">
            <v>0</v>
          </cell>
        </row>
        <row r="124">
          <cell r="E124">
            <v>72</v>
          </cell>
          <cell r="F124">
            <v>0</v>
          </cell>
        </row>
        <row r="125">
          <cell r="E125">
            <v>105</v>
          </cell>
          <cell r="F125">
            <v>0</v>
          </cell>
        </row>
        <row r="126">
          <cell r="E126">
            <v>40</v>
          </cell>
          <cell r="F126">
            <v>0</v>
          </cell>
        </row>
        <row r="127">
          <cell r="E127">
            <v>17</v>
          </cell>
          <cell r="F127">
            <v>0</v>
          </cell>
        </row>
        <row r="128">
          <cell r="E128">
            <v>148</v>
          </cell>
          <cell r="F128">
            <v>0</v>
          </cell>
        </row>
        <row r="129">
          <cell r="E129">
            <v>1.25</v>
          </cell>
          <cell r="F129">
            <v>150</v>
          </cell>
        </row>
        <row r="130">
          <cell r="E130">
            <v>0.5625</v>
          </cell>
          <cell r="F130">
            <v>7</v>
          </cell>
        </row>
        <row r="131">
          <cell r="E131">
            <v>13</v>
          </cell>
          <cell r="F131">
            <v>0</v>
          </cell>
        </row>
        <row r="132">
          <cell r="E132">
            <v>15</v>
          </cell>
          <cell r="F132">
            <v>0</v>
          </cell>
        </row>
        <row r="133">
          <cell r="E133">
            <v>13</v>
          </cell>
          <cell r="F133">
            <v>2</v>
          </cell>
        </row>
        <row r="134">
          <cell r="E134">
            <v>55</v>
          </cell>
          <cell r="F134">
            <v>0</v>
          </cell>
        </row>
        <row r="135">
          <cell r="E135">
            <v>200</v>
          </cell>
          <cell r="F135">
            <v>0</v>
          </cell>
        </row>
        <row r="136">
          <cell r="E136">
            <v>9.5500000000000007</v>
          </cell>
          <cell r="F136">
            <v>9.2799999999999994</v>
          </cell>
        </row>
        <row r="137">
          <cell r="E137">
            <v>0.56200000000000006</v>
          </cell>
          <cell r="F137">
            <v>18</v>
          </cell>
        </row>
      </sheetData>
      <sheetData sheetId="1"/>
      <sheetData sheetId="2">
        <row r="3">
          <cell r="K3" t="str">
            <v>Adhesive Vinyl Irani 3kg</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ow r="4">
          <cell r="N4" t="str">
            <v xml:space="preserve">اسفنج تنعيم جبسم بورد </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ow r="4">
          <cell r="L4" t="str">
            <v xml:space="preserve">صمغ خشب 3.78لتر </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sheetName val="AC cover Nylon inside"/>
      <sheetName val="Air Conditioner Bracket"/>
      <sheetName val="Air Curtain Gree 120cm"/>
      <sheetName val="Air Curtain Gree 90cm"/>
      <sheetName val="Base Remote Control Split AC"/>
      <sheetName val="Bottle AC Gas For Pull out and "/>
      <sheetName val="Bottle Gas N2 With Gas"/>
      <sheetName val="Cart Split Tosot 4Ton"/>
      <sheetName val="Circular Rubber Split Unit AC "/>
      <sheetName val="Comprissor Split Samsung 4ton"/>
      <sheetName val="Condenser AC Unit Capacitor"/>
      <sheetName val="Conduit Spring AC (1 2, 3 4 , 5"/>
      <sheetName val="Conduit Spring AC (3 4,1 2,5 8)"/>
      <sheetName val="Conversion Gas  R410"/>
      <sheetName val="Cover AC Split TCO3+TCO4"/>
      <sheetName val="Cylinder Trolley Bottle N2"/>
      <sheetName val="Display 30296309 Gree"/>
      <sheetName val="Fill Bottle Gas N2 "/>
      <sheetName val="Fill Gas Bottle Arkon"/>
      <sheetName val="Fill Gas Bottle Astleen"/>
      <sheetName val="Fill Gas Bottle CO2"/>
      <sheetName val="Fill Gas Bottle CO2+Arkon"/>
      <sheetName val="Fill Gas bottle O2"/>
      <sheetName val="Fill Gas Small Bottle "/>
      <sheetName val="Gas Bottle 5k LPG"/>
      <sheetName val="Gas R134A 13.6K"/>
      <sheetName val="Gas R134A Foran 1K +Stop Valve "/>
      <sheetName val="Gas R141 Galaxy"/>
      <sheetName val="Gas R22"/>
      <sheetName val="Gas R410 Techslin 11.3k"/>
      <sheetName val="Gas Welding &amp; Cutting Pipe AC"/>
      <sheetName val="Gauge Bottle Gas N2"/>
      <sheetName val="Gauge Gas Welding &amp; Cutting Pip"/>
      <sheetName val="Handle Welding Pipe AC Split"/>
      <sheetName val="Handle Welding With Hose+Gas"/>
      <sheetName val="Hose For Fill Gas AC Split"/>
      <sheetName val="Hose Plastic Drain AC 5m"/>
      <sheetName val="Insulator Split Unit AC 1&quot; 1.8m"/>
      <sheetName val="Insulator Split Unit AC 3 4 1.8"/>
      <sheetName val="insulator Split Unit AC 5 8 1.8"/>
      <sheetName val="insulator Split Unit AC 7 8 1.8"/>
      <sheetName val="Insulator Split Unit AC1 2 1.8m"/>
      <sheetName val="Insulator Split Unit AC1 4 1.8m"/>
      <sheetName val="insulator Split Unit AC3 8 1.8m"/>
      <sheetName val="Invertor For Ac Split 2ton"/>
      <sheetName val="Machine Flaring  AC Value"/>
      <sheetName val="Machine vacuum AC Anchor"/>
      <sheetName val="Nut 3 8 Split"/>
      <sheetName val="Oil Split Unit AC "/>
      <sheetName val="Pipe Bandage AC "/>
      <sheetName val="Tape (Black) for AC &amp; ppr pipe"/>
      <sheetName val="Pipe Roll AC 1.5 Ton_x0009_"/>
      <sheetName val="Pipe Roll AC 2Ton"/>
      <sheetName val="Pipe Split Unit AC 1 2 15m"/>
      <sheetName val="Pipe Split Unit AC 1 2 50m"/>
      <sheetName val="Pipe Split Unit AC 1 4 15m"/>
      <sheetName val="Pipe Split Unit AC 1 4 50m"/>
      <sheetName val="Pipe Split Unit AC 3 4 15m"/>
      <sheetName val="Pipe Split Unit AC 3 4 50m"/>
      <sheetName val="Pipe Split Unit AC 3 8 15m"/>
      <sheetName val="Pipe Split Unit AC 3 8+5 8 4mt "/>
      <sheetName val="Pipe Split Unit AC 5 8 15m"/>
      <sheetName val="Pipe Split Unit AC 5 8 50m"/>
      <sheetName val="Pipe Split Unit AC 7 8 15m"/>
      <sheetName val="Plastic Pipe Ring"/>
      <sheetName val="Plastic Ring For Split Unit AC "/>
      <sheetName val="Recharge Gauge AC Coupling Hong"/>
      <sheetName val="Remote Control Split AC "/>
      <sheetName val="Rubber Split Unit AC 11 4 6cm"/>
      <sheetName val="Scissors Pipe AC Split 14-20mm"/>
      <sheetName val="Small Bottle Gas For Welding Pi"/>
      <sheetName val="Split AC 2.5Ton R22  Hisene_x0009_"/>
      <sheetName val="Split AC Tosot 2.5ton Ts-H30602"/>
      <sheetName val="Split AC Tosot Cassette 2.5ton "/>
      <sheetName val="Split AC Tosot Wall Inverter 1t"/>
      <sheetName val="Split Cleaner 1LT Dasty"/>
      <sheetName val="Split Cleaner 500ml Bitop"/>
      <sheetName val="Split Tube Expansion Tool"/>
      <sheetName val="Split Unit AC  SAMSUNG 1.5Ton"/>
      <sheetName val="Split Unit AC  SAMSUNG 1Ton"/>
      <sheetName val="Split Unit AC  Sonic 1 Ton"/>
      <sheetName val="Split Unit AC  Sonic 1.5 Ton"/>
      <sheetName val="Split Unit AC Beko 1.5Ton"/>
      <sheetName val="Split Unit AC Carrier 1.5Ton  I"/>
      <sheetName val="Split Unit AC Carrier 1.5Ton QA"/>
      <sheetName val="Split Unit AC Carrier 1Ton  Inv"/>
      <sheetName val="Split Unit AC Carrier 2.5Ton QC"/>
      <sheetName val="Split Unit AC Carrier 2Ton QAB0"/>
      <sheetName val="Split Unit AC Carrier 2Ton QHG0"/>
      <sheetName val="Split Unit AC Carrier 4Ton Inve"/>
      <sheetName val="Split Unit AC Cassette Gree 1.5"/>
      <sheetName val="Split Unit AC Cassette Gree 2To"/>
      <sheetName val="Split Unit AC Cassette Gree 3To"/>
      <sheetName val="Split Unit AC Cassette Gree 4To"/>
      <sheetName val="Split Unit AC GENERAL GOLD  1.5"/>
      <sheetName val="Split Unit AC GENERAL GOLD  1To"/>
      <sheetName val="Split Unit AC GENERAL GOLD  2To"/>
      <sheetName val="Split Unit AC GENERAL SH3Ton Si"/>
      <sheetName val="Split Unit AC GENERAL SHKAR  1T"/>
      <sheetName val="Split Unit AC GENERAL SHKAR  2T"/>
      <sheetName val="Split Unit AC GENERAL SHKAR 1.5"/>
      <sheetName val="Split Unit AC GENERAL SHKAR 3To"/>
      <sheetName val="Split Unit AC GENERAL SHKAR 5To"/>
      <sheetName val="Split Unit AC Gree 1.5Ton Inver"/>
      <sheetName val="Split Unit AC Gree 1Ton Inverto"/>
      <sheetName val="Split Unit AC Gree 1Ton With Pi"/>
      <sheetName val="Split Unit AC Gree 2.5Ton Inver"/>
      <sheetName val="Split Unit AC Gree 2Ton Inverto"/>
      <sheetName val="Split Unit AC Gree 2Ton With Pi"/>
      <sheetName val="Split Unit AC Gree 3Ton Inverte"/>
      <sheetName val="Heat recovery "/>
      <sheetName val="Split Unit AC Gree 3Ton Standin"/>
      <sheetName val="Split Unit AC Gree 4Ton Standin"/>
      <sheetName val="Split Unit AC Gree 5Ton With Pi"/>
      <sheetName val="Split Unit AC Gree Invertor 1.5"/>
      <sheetName val="Split Unit AC Tosot 1.5Ton "/>
      <sheetName val="Split Unit AC Tosot 2Ton "/>
      <sheetName val="Split Unit AC Tosot 3Ton With P"/>
      <sheetName val="Split Unit AC Tosot 4Ton With P"/>
      <sheetName val="Split Unit AC York 1.5Ton JS-H1"/>
      <sheetName val="Split Unit AC York 1Ton Inverto"/>
      <sheetName val="Split Unit AC York 2Ton Inverto"/>
      <sheetName val="Thermostat AC Split  P.M"/>
      <sheetName val="Tosot Wall. 1.5ton. (TS-H186OZM"/>
      <sheetName val="Tube Bender AC (5 8) 16mm"/>
      <sheetName val="Sheet1"/>
      <sheetName val="White Rubber Split Unit AC "/>
      <sheetName val="Wire Welding AC harris"/>
      <sheetName val="Refrigerator rubber"/>
      <sheetName val="Conduit Spring AC (1 2, 3 4 (2)"/>
      <sheetName val="Pipe Cutter A c Unit "/>
      <sheetName val="Interior Fan A c Unit "/>
    </sheetNames>
    <sheetDataSet>
      <sheetData sheetId="0">
        <row r="4">
          <cell r="E4">
            <v>6</v>
          </cell>
          <cell r="F4">
            <v>2</v>
          </cell>
        </row>
        <row r="5">
          <cell r="E5">
            <v>0</v>
          </cell>
          <cell r="F5">
            <v>1</v>
          </cell>
        </row>
        <row r="6">
          <cell r="E6">
            <v>0</v>
          </cell>
          <cell r="F6">
            <v>6</v>
          </cell>
        </row>
        <row r="7">
          <cell r="E7">
            <v>0</v>
          </cell>
          <cell r="F7">
            <v>3</v>
          </cell>
        </row>
        <row r="8">
          <cell r="E8">
            <v>6</v>
          </cell>
          <cell r="F8">
            <v>2</v>
          </cell>
        </row>
        <row r="9">
          <cell r="E9">
            <v>8</v>
          </cell>
          <cell r="F9">
            <v>9</v>
          </cell>
        </row>
        <row r="10">
          <cell r="E10">
            <v>0.71399999999999997</v>
          </cell>
          <cell r="F10">
            <v>0</v>
          </cell>
        </row>
        <row r="11">
          <cell r="E11">
            <v>4.25</v>
          </cell>
          <cell r="F11">
            <v>3</v>
          </cell>
        </row>
        <row r="12">
          <cell r="E12">
            <v>20.8</v>
          </cell>
          <cell r="F12">
            <v>1</v>
          </cell>
        </row>
        <row r="13">
          <cell r="E13">
            <v>20.8</v>
          </cell>
          <cell r="F13">
            <v>1</v>
          </cell>
        </row>
        <row r="14">
          <cell r="E14">
            <v>20.8</v>
          </cell>
          <cell r="F14">
            <v>1</v>
          </cell>
        </row>
        <row r="15">
          <cell r="E15">
            <v>20</v>
          </cell>
          <cell r="F15">
            <v>1</v>
          </cell>
        </row>
        <row r="16">
          <cell r="E16">
            <v>3.33</v>
          </cell>
          <cell r="F16">
            <v>2</v>
          </cell>
        </row>
        <row r="17">
          <cell r="E17">
            <v>2.08</v>
          </cell>
          <cell r="F17">
            <v>9</v>
          </cell>
        </row>
        <row r="18">
          <cell r="E18">
            <v>2.08</v>
          </cell>
          <cell r="F18">
            <v>2</v>
          </cell>
        </row>
        <row r="19">
          <cell r="E19">
            <v>2.08</v>
          </cell>
          <cell r="F19">
            <v>1</v>
          </cell>
        </row>
        <row r="20">
          <cell r="E20">
            <v>2.36</v>
          </cell>
          <cell r="F20">
            <v>2</v>
          </cell>
        </row>
        <row r="21">
          <cell r="E21">
            <v>1.66</v>
          </cell>
          <cell r="F21">
            <v>4</v>
          </cell>
        </row>
        <row r="22">
          <cell r="E22">
            <v>5</v>
          </cell>
          <cell r="F22">
            <v>1</v>
          </cell>
        </row>
        <row r="23">
          <cell r="E23">
            <v>75</v>
          </cell>
          <cell r="F23">
            <v>0</v>
          </cell>
        </row>
        <row r="24">
          <cell r="E24">
            <v>17.12</v>
          </cell>
          <cell r="F24">
            <v>0</v>
          </cell>
        </row>
        <row r="25">
          <cell r="E25">
            <v>60</v>
          </cell>
          <cell r="F25">
            <v>0</v>
          </cell>
        </row>
        <row r="26">
          <cell r="E26">
            <v>72</v>
          </cell>
          <cell r="F26">
            <v>3</v>
          </cell>
        </row>
        <row r="27">
          <cell r="E27">
            <v>75</v>
          </cell>
          <cell r="F27">
            <v>1</v>
          </cell>
        </row>
        <row r="28">
          <cell r="E28">
            <v>135</v>
          </cell>
          <cell r="F28">
            <v>1</v>
          </cell>
        </row>
        <row r="29">
          <cell r="E29">
            <v>45.83</v>
          </cell>
          <cell r="F29">
            <v>0</v>
          </cell>
        </row>
        <row r="30">
          <cell r="E30">
            <v>0.67149999999999999</v>
          </cell>
          <cell r="F30">
            <v>5</v>
          </cell>
        </row>
        <row r="31">
          <cell r="E31">
            <v>0.5</v>
          </cell>
          <cell r="F31">
            <v>41</v>
          </cell>
        </row>
        <row r="32">
          <cell r="E32">
            <v>0.32</v>
          </cell>
          <cell r="F32">
            <v>6</v>
          </cell>
        </row>
        <row r="33">
          <cell r="E33">
            <v>0.38</v>
          </cell>
          <cell r="F33">
            <v>76</v>
          </cell>
        </row>
        <row r="34">
          <cell r="E34">
            <v>0.53</v>
          </cell>
          <cell r="F34">
            <v>1</v>
          </cell>
        </row>
        <row r="35">
          <cell r="E35">
            <v>0.5</v>
          </cell>
          <cell r="F35">
            <v>1159</v>
          </cell>
        </row>
        <row r="36">
          <cell r="E36">
            <v>0</v>
          </cell>
          <cell r="F36">
            <v>180</v>
          </cell>
        </row>
        <row r="37">
          <cell r="E37">
            <v>0.33</v>
          </cell>
          <cell r="F37">
            <v>291</v>
          </cell>
        </row>
        <row r="38">
          <cell r="E38">
            <v>0.5</v>
          </cell>
          <cell r="F38">
            <v>21</v>
          </cell>
        </row>
        <row r="39">
          <cell r="E39">
            <v>45</v>
          </cell>
          <cell r="F39">
            <v>56</v>
          </cell>
        </row>
        <row r="40">
          <cell r="E40">
            <v>0</v>
          </cell>
          <cell r="F40">
            <v>4</v>
          </cell>
        </row>
        <row r="41">
          <cell r="E41">
            <v>35</v>
          </cell>
          <cell r="F41">
            <v>157</v>
          </cell>
        </row>
        <row r="42">
          <cell r="E42">
            <v>1</v>
          </cell>
          <cell r="F42">
            <v>358</v>
          </cell>
        </row>
        <row r="43">
          <cell r="E43">
            <v>2.5</v>
          </cell>
          <cell r="F43">
            <v>6</v>
          </cell>
        </row>
        <row r="44">
          <cell r="E44">
            <v>2.5</v>
          </cell>
          <cell r="F44">
            <v>1412</v>
          </cell>
        </row>
        <row r="45">
          <cell r="E45">
            <v>30</v>
          </cell>
          <cell r="F45">
            <v>2</v>
          </cell>
        </row>
        <row r="46">
          <cell r="E46">
            <v>0</v>
          </cell>
          <cell r="F46">
            <v>2</v>
          </cell>
        </row>
        <row r="47">
          <cell r="E47">
            <v>5</v>
          </cell>
          <cell r="F47">
            <v>0</v>
          </cell>
        </row>
        <row r="48">
          <cell r="E48">
            <v>329</v>
          </cell>
          <cell r="F48">
            <v>0</v>
          </cell>
        </row>
        <row r="49">
          <cell r="E49">
            <v>640</v>
          </cell>
          <cell r="F49">
            <v>0</v>
          </cell>
        </row>
        <row r="50">
          <cell r="E50">
            <v>850</v>
          </cell>
          <cell r="F50">
            <v>0</v>
          </cell>
        </row>
        <row r="51">
          <cell r="E51">
            <v>240</v>
          </cell>
          <cell r="F51">
            <v>2</v>
          </cell>
        </row>
        <row r="52">
          <cell r="E52">
            <v>290</v>
          </cell>
          <cell r="F52">
            <v>1</v>
          </cell>
        </row>
        <row r="53">
          <cell r="E53">
            <v>270</v>
          </cell>
          <cell r="F53">
            <v>0</v>
          </cell>
        </row>
        <row r="54">
          <cell r="E54">
            <v>200</v>
          </cell>
          <cell r="F54">
            <v>2</v>
          </cell>
        </row>
        <row r="55">
          <cell r="E55">
            <v>285</v>
          </cell>
          <cell r="F55">
            <v>23</v>
          </cell>
        </row>
        <row r="56">
          <cell r="E56">
            <v>730</v>
          </cell>
          <cell r="F56">
            <v>0</v>
          </cell>
        </row>
        <row r="57">
          <cell r="E57">
            <v>190</v>
          </cell>
          <cell r="F57">
            <v>1</v>
          </cell>
        </row>
        <row r="58">
          <cell r="E58">
            <v>580</v>
          </cell>
          <cell r="F58">
            <v>0</v>
          </cell>
        </row>
        <row r="59">
          <cell r="E59">
            <v>455</v>
          </cell>
          <cell r="F59">
            <v>0</v>
          </cell>
        </row>
        <row r="60">
          <cell r="E60">
            <v>340</v>
          </cell>
          <cell r="F60">
            <v>0</v>
          </cell>
        </row>
        <row r="61">
          <cell r="E61">
            <v>795</v>
          </cell>
          <cell r="F61">
            <v>0</v>
          </cell>
        </row>
        <row r="62">
          <cell r="E62">
            <v>305</v>
          </cell>
          <cell r="F62">
            <v>0</v>
          </cell>
        </row>
        <row r="63">
          <cell r="E63">
            <v>345</v>
          </cell>
          <cell r="F63">
            <v>0</v>
          </cell>
        </row>
        <row r="64">
          <cell r="E64">
            <v>290</v>
          </cell>
          <cell r="F64">
            <v>1</v>
          </cell>
        </row>
        <row r="65">
          <cell r="E65">
            <v>415</v>
          </cell>
          <cell r="F65">
            <v>0</v>
          </cell>
        </row>
        <row r="66">
          <cell r="E66">
            <v>0</v>
          </cell>
          <cell r="F66">
            <v>1</v>
          </cell>
        </row>
        <row r="67">
          <cell r="E67">
            <v>285</v>
          </cell>
          <cell r="F67">
            <v>5</v>
          </cell>
        </row>
        <row r="68">
          <cell r="E68">
            <v>0</v>
          </cell>
          <cell r="F68">
            <v>7</v>
          </cell>
        </row>
        <row r="69">
          <cell r="E69">
            <v>10</v>
          </cell>
          <cell r="F69">
            <v>0</v>
          </cell>
        </row>
        <row r="70">
          <cell r="E70">
            <v>0.17100000000000001</v>
          </cell>
          <cell r="F70">
            <v>1203</v>
          </cell>
        </row>
        <row r="71">
          <cell r="E71">
            <v>0.34</v>
          </cell>
          <cell r="F71">
            <v>33</v>
          </cell>
        </row>
        <row r="72">
          <cell r="E72">
            <v>6.25</v>
          </cell>
          <cell r="F72">
            <v>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sheetName val="Air Pillow"/>
      <sheetName val="An Ashtray"/>
      <sheetName val="ASTS PVC TUT HG04 Beyaz Mat"/>
      <sheetName val="ASTS PVC TUT HG04 Beyaz Parlak"/>
      <sheetName val="Bainmarie Hot Servie Unit+Woode"/>
      <sheetName val="Baking Pot 25.5 25.5cm"/>
      <sheetName val="Bar Stools"/>
      <sheetName val="Bed Cover  "/>
      <sheetName val="Bedding Sheets"/>
      <sheetName val="Bedding Sheets Chair"/>
      <sheetName val="Bedding Sheets Luqman"/>
      <sheetName val="Beko Freezer F60312N 350Lt"/>
      <sheetName val="Big Saltcellar "/>
      <sheetName val="Big Spoon"/>
      <sheetName val="Water Heater Small"/>
      <sheetName val="Black Rolling Chair "/>
      <sheetName val="Blanket Solaroh"/>
      <sheetName val="Blanket Suzan 420"/>
      <sheetName val="Blanket1"/>
      <sheetName val="Box Brema Ice Makers VM900A"/>
      <sheetName val="Brass Desk 90   90   70 cm with"/>
      <sheetName val="Brema Ice Makers CB425A 80 58 5"/>
      <sheetName val="Brema Ice Makers VM900A"/>
      <sheetName val="Chair Wood&amp;Steel For Desk Food"/>
      <sheetName val="Chest Freezer Simfer 407L 16fee"/>
      <sheetName val="Chest Freezer Sonic BDCW 327L "/>
      <sheetName val="Cooker 6Hot Plare Electric 120 "/>
      <sheetName val="Cooking Pots Gray 24 28 32cm"/>
      <sheetName val="Cooking Pots Walunt 26 28 32cm"/>
      <sheetName val="Cup "/>
      <sheetName val="Cutting Boared "/>
      <sheetName val="Cutting knife Tramontina 27cm "/>
      <sheetName val="Cutting knife Tramontina 32.5cm"/>
      <sheetName val="Dish 23cm"/>
      <sheetName val="Dish 31.5cm"/>
      <sheetName val="Dish Plastic"/>
      <sheetName val="Dishwasher ALTUS LA405"/>
      <sheetName val="Dryer Clothes Machine (Candy) 1"/>
      <sheetName val="Dryer Machine Alliance 15K FD3T"/>
      <sheetName val="Dryer Machine LG 9K RC9066A3F"/>
      <sheetName val="Dryer Machine Mabe 10-20k SME26"/>
      <sheetName val="Dryer Machine Whirlpool 10K"/>
      <sheetName val="Eating Tongs"/>
      <sheetName val="Electric Cooker 5 Eyes 52 86cm"/>
      <sheetName val="Electric Oven  BB-06656-B-TR"/>
      <sheetName val="EMP-10 Speed control 10lt"/>
      <sheetName val="face towel"/>
      <sheetName val="flafil Maker"/>
      <sheetName val="Fixed Chair "/>
      <sheetName val="Floor carpet 1 1m_x0009__x0009_"/>
      <sheetName val="Fork AYD"/>
      <sheetName val="Freezer Beko HSA47502"/>
      <sheetName val="Freezer VBL 10-W-UK R290"/>
      <sheetName val="Freezer Visto202L CS2220"/>
      <sheetName val="Frezeer LARSA VF236LHS 163Lt"/>
      <sheetName val="Frying Pan 24 28 32cm"/>
      <sheetName val="full satellite"/>
      <sheetName val="Full Set Of Silicone Food Stirr"/>
      <sheetName val="Handle Door Lock For Washer"/>
      <sheetName val="Iron Bed 1 2m"/>
      <sheetName val="Iron Bed 90 190cm"/>
      <sheetName val="Iron Bouble Bed Sleep 90 190cm "/>
      <sheetName val="Iron Double Bed 1 2m"/>
      <sheetName val="Iron Wordrob 183 38 45cm One D"/>
      <sheetName val="Iron Wordrob 188.5 60 46.5cm On"/>
      <sheetName val="Iron Wordrob Cloth_x0009__x0009_"/>
      <sheetName val="Iron Wordroob 185 90 35cm 24 Do"/>
      <sheetName val="Iron Wordroob 195 92 42cm "/>
      <sheetName val="Iron Wordroob 95 92 50cm Brown"/>
      <sheetName val="Iron Wordrop Double Door 90 45 "/>
      <sheetName val="knife AYD"/>
      <sheetName val="Life Fitness Integrity CLST"/>
      <sheetName val="Mattress 1 2m Seher"/>
      <sheetName val="Mattress 190 90cm 30cm"/>
      <sheetName val="Microwave Oven MWL425  42L "/>
      <sheetName val="Morphy Richards "/>
      <sheetName val="Normal Bedding Sheets"/>
      <sheetName val="جهاز ثرم الطعام"/>
      <sheetName val="Normal Blanket "/>
      <sheetName val="Oven Electric 120 84.7 56.5cm"/>
      <sheetName val="Plastic sugar pail"/>
      <sheetName val="Oven Tray NUSSE"/>
      <sheetName val="Philips Coffe Marker HD7447"/>
      <sheetName val="Pillow 700g"/>
      <sheetName val="Pillow Striped"/>
      <sheetName val="Pillow White"/>
      <sheetName val="Plastic chair_x0009_"/>
      <sheetName val="Plastic Chair Iron"/>
      <sheetName val="plastic Desk"/>
      <sheetName val="Plastic Desk Leg Iron"/>
      <sheetName val="Plastic Desk Rectangle With Gla"/>
      <sheetName val="Plastic Desk Square With Glass"/>
      <sheetName val="Plastic Glass"/>
      <sheetName val="PS-07 Potato peelers 20kg "/>
      <sheetName val="Refrigerator 5foot Al Ryan RF12"/>
      <sheetName val="Refrigerator Elryan 94L RF121LA"/>
      <sheetName val="Refrigerator Hisense Black"/>
      <sheetName val="Refrigerator R-S700GPUQ2GBK  HI"/>
      <sheetName val="Refrigerator Samsung RS50N39135"/>
      <sheetName val="Refrigerator Samsung RS53K4600S"/>
      <sheetName val="Refrigerator Vestel 303Lt White"/>
      <sheetName val="Refrigerator Vestel 404Lt White"/>
      <sheetName val="s200sc slim "/>
      <sheetName val="Salad Pot 13 24cm"/>
      <sheetName val="Samsung Refrigerator RT46K6330W"/>
      <sheetName val="Service Trolley 3 Tiers 55 86 9"/>
      <sheetName val="Shelf Bule Aspects 60 200cm"/>
      <sheetName val="Shelf Bule&amp;white 200 60 200cm 4"/>
      <sheetName val="sleeping bag"/>
      <sheetName val="Small Saltcellar "/>
      <sheetName val="Small Spoon AYD"/>
      <sheetName val="Sofa For Two Black Leather"/>
      <sheetName val="Sonic Refrigerator 10 foot"/>
      <sheetName val="Sonic Refrigerator 6 foot"/>
      <sheetName val="Soup Dish 15.5 7.5cm"/>
      <sheetName val="Spice Jar Set Wellini"/>
      <sheetName val="SPORT DEVICE  GYM"/>
      <sheetName val="SPORT DEVICE  GYM velo"/>
      <sheetName val="SPORT DEVICE  GYM1"/>
      <sheetName val="Stainless Steel Bainmarie Food "/>
      <sheetName val="Steel Food Filter"/>
      <sheetName val="Steel Table For service 125   3"/>
      <sheetName val="Steel Table For service 150   3"/>
      <sheetName val="Steel Wordrop Tow Door Used"/>
      <sheetName val="Step Ladder  8 Steps A Werner"/>
      <sheetName val="Step Ladder 4 Steps A Werner"/>
      <sheetName val="Step Ladder 6 Steps A Werner"/>
      <sheetName val="Step Ladder 8 Step A Powerline"/>
      <sheetName val="Step Ladder Aluminum 6mt TEHLIK"/>
      <sheetName val="Step Ladder Fiberglass 10step A"/>
      <sheetName val="Step Ladder Fiberglass 3mt 10st"/>
      <sheetName val="Step Ladder Fiberglass 6step A"/>
      <sheetName val="Step Ladder Fiberglass 7step A"/>
      <sheetName val="Step Ladder Fiberglass A 2mt 8s"/>
      <sheetName val="Step Ladder Fiberglass A 3mt 12"/>
      <sheetName val="Step Ladder Slide 11mt Powerlin"/>
      <sheetName val="Step Ladder Slide 12mt extentio"/>
      <sheetName val="Step Ladder Slide 24&quot; 7.32mt"/>
      <sheetName val="Step ladder Steel 230 60cm_x0009_"/>
      <sheetName val="Table TV Wood 150cm"/>
      <sheetName val="Tea Machine MF209 Molonli FE Te"/>
      <sheetName val="TV 43&quot; 43-A000F Hisense"/>
      <sheetName val="TV 55&quot; LG"/>
      <sheetName val="TV 55&quot;SAMSUNG"/>
      <sheetName val="TV 65&quot; 65-A7120FS Hisense"/>
      <sheetName val="TV Wall Mounts Sonic  "/>
      <sheetName val="Vacuum Cleaner 10Lt Shop-Vac"/>
      <sheetName val="Vacuum Cleaner 40Lt Shop-Vac"/>
      <sheetName val="Vacuum Cleaner 60Lt Crown"/>
      <sheetName val="Vegetables Peeler JX-188"/>
      <sheetName val="Wall Type Hood With Filters 150"/>
      <sheetName val="Washer Machine (Candy) 10killo"/>
      <sheetName val="Washer Machine 8K LG FH4G7TDY6_x0009_"/>
      <sheetName val="Washer Mashine 18K Hisense"/>
      <sheetName val="Washing Machine Alliance 15K CW"/>
      <sheetName val="Washing Machine LG 10.5K "/>
      <sheetName val="Washing Machine LG 9K T1085NDKV"/>
      <sheetName val="Washing Machine Mabe 19k LMA791"/>
      <sheetName val="Water Dispenser With Filter Son"/>
      <sheetName val="White Plate Shelf Base  56 95cm"/>
      <sheetName val="Wood Desk 100 250 76.5cm"/>
      <sheetName val="Wood Desk 140 69 75cm"/>
      <sheetName val="Wood Desk Office 120cm"/>
      <sheetName val="Wood Desk Office 69 120 75cm"/>
      <sheetName val="Wood Food Desk 120 80cm"/>
      <sheetName val="Wood Meeting Table 1 2mt"/>
      <sheetName val="Wood Meeting Table 320 130cm"/>
      <sheetName val="Wood Night Stand 50 50 50cm_x0009__x0009__x0009__x0009_"/>
      <sheetName val="wood partiton"/>
      <sheetName val="Wood Table 50 130cm 2mt"/>
      <sheetName val="Wood Table For TV Black 120cm S"/>
      <sheetName val="Wood Table Office 140 70"/>
      <sheetName val="Wood Table Office 75 60 120cm"/>
      <sheetName val="Wood wordrob 180 80 45cm"/>
      <sheetName val="Wood Wordrob 196 86 71cm"/>
      <sheetName val="Wood Wordrob 2 1mt 2Pieces"/>
      <sheetName val="Wooden Counter Alabaster"/>
      <sheetName val="Wooden Sick Bed"/>
      <sheetName val="جهازياضي اسود"/>
      <sheetName val="جهازياضي اسود تمارين ارجل"/>
      <sheetName val="سلم  المنيوم سلايت حبل  4 م"/>
      <sheetName val="صوبة كهربائية "/>
      <sheetName val="magister coffee machine ES100 2"/>
      <sheetName val="cunill coffee grinder"/>
      <sheetName val="JTC blender"/>
      <sheetName val="Muddler 20cm"/>
      <sheetName val="Vacuum Wine Stopper"/>
      <sheetName val="Stainless Steel Cocktail Set Si"/>
      <sheetName val="Ruber Bar Mat 44.5  29.5cm"/>
      <sheetName val="PP Bar caddy Black"/>
      <sheetName val="spoon "/>
      <sheetName val="Sinan Group inv. 2024 , 2789 + "/>
      <sheetName val="Wood wordrob 180 80 45cm (2)"/>
      <sheetName val="Lundry basket"/>
      <sheetName val="Cool Box 60L KALE LT BUZL"/>
      <sheetName val="Duvet Sheet"/>
      <sheetName val="Cool Box 60L KALE LT BUZL (2)"/>
      <sheetName val="Wood Desk 100 250 76.5cm (2)"/>
      <sheetName val="Fridge Beko RT 6601"/>
      <sheetName val="DART "/>
      <sheetName val="Projector Data Show"/>
      <sheetName val="Table tennis Game"/>
      <sheetName val="Table football Game"/>
      <sheetName val="Play Staion 5"/>
      <sheetName val="Play Staion 5 Conroller"/>
      <sheetName val="Xbox Series X"/>
      <sheetName val="Xbox Controller"/>
      <sheetName val="Billiard"/>
      <sheetName val="Garlic Mixer"/>
      <sheetName val="coffee pot"/>
      <sheetName val="شكردان"/>
      <sheetName val="Tea Cup"/>
      <sheetName val="دوسة مشبك ارضية ربل"/>
      <sheetName val="ثلاجة مختبرية ثلاجة مختبرات حجم"/>
    </sheetNames>
    <sheetDataSet>
      <sheetData sheetId="0">
        <row r="4">
          <cell r="E4">
            <v>293</v>
          </cell>
          <cell r="F4">
            <v>2</v>
          </cell>
        </row>
        <row r="5">
          <cell r="E5">
            <v>142</v>
          </cell>
          <cell r="F5">
            <v>2</v>
          </cell>
        </row>
        <row r="6">
          <cell r="E6">
            <v>5.34</v>
          </cell>
          <cell r="F6">
            <v>2</v>
          </cell>
        </row>
        <row r="7">
          <cell r="E7">
            <v>5</v>
          </cell>
          <cell r="F7">
            <v>0</v>
          </cell>
        </row>
        <row r="8">
          <cell r="E8">
            <v>19</v>
          </cell>
          <cell r="F8">
            <v>21</v>
          </cell>
        </row>
        <row r="9">
          <cell r="E9">
            <v>75</v>
          </cell>
          <cell r="F9">
            <v>2</v>
          </cell>
        </row>
        <row r="10">
          <cell r="E10">
            <v>250</v>
          </cell>
          <cell r="F10">
            <v>1</v>
          </cell>
        </row>
        <row r="11">
          <cell r="E11">
            <v>55</v>
          </cell>
          <cell r="F11">
            <v>1</v>
          </cell>
        </row>
        <row r="12">
          <cell r="E12">
            <v>650</v>
          </cell>
          <cell r="F12">
            <v>6</v>
          </cell>
        </row>
        <row r="13">
          <cell r="E13">
            <v>650</v>
          </cell>
          <cell r="F13">
            <v>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sheetName val="Small Drill Dewalt"/>
      <sheetName val="Small Welding Machine MAKITA_x0009__x0009__x0009_"/>
      <sheetName val="Grinder Machine Big Dewalt_x0009__x0009__x0009_"/>
      <sheetName val="Grinder Machine Small Dewalt_x0009__x0009__x0009_"/>
      <sheetName val="Cutter Sandwich panel 10cm Dewa"/>
      <sheetName val="Cutter Smiths Dewalt_x0009__x0009__x0009_"/>
      <sheetName val=" Grass Cutter Ingco"/>
      <sheetName val="Small Jigsaw parkside parkside "/>
      <sheetName val="Cutter Angle PVC Dewalt_x0009__x0009__x0009_"/>
      <sheetName val="laminator_x0009_"/>
      <sheetName val="Concrete Vibrater_x0009_"/>
      <sheetName val="Pump Washer 150Bar Power Line"/>
      <sheetName val="Pump Washer 80 bar_x0009_"/>
      <sheetName val="Small Compressor_x0009_"/>
      <sheetName val="Clips Gun Electrical Worked By "/>
      <sheetName val="Brush Cutter_x0009_"/>
      <sheetName val="Washer Pump Small Power Line"/>
      <sheetName val="Dewalt DCS371N-XJ Sierra De Ban"/>
      <sheetName val="Big Grinder Machine Makita RED"/>
      <sheetName val="Dewalt DCS380 M2"/>
      <sheetName val="Dewalt DWD024K"/>
      <sheetName val="Dewalt DWD112S"/>
      <sheetName val="Dewalt DWD014S"/>
      <sheetName val="Dewalt DWE1622K"/>
      <sheetName val="Dewalt DCH333X2"/>
      <sheetName val="Dewalt D25333K"/>
      <sheetName val="laser level DW088K-B5 "/>
      <sheetName val="Dewalt D25899K"/>
      <sheetName val="Dewalt D25133k"/>
      <sheetName val="Dewalt DWE4887N"/>
      <sheetName val="Dewalt DCM562P1"/>
      <sheetName val="Dewalt DWB800-B5 800W Var speed"/>
      <sheetName val="Earth Auger 52cc with 200 800 d"/>
      <sheetName val="Dewalt DW349-ZA"/>
      <sheetName val="Dewalt D26411"/>
      <sheetName val="Dewalt DWE305PK"/>
      <sheetName val="Dewalt d28730-b5 shape handle 2"/>
      <sheetName val="Dewalt D23700"/>
      <sheetName val="Dewalt DWD010"/>
      <sheetName val="Dewalt D25501k"/>
      <sheetName val="Dewalt D25601K"/>
      <sheetName val="Dewalt DCD796D2"/>
      <sheetName val="Sheet1"/>
      <sheetName val="Dewalt DWE492"/>
      <sheetName val="Dewalt DEW4120"/>
      <sheetName val="Dewalt D2667G"/>
      <sheetName val="concrete polisher"/>
      <sheetName val="Electric Staple Gun "/>
      <sheetName val="Cutter PVC Ingeco 1400w"/>
      <sheetName val="Cutter PVC dewalt dws780-gb"/>
      <sheetName val="Dewalt DWE6411"/>
      <sheetName val="Impact Wrench Power Line PL-107"/>
      <sheetName val="Filter Regulator Lubricator 3 4"/>
      <sheetName val="Filter Metal Bowl 1&quot;"/>
      <sheetName val="Heat Gun 1800W Staniley"/>
      <sheetName val="Air Blower_x0009__x0009_"/>
      <sheetName val="Air Wrench 1&quot; Long Somax"/>
      <sheetName val="Dewalt D25413 "/>
      <sheetName val="Dewalt DWE560"/>
      <sheetName val="Cutter Brush DES-30R 1.2HP Trup"/>
      <sheetName val="Air Wrench 1 2&quot; Stanley STMT748"/>
      <sheetName val="Air Compressor 3HP 200Lt Euro "/>
      <sheetName val="Dewalt DW432"/>
      <sheetName val="Nail Gun Dewalt DCN680D1"/>
      <sheetName val="Air Hot Blower Meakida"/>
      <sheetName val="Plate Compactor With EY-20 Engi"/>
      <sheetName val="Dewalt DWAC40SET"/>
      <sheetName val="Vacuum Cleaner"/>
      <sheetName val="مكينة تثبيت قطع الالمنيوم"/>
      <sheetName val="frame plate Cutter"/>
    </sheetNames>
    <sheetDataSet>
      <sheetData sheetId="0">
        <row r="5">
          <cell r="E5">
            <v>55</v>
          </cell>
          <cell r="F5">
            <v>3</v>
          </cell>
        </row>
        <row r="6">
          <cell r="E6">
            <v>80</v>
          </cell>
          <cell r="F6">
            <v>2</v>
          </cell>
        </row>
        <row r="7">
          <cell r="E7">
            <v>39</v>
          </cell>
          <cell r="F7">
            <v>2</v>
          </cell>
        </row>
        <row r="8">
          <cell r="E8">
            <v>200</v>
          </cell>
          <cell r="F8">
            <v>1</v>
          </cell>
        </row>
        <row r="9">
          <cell r="E9">
            <v>130</v>
          </cell>
          <cell r="F9">
            <v>0</v>
          </cell>
        </row>
        <row r="10">
          <cell r="E10">
            <v>100</v>
          </cell>
          <cell r="F10">
            <v>1</v>
          </cell>
        </row>
        <row r="11">
          <cell r="E11">
            <v>700</v>
          </cell>
          <cell r="F11">
            <v>0</v>
          </cell>
        </row>
        <row r="12">
          <cell r="E12">
            <v>145</v>
          </cell>
          <cell r="F12">
            <v>0</v>
          </cell>
        </row>
        <row r="13">
          <cell r="E13">
            <v>430</v>
          </cell>
          <cell r="F13">
            <v>0</v>
          </cell>
        </row>
        <row r="14">
          <cell r="E14">
            <v>97</v>
          </cell>
          <cell r="F14">
            <v>0</v>
          </cell>
        </row>
        <row r="15">
          <cell r="E15">
            <v>347</v>
          </cell>
          <cell r="F15">
            <v>2</v>
          </cell>
        </row>
        <row r="16">
          <cell r="E16">
            <v>55</v>
          </cell>
          <cell r="F16">
            <v>4</v>
          </cell>
        </row>
        <row r="17">
          <cell r="E17">
            <v>49</v>
          </cell>
          <cell r="F17">
            <v>6</v>
          </cell>
        </row>
        <row r="18">
          <cell r="E18">
            <v>50</v>
          </cell>
          <cell r="F18">
            <v>0</v>
          </cell>
        </row>
        <row r="19">
          <cell r="E19">
            <v>850</v>
          </cell>
          <cell r="F19">
            <v>2</v>
          </cell>
        </row>
        <row r="20">
          <cell r="E20">
            <v>550</v>
          </cell>
          <cell r="F20">
            <v>2</v>
          </cell>
        </row>
        <row r="21">
          <cell r="E21">
            <v>280</v>
          </cell>
          <cell r="F21">
            <v>0</v>
          </cell>
        </row>
        <row r="22">
          <cell r="E22">
            <v>80</v>
          </cell>
          <cell r="F22">
            <v>0</v>
          </cell>
        </row>
        <row r="23">
          <cell r="E23">
            <v>480</v>
          </cell>
          <cell r="F23">
            <v>1</v>
          </cell>
        </row>
        <row r="24">
          <cell r="E24">
            <v>100</v>
          </cell>
          <cell r="F24">
            <v>1</v>
          </cell>
        </row>
        <row r="25">
          <cell r="E25">
            <v>180</v>
          </cell>
          <cell r="F25">
            <v>1</v>
          </cell>
        </row>
        <row r="26">
          <cell r="E26">
            <v>50</v>
          </cell>
          <cell r="F26">
            <v>1</v>
          </cell>
        </row>
        <row r="27">
          <cell r="E27">
            <v>70</v>
          </cell>
          <cell r="F27">
            <v>3</v>
          </cell>
        </row>
        <row r="28">
          <cell r="E28">
            <v>48</v>
          </cell>
          <cell r="F28">
            <v>2</v>
          </cell>
        </row>
        <row r="29">
          <cell r="E29">
            <v>100</v>
          </cell>
          <cell r="F29">
            <v>3</v>
          </cell>
        </row>
        <row r="30">
          <cell r="E30">
            <v>130</v>
          </cell>
          <cell r="F30">
            <v>4</v>
          </cell>
        </row>
        <row r="31">
          <cell r="E31">
            <v>275</v>
          </cell>
          <cell r="F31">
            <v>1</v>
          </cell>
        </row>
        <row r="32">
          <cell r="E32">
            <v>60</v>
          </cell>
          <cell r="F32">
            <v>1</v>
          </cell>
        </row>
        <row r="33">
          <cell r="E33">
            <v>235</v>
          </cell>
          <cell r="F33">
            <v>0</v>
          </cell>
        </row>
        <row r="34">
          <cell r="E34">
            <v>35</v>
          </cell>
          <cell r="F34">
            <v>0</v>
          </cell>
        </row>
        <row r="35">
          <cell r="E35">
            <v>73</v>
          </cell>
          <cell r="F35">
            <v>10</v>
          </cell>
        </row>
        <row r="36">
          <cell r="E36">
            <v>54</v>
          </cell>
          <cell r="F36">
            <v>1</v>
          </cell>
        </row>
        <row r="37">
          <cell r="E37">
            <v>120</v>
          </cell>
          <cell r="F37">
            <v>1</v>
          </cell>
        </row>
        <row r="38">
          <cell r="E38">
            <v>35</v>
          </cell>
          <cell r="F38">
            <v>1</v>
          </cell>
        </row>
        <row r="39">
          <cell r="E39">
            <v>75.91</v>
          </cell>
          <cell r="F39">
            <v>0</v>
          </cell>
        </row>
        <row r="40">
          <cell r="E40">
            <v>650</v>
          </cell>
          <cell r="F40">
            <v>1</v>
          </cell>
        </row>
        <row r="41">
          <cell r="E41">
            <v>75</v>
          </cell>
          <cell r="F41">
            <v>0</v>
          </cell>
        </row>
        <row r="42">
          <cell r="E42">
            <v>20</v>
          </cell>
          <cell r="F42">
            <v>0</v>
          </cell>
        </row>
        <row r="43">
          <cell r="E43">
            <v>295</v>
          </cell>
          <cell r="F43">
            <v>0</v>
          </cell>
        </row>
        <row r="44">
          <cell r="E44">
            <v>82</v>
          </cell>
          <cell r="F44">
            <v>0</v>
          </cell>
        </row>
        <row r="45">
          <cell r="E45">
            <v>199</v>
          </cell>
          <cell r="F45">
            <v>0</v>
          </cell>
        </row>
        <row r="46">
          <cell r="E46">
            <v>225</v>
          </cell>
          <cell r="F46">
            <v>0</v>
          </cell>
        </row>
        <row r="47">
          <cell r="E47">
            <v>750</v>
          </cell>
          <cell r="F47">
            <v>0</v>
          </cell>
        </row>
        <row r="48">
          <cell r="E48">
            <v>15</v>
          </cell>
          <cell r="F48">
            <v>0</v>
          </cell>
        </row>
        <row r="49">
          <cell r="E49">
            <v>420</v>
          </cell>
          <cell r="F49">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sheetName val="Alucobond White 3mm 125 320cm"/>
      <sheetName val="Aluminume Secondary Ceilings 60"/>
      <sheetName val="Angle Ceramic 270cm Steel"/>
      <sheetName val="Angle Gypsum Board  3m"/>
      <sheetName val="Angle Gypsum Board With Hole 27"/>
      <sheetName val="Angle Internal Plastic _x0009_"/>
      <sheetName val="Angle Parket plastic floor 280C"/>
      <sheetName val="Angle Plastic 9cm 280cm"/>
      <sheetName val="Angle Plastic Off white 10cm 28"/>
      <sheetName val="Angle Secondary Ceilings 3.6m"/>
      <sheetName val="Angle Secondary Ceilings 3m"/>
      <sheetName val="Angle T Aluminium 3cm 3m Parket"/>
      <sheetName val="Angle vinyl Black_x0009_"/>
      <sheetName val="Angle vinyl White_x0009_"/>
      <sheetName val="Big Glass Insulator"/>
      <sheetName val="BLack Wood Insulator"/>
      <sheetName val="Black Liner 5.5 10mt "/>
      <sheetName val="Black Rubber 7.5cm 3m"/>
      <sheetName val="Black Rubber Floor 1 1m"/>
      <sheetName val="Black Sponge Isolated Sound 1 2"/>
      <sheetName val="Blue cork Parket 125 78cm"/>
      <sheetName val="Blue Joint Vinyl _x0009_"/>
      <sheetName val="Blue Vinyl_x0009_"/>
      <sheetName val="Brown Wood MDF 12mm 244 122cm"/>
      <sheetName val="C Channel Gypsum Board 3mt 4 1c"/>
      <sheetName val="Caravan 3 10mt"/>
      <sheetName val="Caravan 3 12mt"/>
      <sheetName val="Caravan 3 9mt"/>
      <sheetName val="ceiling hanger wire 1m"/>
      <sheetName val="ceiling hanger wire 60cm_x0009_"/>
      <sheetName val="Ceilings Main Beam 60cm a  Blac"/>
      <sheetName val="Ceilings Main Beam 60cm White"/>
      <sheetName val="ceilings main beam120cm a  blac"/>
      <sheetName val="Ceilings Main Beam120cm a  whit"/>
      <sheetName val="ceilings main beam320cm a  blac"/>
      <sheetName val="Ceilings Main Beam360cm "/>
      <sheetName val="Cement Board 6mm"/>
      <sheetName val="Cement Board 8mm"/>
      <sheetName val="Cement Board 12mm  122 244cm"/>
      <sheetName val="Cement Board 9mm"/>
      <sheetName val="Cemente Board 18mm  122 244cm"/>
      <sheetName val="Cold felt 10m "/>
      <sheetName val="Cold felt 10m  15cm  Flash Band"/>
      <sheetName val="Cold felt 15m 10cm  Sika Multis"/>
      <sheetName val="Ceramic 30 30cm"/>
      <sheetName val="Ceramic 33 33cm"/>
      <sheetName val="Ceramic 45 45 cm"/>
      <sheetName val="Cork ( high pressure )1 2mt 10c"/>
      <sheetName val="Cork 1 2mt  10cm"/>
      <sheetName val="Cork 1 2mt  18mm"/>
      <sheetName val="Cork 1 2mt  2.5cm"/>
      <sheetName val="Cork 1 2mt  5cm"/>
      <sheetName val="Coupling Angle Internal Plastic"/>
      <sheetName val="Cowl Onduvilla"/>
      <sheetName val="Cream Vinyl_x0009_"/>
      <sheetName val="Elbow angle Plastic _x0009_"/>
      <sheetName val="Edge Onduvilla 100 30cm"/>
      <sheetName val="FFH 15cm Pedestals And Gaskets"/>
      <sheetName val="Floor Carpet 50 50cm L.C.T"/>
      <sheetName val="Frame Wood Door"/>
      <sheetName val="Glass Wool Insulator aluminum 1"/>
      <sheetName val="Glass Wool Insulator Vinyl 15cm"/>
      <sheetName val="Glass wool small roller 5cm"/>
      <sheetName val="Glue Black Sponge Isolated Soun"/>
      <sheetName val="Gray Joint vinyl_x0009_"/>
      <sheetName val="Gray Sponge Insulator Joint 30m"/>
      <sheetName val="Gray Sponge Insulator Joint 40+"/>
      <sheetName val="Gray Vinyl_x0009_"/>
      <sheetName val="Grey Vinyl freezers"/>
      <sheetName val="Grey Vinyl Joint freezers"/>
      <sheetName val="Grey Vinyl new"/>
      <sheetName val="Gypsum Board 12mm 120 240cm "/>
      <sheetName val="Gypsum Board Waterproof 12.5 mm"/>
      <sheetName val="Joint Angle Plastic "/>
      <sheetName val="Joint Cream Vinyl_x0009_"/>
      <sheetName val="Joint Hash Steel 3mt"/>
      <sheetName val="Brown MDF 18mm 244 122cm"/>
      <sheetName val="Brown MDF 18mm 244 122cm 1"/>
      <sheetName val="Maintenance Hatch Gypsum Board "/>
      <sheetName val="Off White Angle Internal Plasti"/>
      <sheetName val="Off White Joint Angle Plastic "/>
      <sheetName val="Omiga Gypsum Board "/>
      <sheetName val="Onduvilla blue 110 40cm"/>
      <sheetName val="Onduvilla Green 110 40cm"/>
      <sheetName val="Onduvilla Red 110 40cm"/>
      <sheetName val="Onduvilla military 1 2m"/>
      <sheetName val="Panel Gypsum Board Secondary Ce"/>
      <sheetName val="Parket Plastic Floor 1.85m²"/>
      <sheetName val="White parquet insulation cork"/>
      <sheetName val="Pedestals Gaskets"/>
      <sheetName val="Pipe Wool Insulator Aluminium 1"/>
      <sheetName val="Pipe Wool Insulator Aluminium 2"/>
      <sheetName val="Pipe Wool Insulator Aluminium 4"/>
      <sheetName val="Pipe Wool Insulator Aluminium15"/>
      <sheetName val="Pipe Wool Insulator Aluminium25"/>
      <sheetName val="Plastic Water Stop 25mt 20cm"/>
      <sheetName val="Plywood 10.5mm"/>
      <sheetName val="Plywood 14.5mm 244 122cm"/>
      <sheetName val="Plywood 18mm 244 122cm"/>
      <sheetName val="Raised Floor Panels 60 60cm 3mm"/>
      <sheetName val="R Foil Insulatoin Aluminium Bub"/>
      <sheetName val="Rock Wool Insulator 10cm 120 60"/>
      <sheetName val="Roof Sandwich Panel 5cm 4.5m"/>
      <sheetName val="Roof  sandwich panel Melano 5cm"/>
      <sheetName val="Roof sandwich panel  5cm 6m"/>
      <sheetName val="Roof Sandwich Panel  5cm 3.75mt"/>
      <sheetName val="Roof sandwich panel  5cm 4m ira"/>
      <sheetName val="Roof Sandwich Panel 10cm 3.53mt"/>
      <sheetName val="Roof Sandwich Panel 10cm 4mt Wi"/>
      <sheetName val="Roof Sandwich Panel 5cm 3m"/>
      <sheetName val="Roof Sandwich Panel 5cm 4m"/>
      <sheetName val="Roof sandwich panel 6cm 256cm"/>
      <sheetName val="Sniper Screen  3m 100m"/>
      <sheetName val="Stringer And Gaskets"/>
      <sheetName val="Suspension Hanger Wire For Ceil"/>
      <sheetName val="Trapped Gypsum Board Secondary "/>
      <sheetName val="Vipsan Classic 69 49cm"/>
      <sheetName val="Wall sandwich panel 5cm 260cm f"/>
      <sheetName val="Wall sandwich panel 5cm 2.6m ir"/>
      <sheetName val="Wall sandwich panel 5cm 240m ir"/>
      <sheetName val="Wall Sandwich Panel 10cm 2.40mt"/>
      <sheetName val="Wall Sandwich Panel 10cm 2.60mt"/>
      <sheetName val="Wall Sandwich Panel 10cm 260cm"/>
      <sheetName val="Wall Sandwich Panel 10cm 3mt"/>
      <sheetName val="Wall Sandwich Panel 10cm 4mt"/>
      <sheetName val="Wall Sandwich Panel 5cm 2.60mt "/>
      <sheetName val="Wall sandwich panel 5cm 240cm"/>
      <sheetName val="Wall sandwich panel 5cm 265Fire"/>
      <sheetName val="Wall Sandwich Panel 5cm 260cm"/>
      <sheetName val="Wall sandwich panel 5cm 2m"/>
      <sheetName val="Wall Sandwich Panel 5cm 3.2m"/>
      <sheetName val="Wall Sandwich Panel 5cm 3.5m"/>
      <sheetName val="Wall Sandwich Panel 5cm 3.78mt"/>
      <sheetName val="Wall Sandwich Panel 5cm 3m"/>
      <sheetName val="Wall Sandwich Panel 5cm 4.5m"/>
      <sheetName val="Wall Sandwich Panel 5cm 4m"/>
      <sheetName val="Wall Sandwich Panel 5cm 5m"/>
      <sheetName val="Wall sandwich panel 5cm 6m"/>
      <sheetName val="Wall Sandwich Panel 5cm 7.75m"/>
      <sheetName val="Wall sandwich panel 5cm 255cm"/>
      <sheetName val="Walnut Vinyl"/>
      <sheetName val="Walunt Joint vinyl_x0009_"/>
      <sheetName val="White Alucobond 4mm  125 320cm "/>
      <sheetName val="White Corner Tirm MDF 5cm 280c"/>
      <sheetName val="White Hash Alucobond 6m"/>
      <sheetName val="White Joint MDF 4cm 280cm"/>
      <sheetName val="White Joint MDF 5cm 280cm"/>
      <sheetName val="White Vinyl Flex 1.2mt   50mt  "/>
      <sheetName val="White Vinyl Flex 1.4mt   50mt  "/>
      <sheetName val="White Vinyl Flex 260cm 50mt  "/>
      <sheetName val="White Wood Library 320 44 200cm"/>
      <sheetName val="White Wood MDF 18mm 183 366cm"/>
      <sheetName val="White Wood MDF 18mm 280 210cm"/>
      <sheetName val="Wood Without cover 16mm 244 122"/>
      <sheetName val="White Wood MDF 18mm 50 25cm"/>
      <sheetName val="White Wood MDF 14mm 244 122cm"/>
      <sheetName val="White Wood MDF 5mm  210 280cm"/>
      <sheetName val=" White Wood MDF 9mm  122 280cm"/>
      <sheetName val="Wood 1 4&quot; 4mt"/>
      <sheetName val="Wood 4mm red  244  122cm"/>
      <sheetName val="Wood 4mm   244  122cm"/>
      <sheetName val="lined Wood 4mm   244  122cm"/>
      <sheetName val="Wood 10 2.5cm 3mt"/>
      <sheetName val="Wood 10 2.5cm 4mt"/>
      <sheetName val="Wood 10 2cm 3mt"/>
      <sheetName val="Wood 10 4.5cm 2.5m"/>
      <sheetName val="Wood 10 5cm 4mt"/>
      <sheetName val="wood 12mm_x0009_"/>
      <sheetName val="Wood 15 4.5cm "/>
      <sheetName val="Wood 16mm OSB 122 244cm"/>
      <sheetName val="Wood 18mm 122 244cm"/>
      <sheetName val="Wood 1mt 7 30cm"/>
      <sheetName val="Wood 3 7cm 180cm"/>
      <sheetName val="Wood 3 7cm 240cm"/>
      <sheetName val="Wood 122 244cm "/>
      <sheetName val="Wood 9 9cm  3m_x0009_"/>
      <sheetName val="Wood natural 10cm 2.5cm 250cm"/>
      <sheetName val="Wood OSB 11mm 244 122cm"/>
      <sheetName val="Wood OSP Green 12mm_x0009_"/>
      <sheetName val="Wool Insulatoin Aluminium Bubbl"/>
      <sheetName val="Wool insulator_x0009_"/>
      <sheetName val="Wool insulator 5cm 5m_x0009_"/>
      <sheetName val="Hot felt 1m  10m  "/>
      <sheetName val="Roof sandwich panel  5cm 3m ira"/>
      <sheetName val="FrameCat Plate ( from zakho) 33"/>
      <sheetName val="FrameCat Plate ( from zakho) 53"/>
      <sheetName val="FrameCat Plate ( from zakho) f"/>
      <sheetName val="PVC Marble qm -6002 121.5 290 c"/>
      <sheetName val="Cream Wood MDF 18mm 280 210cm"/>
      <sheetName val="Cream Wood MDF 18mm 366 183cm"/>
      <sheetName val="Yellow Sponge Isolated  183 93 "/>
      <sheetName val="Plywood 12mm"/>
      <sheetName val="Wall sandwich panel 5cm "/>
      <sheetName val="Roof sandwich panel 5cm "/>
      <sheetName val="Cement Board 16mm"/>
    </sheetNames>
    <sheetDataSet>
      <sheetData sheetId="0">
        <row r="4">
          <cell r="E4">
            <v>25</v>
          </cell>
          <cell r="F4">
            <v>1</v>
          </cell>
        </row>
        <row r="5">
          <cell r="E5">
            <v>3.33</v>
          </cell>
          <cell r="F5">
            <v>0</v>
          </cell>
        </row>
        <row r="6">
          <cell r="E6">
            <v>2.06</v>
          </cell>
          <cell r="F6">
            <v>0</v>
          </cell>
        </row>
        <row r="7">
          <cell r="E7">
            <v>0.4</v>
          </cell>
          <cell r="F7">
            <v>0</v>
          </cell>
        </row>
        <row r="8">
          <cell r="E8">
            <v>0.5</v>
          </cell>
          <cell r="F8">
            <v>0</v>
          </cell>
        </row>
        <row r="9">
          <cell r="E9">
            <v>0.5</v>
          </cell>
          <cell r="F9">
            <v>2</v>
          </cell>
        </row>
        <row r="10">
          <cell r="E10">
            <v>2.25</v>
          </cell>
          <cell r="F10">
            <v>0</v>
          </cell>
        </row>
        <row r="11">
          <cell r="E11">
            <v>2.5</v>
          </cell>
          <cell r="F11">
            <v>0</v>
          </cell>
        </row>
        <row r="12">
          <cell r="E12">
            <v>2.75</v>
          </cell>
          <cell r="F12">
            <v>0</v>
          </cell>
        </row>
        <row r="13">
          <cell r="E13">
            <v>4</v>
          </cell>
          <cell r="F13">
            <v>0</v>
          </cell>
        </row>
        <row r="14">
          <cell r="E14">
            <v>1.25</v>
          </cell>
          <cell r="F14">
            <v>0</v>
          </cell>
        </row>
        <row r="15">
          <cell r="E15">
            <v>2.39</v>
          </cell>
          <cell r="F15">
            <v>0</v>
          </cell>
        </row>
        <row r="16">
          <cell r="E16">
            <v>0.75</v>
          </cell>
          <cell r="F16">
            <v>5906.8</v>
          </cell>
        </row>
        <row r="17">
          <cell r="E17">
            <v>0.75</v>
          </cell>
          <cell r="F17">
            <v>5184.5</v>
          </cell>
        </row>
        <row r="18">
          <cell r="E18">
            <v>48</v>
          </cell>
          <cell r="F18">
            <v>0.5</v>
          </cell>
        </row>
        <row r="19">
          <cell r="E19">
            <v>318.39</v>
          </cell>
          <cell r="F19">
            <v>0</v>
          </cell>
        </row>
        <row r="20">
          <cell r="E20">
            <v>302.5</v>
          </cell>
          <cell r="F20">
            <v>0</v>
          </cell>
        </row>
        <row r="21">
          <cell r="E21">
            <v>3.33</v>
          </cell>
          <cell r="F21">
            <v>0</v>
          </cell>
        </row>
        <row r="22">
          <cell r="E22">
            <v>9</v>
          </cell>
          <cell r="F22">
            <v>0</v>
          </cell>
        </row>
        <row r="23">
          <cell r="E23">
            <v>16</v>
          </cell>
          <cell r="F23">
            <v>140.5</v>
          </cell>
        </row>
        <row r="24">
          <cell r="E24">
            <v>0</v>
          </cell>
          <cell r="F24">
            <v>0</v>
          </cell>
        </row>
        <row r="25">
          <cell r="E25">
            <v>27</v>
          </cell>
          <cell r="F25">
            <v>35.419999999999995</v>
          </cell>
        </row>
        <row r="26">
          <cell r="E26">
            <v>230</v>
          </cell>
          <cell r="F26">
            <v>12</v>
          </cell>
        </row>
        <row r="27">
          <cell r="E27">
            <v>0.85</v>
          </cell>
          <cell r="F27">
            <v>0</v>
          </cell>
        </row>
        <row r="28">
          <cell r="E28">
            <v>4820</v>
          </cell>
          <cell r="F28">
            <v>1</v>
          </cell>
        </row>
        <row r="29">
          <cell r="E29">
            <v>0.27</v>
          </cell>
          <cell r="F29">
            <v>0</v>
          </cell>
        </row>
        <row r="30">
          <cell r="E30">
            <v>0</v>
          </cell>
          <cell r="F30">
            <v>0</v>
          </cell>
        </row>
        <row r="31">
          <cell r="E31">
            <v>0.3</v>
          </cell>
          <cell r="F31">
            <v>0</v>
          </cell>
        </row>
        <row r="32">
          <cell r="E32">
            <v>0.65</v>
          </cell>
          <cell r="F32">
            <v>275</v>
          </cell>
        </row>
        <row r="33">
          <cell r="E33">
            <v>3.25</v>
          </cell>
          <cell r="F33">
            <v>1</v>
          </cell>
        </row>
        <row r="34">
          <cell r="E34">
            <v>0.65</v>
          </cell>
          <cell r="F34">
            <v>525</v>
          </cell>
        </row>
        <row r="35">
          <cell r="E35">
            <v>3.5</v>
          </cell>
          <cell r="F35">
            <v>380</v>
          </cell>
        </row>
        <row r="36">
          <cell r="E36">
            <v>0.65</v>
          </cell>
          <cell r="F36">
            <v>1505</v>
          </cell>
        </row>
        <row r="37">
          <cell r="E37">
            <v>32</v>
          </cell>
          <cell r="F37">
            <v>0</v>
          </cell>
        </row>
        <row r="38">
          <cell r="E38">
            <v>34</v>
          </cell>
          <cell r="F38">
            <v>14</v>
          </cell>
        </row>
        <row r="39">
          <cell r="E39">
            <v>0</v>
          </cell>
          <cell r="F39">
            <v>24</v>
          </cell>
        </row>
        <row r="40">
          <cell r="E40">
            <v>15</v>
          </cell>
          <cell r="F40">
            <v>19</v>
          </cell>
        </row>
        <row r="41">
          <cell r="E41">
            <v>5.5</v>
          </cell>
          <cell r="F41">
            <v>0</v>
          </cell>
        </row>
        <row r="42">
          <cell r="E42">
            <v>7.86</v>
          </cell>
          <cell r="F42">
            <v>0</v>
          </cell>
        </row>
        <row r="43">
          <cell r="E43">
            <v>25</v>
          </cell>
          <cell r="F43">
            <v>0</v>
          </cell>
        </row>
        <row r="44">
          <cell r="E44">
            <v>0</v>
          </cell>
          <cell r="F44">
            <v>6</v>
          </cell>
        </row>
        <row r="45">
          <cell r="E45">
            <v>0</v>
          </cell>
          <cell r="F45">
            <v>32</v>
          </cell>
        </row>
        <row r="46">
          <cell r="E46">
            <v>0</v>
          </cell>
          <cell r="F46">
            <v>70</v>
          </cell>
        </row>
        <row r="47">
          <cell r="E47">
            <v>29.728999999999999</v>
          </cell>
          <cell r="F47">
            <v>2</v>
          </cell>
        </row>
        <row r="48">
          <cell r="E48">
            <v>6.7560000000000002</v>
          </cell>
          <cell r="F48">
            <v>2</v>
          </cell>
        </row>
        <row r="49">
          <cell r="E49">
            <v>1.25</v>
          </cell>
          <cell r="F49">
            <v>0</v>
          </cell>
        </row>
        <row r="50">
          <cell r="E50">
            <v>2.4820000000000002</v>
          </cell>
          <cell r="F50">
            <v>0</v>
          </cell>
        </row>
        <row r="51">
          <cell r="E51">
            <v>6.5</v>
          </cell>
          <cell r="F51">
            <v>6</v>
          </cell>
        </row>
        <row r="52">
          <cell r="E52">
            <v>0.6</v>
          </cell>
          <cell r="F52">
            <v>0</v>
          </cell>
        </row>
        <row r="53">
          <cell r="E53">
            <v>4</v>
          </cell>
          <cell r="F53">
            <v>1041</v>
          </cell>
        </row>
        <row r="54">
          <cell r="E54">
            <v>230</v>
          </cell>
          <cell r="F54">
            <v>27.700000000000003</v>
          </cell>
        </row>
        <row r="55">
          <cell r="E55">
            <v>0</v>
          </cell>
          <cell r="F55">
            <v>3</v>
          </cell>
        </row>
        <row r="56">
          <cell r="E56">
            <v>0</v>
          </cell>
          <cell r="F56">
            <v>5866</v>
          </cell>
        </row>
        <row r="57">
          <cell r="E57">
            <v>0.75</v>
          </cell>
          <cell r="F57">
            <v>0</v>
          </cell>
        </row>
        <row r="58">
          <cell r="E58">
            <v>2.15</v>
          </cell>
          <cell r="F58">
            <v>0</v>
          </cell>
        </row>
        <row r="59">
          <cell r="E59">
            <v>3.375</v>
          </cell>
          <cell r="F59">
            <v>0</v>
          </cell>
        </row>
        <row r="60">
          <cell r="E60">
            <v>0</v>
          </cell>
          <cell r="F60">
            <v>300</v>
          </cell>
        </row>
        <row r="61">
          <cell r="E61">
            <v>30.3</v>
          </cell>
          <cell r="F61">
            <v>120</v>
          </cell>
        </row>
        <row r="62">
          <cell r="E62">
            <v>25.8</v>
          </cell>
          <cell r="F62">
            <v>36</v>
          </cell>
        </row>
        <row r="63">
          <cell r="E63">
            <v>24</v>
          </cell>
          <cell r="F63">
            <v>14</v>
          </cell>
        </row>
        <row r="64">
          <cell r="E64">
            <v>28</v>
          </cell>
          <cell r="F64">
            <v>0</v>
          </cell>
        </row>
        <row r="65">
          <cell r="E65">
            <v>0</v>
          </cell>
          <cell r="F65">
            <v>39</v>
          </cell>
        </row>
        <row r="66">
          <cell r="E66">
            <v>27</v>
          </cell>
          <cell r="F66">
            <v>70.23</v>
          </cell>
        </row>
        <row r="67">
          <cell r="E67">
            <v>0.3</v>
          </cell>
          <cell r="F67">
            <v>0</v>
          </cell>
        </row>
        <row r="68">
          <cell r="E68">
            <v>45</v>
          </cell>
          <cell r="F68">
            <v>0</v>
          </cell>
        </row>
        <row r="69">
          <cell r="E69">
            <v>230</v>
          </cell>
          <cell r="F69">
            <v>27.216000000000008</v>
          </cell>
        </row>
        <row r="70">
          <cell r="E70">
            <v>170.1</v>
          </cell>
          <cell r="F70">
            <v>1</v>
          </cell>
        </row>
        <row r="71">
          <cell r="E71">
            <v>4</v>
          </cell>
          <cell r="F71">
            <v>0.5</v>
          </cell>
        </row>
        <row r="72">
          <cell r="E72">
            <v>4.25</v>
          </cell>
          <cell r="F72">
            <v>1</v>
          </cell>
        </row>
        <row r="73">
          <cell r="E73">
            <v>19.5</v>
          </cell>
          <cell r="F73">
            <v>0</v>
          </cell>
        </row>
        <row r="74">
          <cell r="E74">
            <v>0</v>
          </cell>
          <cell r="F74">
            <v>240</v>
          </cell>
        </row>
        <row r="75">
          <cell r="E75">
            <v>0.5</v>
          </cell>
          <cell r="F75">
            <v>0</v>
          </cell>
        </row>
        <row r="76">
          <cell r="E76">
            <v>27</v>
          </cell>
          <cell r="F76">
            <v>1</v>
          </cell>
        </row>
        <row r="77">
          <cell r="E77">
            <v>1.8819999999999999</v>
          </cell>
          <cell r="F77">
            <v>0</v>
          </cell>
        </row>
        <row r="78">
          <cell r="E78">
            <v>30</v>
          </cell>
          <cell r="F78">
            <v>0</v>
          </cell>
        </row>
        <row r="79">
          <cell r="E79">
            <v>0.5</v>
          </cell>
          <cell r="F79">
            <v>38</v>
          </cell>
        </row>
        <row r="80">
          <cell r="E80">
            <v>0.5</v>
          </cell>
          <cell r="F80">
            <v>35</v>
          </cell>
        </row>
        <row r="81">
          <cell r="E81">
            <v>1</v>
          </cell>
          <cell r="F81">
            <v>0</v>
          </cell>
        </row>
        <row r="82">
          <cell r="E82">
            <v>0</v>
          </cell>
          <cell r="F82">
            <v>154</v>
          </cell>
        </row>
        <row r="83">
          <cell r="E83">
            <v>39</v>
          </cell>
          <cell r="F83">
            <v>90</v>
          </cell>
        </row>
        <row r="84">
          <cell r="E84">
            <v>0</v>
          </cell>
          <cell r="F84">
            <v>50</v>
          </cell>
        </row>
        <row r="85">
          <cell r="E85">
            <v>39</v>
          </cell>
          <cell r="F85">
            <v>255</v>
          </cell>
        </row>
        <row r="86">
          <cell r="E86">
            <v>6.66</v>
          </cell>
          <cell r="F86">
            <v>0</v>
          </cell>
        </row>
        <row r="87">
          <cell r="E87">
            <v>16.616</v>
          </cell>
          <cell r="F87">
            <v>0</v>
          </cell>
        </row>
        <row r="88">
          <cell r="E88">
            <v>0.02</v>
          </cell>
          <cell r="F88">
            <v>0</v>
          </cell>
        </row>
        <row r="89">
          <cell r="E89">
            <v>3.4</v>
          </cell>
          <cell r="F89">
            <v>0</v>
          </cell>
        </row>
        <row r="90">
          <cell r="E90">
            <v>5</v>
          </cell>
          <cell r="F90">
            <v>307</v>
          </cell>
        </row>
        <row r="91">
          <cell r="E91">
            <v>6.5</v>
          </cell>
          <cell r="F91">
            <v>30</v>
          </cell>
        </row>
        <row r="92">
          <cell r="E92">
            <v>3.4</v>
          </cell>
          <cell r="F92">
            <v>155</v>
          </cell>
        </row>
        <row r="93">
          <cell r="E93">
            <v>5</v>
          </cell>
          <cell r="F93">
            <v>194</v>
          </cell>
        </row>
        <row r="94">
          <cell r="E94">
            <v>70</v>
          </cell>
          <cell r="F94">
            <v>0</v>
          </cell>
        </row>
        <row r="95">
          <cell r="E95">
            <v>22.6</v>
          </cell>
          <cell r="F95">
            <v>13</v>
          </cell>
        </row>
        <row r="96">
          <cell r="E96">
            <v>16.25</v>
          </cell>
          <cell r="F96">
            <v>1</v>
          </cell>
        </row>
        <row r="97">
          <cell r="E97">
            <v>22</v>
          </cell>
          <cell r="F97">
            <v>25</v>
          </cell>
        </row>
        <row r="98">
          <cell r="E98">
            <v>5.2</v>
          </cell>
          <cell r="F98">
            <v>8</v>
          </cell>
        </row>
        <row r="99">
          <cell r="E99">
            <v>13</v>
          </cell>
          <cell r="F99">
            <v>2</v>
          </cell>
        </row>
        <row r="100">
          <cell r="E100">
            <v>16.562999999999999</v>
          </cell>
          <cell r="F100">
            <v>26</v>
          </cell>
        </row>
        <row r="101">
          <cell r="E101">
            <v>72</v>
          </cell>
          <cell r="F101">
            <v>9</v>
          </cell>
        </row>
        <row r="102">
          <cell r="E102">
            <v>68</v>
          </cell>
          <cell r="F102">
            <v>0</v>
          </cell>
        </row>
        <row r="103">
          <cell r="E103">
            <v>46.35</v>
          </cell>
          <cell r="F103">
            <v>0</v>
          </cell>
        </row>
        <row r="104">
          <cell r="E104">
            <v>40.31</v>
          </cell>
          <cell r="F104">
            <v>0</v>
          </cell>
        </row>
        <row r="105">
          <cell r="E105">
            <v>54</v>
          </cell>
          <cell r="F105">
            <v>66</v>
          </cell>
        </row>
        <row r="106">
          <cell r="E106">
            <v>73.424000000000007</v>
          </cell>
          <cell r="F106">
            <v>2</v>
          </cell>
        </row>
        <row r="107">
          <cell r="E107">
            <v>83.2</v>
          </cell>
          <cell r="F107">
            <v>6</v>
          </cell>
        </row>
        <row r="108">
          <cell r="E108">
            <v>54</v>
          </cell>
          <cell r="F108">
            <v>72</v>
          </cell>
        </row>
        <row r="109">
          <cell r="E109">
            <v>37</v>
          </cell>
          <cell r="F109">
            <v>12</v>
          </cell>
        </row>
        <row r="110">
          <cell r="E110">
            <v>32.256</v>
          </cell>
          <cell r="F110">
            <v>26</v>
          </cell>
        </row>
        <row r="111">
          <cell r="E111">
            <v>0</v>
          </cell>
          <cell r="F111">
            <v>0</v>
          </cell>
        </row>
        <row r="112">
          <cell r="E112">
            <v>1.2</v>
          </cell>
          <cell r="F112">
            <v>0</v>
          </cell>
        </row>
        <row r="113">
          <cell r="E113">
            <v>0.13</v>
          </cell>
          <cell r="F113">
            <v>75</v>
          </cell>
        </row>
        <row r="114">
          <cell r="E114">
            <v>6.66</v>
          </cell>
          <cell r="F114">
            <v>0</v>
          </cell>
        </row>
        <row r="115">
          <cell r="E115">
            <v>84.9</v>
          </cell>
          <cell r="F115">
            <v>0</v>
          </cell>
        </row>
        <row r="116">
          <cell r="E116">
            <v>35.1</v>
          </cell>
          <cell r="F116">
            <v>30</v>
          </cell>
        </row>
        <row r="117">
          <cell r="E117">
            <v>31.2</v>
          </cell>
          <cell r="F117">
            <v>30</v>
          </cell>
        </row>
        <row r="118">
          <cell r="E118">
            <v>48.84</v>
          </cell>
          <cell r="F118">
            <v>4</v>
          </cell>
        </row>
        <row r="119">
          <cell r="E119">
            <v>52.91</v>
          </cell>
          <cell r="F119">
            <v>101</v>
          </cell>
        </row>
        <row r="120">
          <cell r="E120">
            <v>52</v>
          </cell>
          <cell r="F120">
            <v>0</v>
          </cell>
        </row>
        <row r="121">
          <cell r="E121">
            <v>66</v>
          </cell>
          <cell r="F121">
            <v>0</v>
          </cell>
        </row>
        <row r="122">
          <cell r="E122">
            <v>80</v>
          </cell>
          <cell r="F122">
            <v>0</v>
          </cell>
        </row>
        <row r="123">
          <cell r="E123">
            <v>46.54</v>
          </cell>
          <cell r="F123">
            <v>25</v>
          </cell>
        </row>
        <row r="124">
          <cell r="E124">
            <v>22.2</v>
          </cell>
          <cell r="F124">
            <v>0</v>
          </cell>
        </row>
        <row r="125">
          <cell r="E125">
            <v>24.05</v>
          </cell>
          <cell r="F125">
            <v>12</v>
          </cell>
        </row>
        <row r="126">
          <cell r="E126">
            <v>17</v>
          </cell>
          <cell r="F126">
            <v>0</v>
          </cell>
        </row>
        <row r="127">
          <cell r="E127">
            <v>35.200000000000003</v>
          </cell>
          <cell r="F127">
            <v>0</v>
          </cell>
        </row>
        <row r="128">
          <cell r="E128">
            <v>32.4</v>
          </cell>
          <cell r="F128">
            <v>0</v>
          </cell>
        </row>
        <row r="129">
          <cell r="E129">
            <v>35.1</v>
          </cell>
          <cell r="F129">
            <v>0</v>
          </cell>
        </row>
        <row r="130">
          <cell r="E130">
            <v>27.9</v>
          </cell>
          <cell r="F130">
            <v>0</v>
          </cell>
        </row>
        <row r="131">
          <cell r="E131">
            <v>41.4</v>
          </cell>
          <cell r="F131">
            <v>0</v>
          </cell>
        </row>
        <row r="132">
          <cell r="E132">
            <v>37</v>
          </cell>
          <cell r="F132">
            <v>114</v>
          </cell>
        </row>
        <row r="133">
          <cell r="E133">
            <v>55</v>
          </cell>
          <cell r="F133">
            <v>0</v>
          </cell>
        </row>
        <row r="134">
          <cell r="E134">
            <v>64.5</v>
          </cell>
          <cell r="F134">
            <v>0</v>
          </cell>
        </row>
        <row r="135">
          <cell r="E135">
            <v>45.9</v>
          </cell>
          <cell r="F135">
            <v>133</v>
          </cell>
        </row>
        <row r="136">
          <cell r="E136">
            <v>230</v>
          </cell>
          <cell r="F136">
            <v>7</v>
          </cell>
        </row>
        <row r="137">
          <cell r="E137">
            <v>27</v>
          </cell>
          <cell r="F137">
            <v>56</v>
          </cell>
        </row>
        <row r="138">
          <cell r="E138">
            <v>44</v>
          </cell>
          <cell r="F138">
            <v>0</v>
          </cell>
        </row>
        <row r="139">
          <cell r="E139">
            <v>4</v>
          </cell>
          <cell r="F139">
            <v>65</v>
          </cell>
        </row>
        <row r="140">
          <cell r="E140">
            <v>5</v>
          </cell>
          <cell r="F140">
            <v>32</v>
          </cell>
        </row>
        <row r="141">
          <cell r="E141">
            <v>2.1</v>
          </cell>
          <cell r="F141">
            <v>19</v>
          </cell>
        </row>
        <row r="142">
          <cell r="E142">
            <v>3.2</v>
          </cell>
          <cell r="F142">
            <v>53</v>
          </cell>
        </row>
        <row r="143">
          <cell r="E143">
            <v>57</v>
          </cell>
          <cell r="F143">
            <v>0</v>
          </cell>
        </row>
        <row r="144">
          <cell r="E144">
            <v>66.5</v>
          </cell>
          <cell r="F144">
            <v>0</v>
          </cell>
        </row>
        <row r="145">
          <cell r="E145">
            <v>123.5</v>
          </cell>
          <cell r="F145">
            <v>0</v>
          </cell>
        </row>
        <row r="146">
          <cell r="E146">
            <v>0.6</v>
          </cell>
          <cell r="F146">
            <v>0</v>
          </cell>
        </row>
        <row r="147">
          <cell r="E147">
            <v>51</v>
          </cell>
          <cell r="F147">
            <v>0</v>
          </cell>
        </row>
        <row r="148">
          <cell r="E148">
            <v>53</v>
          </cell>
          <cell r="F148">
            <v>0</v>
          </cell>
        </row>
        <row r="149">
          <cell r="E149">
            <v>6</v>
          </cell>
          <cell r="F149">
            <v>0</v>
          </cell>
        </row>
        <row r="150">
          <cell r="E150">
            <v>17.5</v>
          </cell>
          <cell r="F150">
            <v>65</v>
          </cell>
        </row>
        <row r="151">
          <cell r="E151">
            <v>17.5</v>
          </cell>
          <cell r="F151">
            <v>0</v>
          </cell>
        </row>
        <row r="152">
          <cell r="E152">
            <v>3.25</v>
          </cell>
          <cell r="F152">
            <v>0</v>
          </cell>
        </row>
        <row r="153">
          <cell r="E153">
            <v>2.8</v>
          </cell>
          <cell r="F153">
            <v>0</v>
          </cell>
        </row>
        <row r="154">
          <cell r="E154">
            <v>7.5</v>
          </cell>
          <cell r="F154">
            <v>0</v>
          </cell>
        </row>
        <row r="155">
          <cell r="E155">
            <v>2.4</v>
          </cell>
          <cell r="F155">
            <v>0</v>
          </cell>
        </row>
        <row r="156">
          <cell r="E156">
            <v>3</v>
          </cell>
          <cell r="F156">
            <v>0</v>
          </cell>
        </row>
        <row r="157">
          <cell r="E157">
            <v>14</v>
          </cell>
          <cell r="F157">
            <v>0</v>
          </cell>
        </row>
        <row r="158">
          <cell r="E158">
            <v>23.75</v>
          </cell>
          <cell r="F158">
            <v>0</v>
          </cell>
        </row>
        <row r="159">
          <cell r="E159">
            <v>12.6</v>
          </cell>
          <cell r="F159">
            <v>0</v>
          </cell>
        </row>
        <row r="160">
          <cell r="E160">
            <v>22.5</v>
          </cell>
          <cell r="F160">
            <v>0</v>
          </cell>
        </row>
        <row r="161">
          <cell r="E161">
            <v>19</v>
          </cell>
          <cell r="F161">
            <v>0</v>
          </cell>
        </row>
        <row r="162">
          <cell r="E162">
            <v>4.16</v>
          </cell>
          <cell r="F162">
            <v>0</v>
          </cell>
        </row>
        <row r="163">
          <cell r="E163">
            <v>3.44</v>
          </cell>
          <cell r="F163">
            <v>0</v>
          </cell>
        </row>
        <row r="164">
          <cell r="E164">
            <v>6.2</v>
          </cell>
          <cell r="F164">
            <v>0</v>
          </cell>
        </row>
        <row r="165">
          <cell r="E165">
            <v>20</v>
          </cell>
          <cell r="F165">
            <v>0</v>
          </cell>
        </row>
        <row r="166">
          <cell r="E166">
            <v>38</v>
          </cell>
          <cell r="F166">
            <v>0</v>
          </cell>
        </row>
        <row r="167">
          <cell r="E167">
            <v>9</v>
          </cell>
          <cell r="F167">
            <v>0</v>
          </cell>
        </row>
        <row r="168">
          <cell r="E168">
            <v>14.5</v>
          </cell>
          <cell r="F168">
            <v>0</v>
          </cell>
        </row>
        <row r="169">
          <cell r="E169">
            <v>23</v>
          </cell>
          <cell r="F169">
            <v>0</v>
          </cell>
        </row>
        <row r="170">
          <cell r="E170">
            <v>1.05</v>
          </cell>
          <cell r="F170">
            <v>0</v>
          </cell>
        </row>
        <row r="171">
          <cell r="E171">
            <v>35</v>
          </cell>
          <cell r="F171">
            <v>0</v>
          </cell>
        </row>
        <row r="172">
          <cell r="E172">
            <v>32</v>
          </cell>
          <cell r="F172">
            <v>13</v>
          </cell>
        </row>
        <row r="173">
          <cell r="E173">
            <v>16</v>
          </cell>
          <cell r="F173">
            <v>22</v>
          </cell>
        </row>
        <row r="174">
          <cell r="E174">
            <v>16</v>
          </cell>
          <cell r="F174">
            <v>342</v>
          </cell>
        </row>
        <row r="175">
          <cell r="E175">
            <v>0</v>
          </cell>
          <cell r="F175">
            <v>20</v>
          </cell>
        </row>
        <row r="176">
          <cell r="E176">
            <v>0</v>
          </cell>
          <cell r="F176">
            <v>383</v>
          </cell>
        </row>
        <row r="177">
          <cell r="E177">
            <v>0</v>
          </cell>
          <cell r="F177">
            <v>67.5</v>
          </cell>
        </row>
        <row r="178">
          <cell r="E178">
            <v>43.2</v>
          </cell>
          <cell r="F178">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sheetName val=" Helmet Safety MSA_x0009_"/>
      <sheetName val=" Helmet Safety SM905    "/>
      <sheetName val=" Jersey Barrier Plastic"/>
      <sheetName val=" light Recharge For Cone"/>
      <sheetName val=" Medical Gloves "/>
      <sheetName val=" Safety lenses Elvex SG-37C"/>
      <sheetName val="Amoxillin 500mg"/>
      <sheetName val="Anaerobex 500mg"/>
      <sheetName val="Apron Welding "/>
      <sheetName val="Arc Flash Coverall suit with he"/>
      <sheetName val="Azitro 500mg "/>
      <sheetName val="Big Sticker Alucoband FNC "/>
      <sheetName val="Black Safety lenses"/>
      <sheetName val="Black+Yellow Glue Sticker_x0009_"/>
      <sheetName val="Blue Gloves worker"/>
      <sheetName val="Caution Tape Electrical Orange"/>
      <sheetName val="Caution Tape Electrical RED"/>
      <sheetName val="Caution Tape Wster Blue"/>
      <sheetName val="Caution Tape Electrical Yellow"/>
      <sheetName val="Circular Helmet Safety MSA"/>
      <sheetName val="Device For Check O2 Heart Beat_x0009_"/>
      <sheetName val="Disposable Nylon Blue Shoes Cov"/>
      <sheetName val="Disposable Procedural Face Mask"/>
      <sheetName val="Eagle Sticker 80cm Circular"/>
      <sheetName val="Ear Muff With Extra Thick"/>
      <sheetName val="Emergency Stretcher_x0009__x0009__x0009_"/>
      <sheetName val="EYE WASH_x0009__x0009__x0009_"/>
      <sheetName val="Face Mask With filter Painter_x0009__x0009_"/>
      <sheetName val="Face Msck N95"/>
      <sheetName val="Face Shild_x0009_"/>
      <sheetName val="Face Shild Grinder With Base "/>
      <sheetName val="Fill Fire Extinguisher "/>
      <sheetName val="Filter Face Mask Painter"/>
      <sheetName val="Fire Blanket 1.2 1.8mt"/>
      <sheetName val="Fire Extinguisher 1k HBR"/>
      <sheetName val="Fire Extinguisher 1k With Hose"/>
      <sheetName val="Fire Extinguisher 25k "/>
      <sheetName val="Fire Extinguisher 3lt Wet Chemi"/>
      <sheetName val="Fire Extinguisher 6 kilo  HBR"/>
      <sheetName val="Fire Extinguisher 6k Global"/>
      <sheetName val="Fire Extinguisher 6 kilo SFFECO"/>
      <sheetName val="Fire Extinguisher Co2 5k SFFECO"/>
      <sheetName val="Fire Extinguisher Co2 6k HBR"/>
      <sheetName val="Fire Extinguisher Foam 25k HBR"/>
      <sheetName val="first aid box_x0009__x0009__x0009_"/>
      <sheetName val="Glass Grinder Safety Clear Plas"/>
      <sheetName val="Gloves Defender Medium_x0009__x0009_"/>
      <sheetName val="Gloves Nylon_x0009_"/>
      <sheetName val="Gloves thermal_x0009_"/>
      <sheetName val="Gloves Worker Dewalt DP670"/>
      <sheetName val="Glue Sticker FNC "/>
      <sheetName val="Green Gloves Worker"/>
      <sheetName val="Gumboots_x0009_"/>
      <sheetName val="Hand Operated Siren_x0009__x0009_"/>
      <sheetName val="Handle Safety Face Welding_x0009_"/>
      <sheetName val="Hzithro-Penk 500mg"/>
      <sheetName val="Industrial Safety Jacket"/>
      <sheetName val="Kitchen Apron"/>
      <sheetName val="Knee Pads "/>
      <sheetName val="Laser Temperature Gauge"/>
      <sheetName val="Lift point Sticker_x0009_"/>
      <sheetName val="Medical Bandage 10cm"/>
      <sheetName val="Medical Bandage 7.5cm"/>
      <sheetName val="Medical Gauze 10 10cm"/>
      <sheetName val="Medical Gloves Black"/>
      <sheetName val="Medical Tape Octamed 10cm"/>
      <sheetName val="Oxemas 500mg"/>
      <sheetName val="Paracetamol"/>
      <sheetName val="Plastic Chain Safety 6mm 25mt "/>
      <sheetName val="Plastic Mesh Orange"/>
      <sheetName val="Plastic Rebar Safety Cap "/>
      <sheetName val="Rain Suit AAA_x0009_"/>
      <sheetName val="Rain Suit AAA Two Piece_x0009_"/>
      <sheetName val="Rivotril 0.5mg "/>
      <sheetName val="Rope Tough Guyline GT"/>
      <sheetName val="Rubber Gloves Worker _x0009_"/>
      <sheetName val="Safety Cone With Light_x0009__x0009_"/>
      <sheetName val="Safety Ear plug_x0009_"/>
      <sheetName val="Safety Jacket"/>
      <sheetName val="safety jacket Different sizes_x0009_"/>
      <sheetName val="Safety lenses"/>
      <sheetName val="Safety Reel 4mm 15 m"/>
      <sheetName val="Safety Shoes_x0009_"/>
      <sheetName val="Safety Shoes BA_x0009_"/>
      <sheetName val="Safety Shoes Wurth_x0009_"/>
      <sheetName val="Safety Suit Empiral "/>
      <sheetName val="Safety Suit Storm"/>
      <sheetName val="Sand Knit &amp;Wear EyeProtection"/>
      <sheetName val="Sefety Cone_x0009_"/>
      <sheetName val="SEKO -65.Gallons"/>
      <sheetName val="Slow Moving Vehicle Sticker_x0009_"/>
      <sheetName val="Small Sticker Alucabond FNC"/>
      <sheetName val="Sticker 6 8cm PDI_x0009__x0009_"/>
      <sheetName val="Sticker Alucoband FNC 2020"/>
      <sheetName val="Sticker Alucoband FNC 2021"/>
      <sheetName val="Sticker Alucoband FNC 2022"/>
      <sheetName val="Sticker Extinguisher"/>
      <sheetName val=" Push bar Sticker _x0009_"/>
      <sheetName val="Sticker High Voltage Big"/>
      <sheetName val="Sticker High Voltage Small"/>
      <sheetName val="Sticker Alucabond"/>
      <sheetName val="Tapered shoes floor"/>
      <sheetName val="Vitamin D3"/>
      <sheetName val="Vitamine C"/>
      <sheetName val="Vitamine Zer 50mg"/>
      <sheetName val="Warning Tape Red + white"/>
      <sheetName val="Water Glue Sticker"/>
      <sheetName val="Welding Black  Glass"/>
      <sheetName val="Welding Gloves"/>
      <sheetName val="Welding Suit"/>
      <sheetName val="Welding Transparent Glass"/>
      <sheetName val="White Insulation Suit "/>
      <sheetName val="Yellow Glue Sticker_x0009_"/>
      <sheetName val="waterproof  jacket (safety with"/>
      <sheetName val="fnc log printing"/>
      <sheetName val="ID CARD "/>
      <sheetName val="Plastic Hand Ball "/>
      <sheetName val="Fire Extinguisher 30 Gallone TR"/>
      <sheetName val="Black shoes "/>
      <sheetName val="Sticker Alucoband FNC 2023"/>
      <sheetName val="oximeter"/>
      <sheetName val="Cleaner Uniform"/>
      <sheetName val="Exit Sticker"/>
      <sheetName val="AXE for glass "/>
      <sheetName val="Flags kurdistan GK"/>
      <sheetName val="Povidone 1000ml_x0009_"/>
      <sheetName val="N.S 500ml_x0009_"/>
      <sheetName val="Iv Set_x0009_"/>
      <sheetName val="Fire Extinguisher 1k With H (2)"/>
      <sheetName val="Sticker Alucoband FNC 2024"/>
      <sheetName val="Fire Hose 25mt 2.5&quot;"/>
      <sheetName val="Fire Hose 25mt 2.5&quot; (2)"/>
    </sheetNames>
    <sheetDataSet>
      <sheetData sheetId="0"/>
      <sheetData sheetId="1">
        <row r="42">
          <cell r="E42">
            <v>5</v>
          </cell>
          <cell r="I42">
            <v>9</v>
          </cell>
        </row>
      </sheetData>
      <sheetData sheetId="2">
        <row r="31">
          <cell r="E31">
            <v>5</v>
          </cell>
          <cell r="I31">
            <v>0</v>
          </cell>
        </row>
      </sheetData>
      <sheetData sheetId="3">
        <row r="31">
          <cell r="E31">
            <v>55</v>
          </cell>
          <cell r="I31">
            <v>0</v>
          </cell>
        </row>
      </sheetData>
      <sheetData sheetId="4">
        <row r="31">
          <cell r="E31">
            <v>18</v>
          </cell>
          <cell r="I31">
            <v>0</v>
          </cell>
        </row>
      </sheetData>
      <sheetData sheetId="5">
        <row r="31">
          <cell r="E31">
            <v>5</v>
          </cell>
          <cell r="I31">
            <v>0</v>
          </cell>
        </row>
      </sheetData>
      <sheetData sheetId="6">
        <row r="31">
          <cell r="E31">
            <v>10</v>
          </cell>
          <cell r="I31">
            <v>0</v>
          </cell>
        </row>
      </sheetData>
      <sheetData sheetId="7">
        <row r="57">
          <cell r="E57">
            <v>2.41</v>
          </cell>
          <cell r="I57">
            <v>0</v>
          </cell>
        </row>
      </sheetData>
      <sheetData sheetId="8">
        <row r="57">
          <cell r="E57">
            <v>4.13</v>
          </cell>
          <cell r="I57">
            <v>0</v>
          </cell>
        </row>
      </sheetData>
      <sheetData sheetId="9">
        <row r="31">
          <cell r="E31">
            <v>11</v>
          </cell>
          <cell r="I31">
            <v>3</v>
          </cell>
        </row>
      </sheetData>
      <sheetData sheetId="10"/>
      <sheetData sheetId="11">
        <row r="31">
          <cell r="E31">
            <v>2.5</v>
          </cell>
          <cell r="I31">
            <v>0</v>
          </cell>
        </row>
      </sheetData>
      <sheetData sheetId="12">
        <row r="31">
          <cell r="E31">
            <v>22.5</v>
          </cell>
          <cell r="I31">
            <v>12</v>
          </cell>
        </row>
      </sheetData>
      <sheetData sheetId="13">
        <row r="42">
          <cell r="E42">
            <v>2.5</v>
          </cell>
          <cell r="I42">
            <v>65</v>
          </cell>
        </row>
      </sheetData>
      <sheetData sheetId="14">
        <row r="116">
          <cell r="E116">
            <v>2.5</v>
          </cell>
          <cell r="I116">
            <v>12</v>
          </cell>
        </row>
      </sheetData>
      <sheetData sheetId="15">
        <row r="124">
          <cell r="E124">
            <v>0.41660000000000003</v>
          </cell>
          <cell r="I124">
            <v>384</v>
          </cell>
        </row>
      </sheetData>
      <sheetData sheetId="16">
        <row r="32">
          <cell r="E32">
            <v>24</v>
          </cell>
          <cell r="I32">
            <v>0</v>
          </cell>
        </row>
      </sheetData>
      <sheetData sheetId="17">
        <row r="32">
          <cell r="E32">
            <v>20</v>
          </cell>
          <cell r="I32">
            <v>0</v>
          </cell>
        </row>
      </sheetData>
      <sheetData sheetId="18">
        <row r="32">
          <cell r="E32">
            <v>10</v>
          </cell>
          <cell r="I32">
            <v>8</v>
          </cell>
        </row>
      </sheetData>
      <sheetData sheetId="19">
        <row r="42">
          <cell r="E42">
            <v>10</v>
          </cell>
          <cell r="I42">
            <v>9</v>
          </cell>
        </row>
      </sheetData>
      <sheetData sheetId="20">
        <row r="42">
          <cell r="E42">
            <v>12</v>
          </cell>
          <cell r="I42">
            <v>0</v>
          </cell>
        </row>
      </sheetData>
      <sheetData sheetId="21">
        <row r="31">
          <cell r="E31">
            <v>10</v>
          </cell>
          <cell r="I31">
            <v>0</v>
          </cell>
        </row>
      </sheetData>
      <sheetData sheetId="22">
        <row r="31">
          <cell r="E31">
            <v>8.3299999999999999E-2</v>
          </cell>
          <cell r="I31">
            <v>0</v>
          </cell>
        </row>
      </sheetData>
      <sheetData sheetId="23">
        <row r="95">
          <cell r="E95">
            <v>1.1499999999999999</v>
          </cell>
          <cell r="I95">
            <v>5</v>
          </cell>
        </row>
      </sheetData>
      <sheetData sheetId="24">
        <row r="31">
          <cell r="E31">
            <v>20</v>
          </cell>
          <cell r="I31">
            <v>0</v>
          </cell>
        </row>
      </sheetData>
      <sheetData sheetId="25">
        <row r="31">
          <cell r="E31">
            <v>8</v>
          </cell>
          <cell r="I31">
            <v>2</v>
          </cell>
        </row>
      </sheetData>
      <sheetData sheetId="26"/>
      <sheetData sheetId="27">
        <row r="31">
          <cell r="E31">
            <v>550</v>
          </cell>
          <cell r="I31">
            <v>0</v>
          </cell>
        </row>
      </sheetData>
      <sheetData sheetId="28">
        <row r="31">
          <cell r="E31">
            <v>23</v>
          </cell>
          <cell r="I31">
            <v>0</v>
          </cell>
        </row>
      </sheetData>
      <sheetData sheetId="29">
        <row r="26">
          <cell r="E26">
            <v>4</v>
          </cell>
          <cell r="I26">
            <v>11</v>
          </cell>
        </row>
      </sheetData>
      <sheetData sheetId="30">
        <row r="31">
          <cell r="E31">
            <v>1.0269999999999999</v>
          </cell>
          <cell r="I31">
            <v>0</v>
          </cell>
        </row>
      </sheetData>
      <sheetData sheetId="31">
        <row r="88">
          <cell r="E88"/>
          <cell r="I88">
            <v>7</v>
          </cell>
        </row>
      </sheetData>
      <sheetData sheetId="32">
        <row r="90">
          <cell r="E90"/>
          <cell r="I90">
            <v>0</v>
          </cell>
        </row>
      </sheetData>
      <sheetData sheetId="33">
        <row r="31">
          <cell r="E31">
            <v>9</v>
          </cell>
          <cell r="I31">
            <v>0</v>
          </cell>
        </row>
      </sheetData>
      <sheetData sheetId="34">
        <row r="26">
          <cell r="E26">
            <v>25</v>
          </cell>
          <cell r="I26">
            <v>0</v>
          </cell>
        </row>
      </sheetData>
      <sheetData sheetId="35">
        <row r="26">
          <cell r="E26">
            <v>8.5</v>
          </cell>
          <cell r="I26">
            <v>0</v>
          </cell>
        </row>
      </sheetData>
      <sheetData sheetId="36">
        <row r="26">
          <cell r="E26">
            <v>30</v>
          </cell>
          <cell r="I26">
            <v>0</v>
          </cell>
        </row>
      </sheetData>
      <sheetData sheetId="37">
        <row r="26">
          <cell r="E26">
            <v>0</v>
          </cell>
          <cell r="I26">
            <v>0</v>
          </cell>
        </row>
      </sheetData>
      <sheetData sheetId="38">
        <row r="26">
          <cell r="E26">
            <v>75</v>
          </cell>
          <cell r="I26">
            <v>0</v>
          </cell>
        </row>
      </sheetData>
      <sheetData sheetId="39">
        <row r="109">
          <cell r="E109">
            <v>33</v>
          </cell>
          <cell r="I109">
            <v>0</v>
          </cell>
        </row>
      </sheetData>
      <sheetData sheetId="40"/>
      <sheetData sheetId="41">
        <row r="40">
          <cell r="E40">
            <v>35</v>
          </cell>
          <cell r="I40">
            <v>0</v>
          </cell>
        </row>
      </sheetData>
      <sheetData sheetId="42">
        <row r="26">
          <cell r="E26">
            <v>90</v>
          </cell>
          <cell r="I26">
            <v>0</v>
          </cell>
        </row>
      </sheetData>
      <sheetData sheetId="43">
        <row r="26">
          <cell r="E26">
            <v>60</v>
          </cell>
          <cell r="I26">
            <v>0</v>
          </cell>
        </row>
      </sheetData>
      <sheetData sheetId="44">
        <row r="26">
          <cell r="E26">
            <v>125</v>
          </cell>
          <cell r="I26">
            <v>0</v>
          </cell>
        </row>
      </sheetData>
      <sheetData sheetId="45">
        <row r="42">
          <cell r="E42">
            <v>18</v>
          </cell>
          <cell r="I42">
            <v>0</v>
          </cell>
        </row>
      </sheetData>
      <sheetData sheetId="46">
        <row r="39">
          <cell r="E39">
            <v>2.5</v>
          </cell>
          <cell r="I39">
            <v>0</v>
          </cell>
        </row>
      </sheetData>
      <sheetData sheetId="47">
        <row r="93">
          <cell r="E93">
            <v>2.5</v>
          </cell>
          <cell r="I93">
            <v>20</v>
          </cell>
        </row>
      </sheetData>
      <sheetData sheetId="48">
        <row r="31">
          <cell r="E31">
            <v>0.3</v>
          </cell>
          <cell r="I31">
            <v>0</v>
          </cell>
        </row>
      </sheetData>
      <sheetData sheetId="49">
        <row r="31">
          <cell r="E31">
            <v>5</v>
          </cell>
          <cell r="I31">
            <v>0</v>
          </cell>
        </row>
      </sheetData>
      <sheetData sheetId="50">
        <row r="31">
          <cell r="E31">
            <v>6.25</v>
          </cell>
          <cell r="I31">
            <v>0</v>
          </cell>
        </row>
      </sheetData>
      <sheetData sheetId="51">
        <row r="57">
          <cell r="E57">
            <v>1</v>
          </cell>
          <cell r="I57">
            <v>133</v>
          </cell>
        </row>
      </sheetData>
      <sheetData sheetId="52">
        <row r="429">
          <cell r="E429"/>
          <cell r="I429">
            <v>466</v>
          </cell>
        </row>
      </sheetData>
      <sheetData sheetId="53">
        <row r="31">
          <cell r="E31">
            <v>16</v>
          </cell>
          <cell r="I31">
            <v>2</v>
          </cell>
        </row>
      </sheetData>
      <sheetData sheetId="54">
        <row r="31">
          <cell r="E31">
            <v>200</v>
          </cell>
          <cell r="I31">
            <v>0</v>
          </cell>
        </row>
      </sheetData>
      <sheetData sheetId="55">
        <row r="40">
          <cell r="E40">
            <v>3</v>
          </cell>
          <cell r="I40">
            <v>3</v>
          </cell>
        </row>
      </sheetData>
      <sheetData sheetId="56">
        <row r="31">
          <cell r="E31">
            <v>7.0833000000000004</v>
          </cell>
          <cell r="I31">
            <v>0</v>
          </cell>
        </row>
      </sheetData>
      <sheetData sheetId="57">
        <row r="80">
          <cell r="E80"/>
          <cell r="I80">
            <v>38</v>
          </cell>
        </row>
      </sheetData>
      <sheetData sheetId="58">
        <row r="26">
          <cell r="E26">
            <v>8</v>
          </cell>
          <cell r="I26">
            <v>0</v>
          </cell>
        </row>
      </sheetData>
      <sheetData sheetId="59">
        <row r="26">
          <cell r="E26">
            <v>10</v>
          </cell>
          <cell r="I26">
            <v>0</v>
          </cell>
        </row>
      </sheetData>
      <sheetData sheetId="60">
        <row r="31">
          <cell r="E31">
            <v>35</v>
          </cell>
          <cell r="I31">
            <v>0</v>
          </cell>
        </row>
      </sheetData>
      <sheetData sheetId="61">
        <row r="69">
          <cell r="E69">
            <v>1</v>
          </cell>
          <cell r="I69">
            <v>2</v>
          </cell>
        </row>
      </sheetData>
      <sheetData sheetId="62">
        <row r="57">
          <cell r="E57">
            <v>0.33700000000000002</v>
          </cell>
          <cell r="I57">
            <v>24</v>
          </cell>
        </row>
      </sheetData>
      <sheetData sheetId="63">
        <row r="57">
          <cell r="E57">
            <v>0.34</v>
          </cell>
          <cell r="I57">
            <v>12</v>
          </cell>
        </row>
      </sheetData>
      <sheetData sheetId="64">
        <row r="57">
          <cell r="E57">
            <v>1.36</v>
          </cell>
          <cell r="I57">
            <v>0</v>
          </cell>
        </row>
      </sheetData>
      <sheetData sheetId="65">
        <row r="31">
          <cell r="E31">
            <v>12.5</v>
          </cell>
          <cell r="I31">
            <v>0</v>
          </cell>
        </row>
      </sheetData>
      <sheetData sheetId="66">
        <row r="57">
          <cell r="E57">
            <v>3.38</v>
          </cell>
          <cell r="I57">
            <v>0</v>
          </cell>
        </row>
      </sheetData>
      <sheetData sheetId="67">
        <row r="31">
          <cell r="E31">
            <v>8.9499999999999993</v>
          </cell>
          <cell r="I31">
            <v>0</v>
          </cell>
        </row>
      </sheetData>
      <sheetData sheetId="68">
        <row r="31">
          <cell r="E31">
            <v>0.33700000000000002</v>
          </cell>
          <cell r="I31">
            <v>0</v>
          </cell>
        </row>
      </sheetData>
      <sheetData sheetId="69">
        <row r="31">
          <cell r="E31">
            <v>12</v>
          </cell>
          <cell r="I31">
            <v>7</v>
          </cell>
        </row>
      </sheetData>
      <sheetData sheetId="70">
        <row r="26">
          <cell r="E26">
            <v>16</v>
          </cell>
          <cell r="I26">
            <v>6</v>
          </cell>
        </row>
      </sheetData>
      <sheetData sheetId="71">
        <row r="4">
          <cell r="L4" t="str">
            <v xml:space="preserve">قبغ بلاستيك برتقالي لشيش تسليح </v>
          </cell>
        </row>
        <row r="31">
          <cell r="E31">
            <v>0.18</v>
          </cell>
          <cell r="I31">
            <v>1734</v>
          </cell>
        </row>
      </sheetData>
      <sheetData sheetId="72">
        <row r="40">
          <cell r="E40">
            <v>6</v>
          </cell>
          <cell r="I40">
            <v>39</v>
          </cell>
        </row>
      </sheetData>
      <sheetData sheetId="73">
        <row r="40">
          <cell r="E40">
            <v>11</v>
          </cell>
          <cell r="I40">
            <v>0</v>
          </cell>
        </row>
      </sheetData>
      <sheetData sheetId="74">
        <row r="31">
          <cell r="E31">
            <v>17.91</v>
          </cell>
          <cell r="I31">
            <v>0</v>
          </cell>
        </row>
      </sheetData>
      <sheetData sheetId="75">
        <row r="31">
          <cell r="E31">
            <v>55</v>
          </cell>
          <cell r="I31">
            <v>0</v>
          </cell>
        </row>
      </sheetData>
      <sheetData sheetId="76">
        <row r="249">
          <cell r="E249"/>
          <cell r="I249">
            <v>73</v>
          </cell>
        </row>
      </sheetData>
      <sheetData sheetId="77">
        <row r="31">
          <cell r="E31">
            <v>33</v>
          </cell>
          <cell r="I31">
            <v>0</v>
          </cell>
        </row>
      </sheetData>
      <sheetData sheetId="78">
        <row r="45">
          <cell r="E45">
            <v>0.35</v>
          </cell>
          <cell r="I45">
            <v>397</v>
          </cell>
        </row>
      </sheetData>
      <sheetData sheetId="79">
        <row r="4">
          <cell r="L4" t="str">
            <v xml:space="preserve">يلك سيفتي صيني  </v>
          </cell>
        </row>
        <row r="46">
          <cell r="E46">
            <v>1.5</v>
          </cell>
          <cell r="I46">
            <v>0</v>
          </cell>
        </row>
      </sheetData>
      <sheetData sheetId="80">
        <row r="31">
          <cell r="E31">
            <v>25</v>
          </cell>
          <cell r="I31">
            <v>0</v>
          </cell>
        </row>
      </sheetData>
      <sheetData sheetId="81">
        <row r="68">
          <cell r="E68">
            <v>2.5</v>
          </cell>
          <cell r="I68">
            <v>88</v>
          </cell>
        </row>
      </sheetData>
      <sheetData sheetId="82">
        <row r="24">
          <cell r="E24">
            <v>365</v>
          </cell>
          <cell r="I24">
            <v>0</v>
          </cell>
        </row>
      </sheetData>
      <sheetData sheetId="83">
        <row r="145">
          <cell r="E145">
            <v>18</v>
          </cell>
          <cell r="I145">
            <v>0</v>
          </cell>
        </row>
      </sheetData>
      <sheetData sheetId="84">
        <row r="38">
          <cell r="E38">
            <v>18</v>
          </cell>
          <cell r="I38">
            <v>0</v>
          </cell>
        </row>
      </sheetData>
      <sheetData sheetId="85">
        <row r="97">
          <cell r="E97"/>
          <cell r="I97">
            <v>0</v>
          </cell>
        </row>
      </sheetData>
      <sheetData sheetId="86">
        <row r="88">
          <cell r="E88"/>
          <cell r="I88">
            <v>0</v>
          </cell>
        </row>
      </sheetData>
      <sheetData sheetId="87">
        <row r="51">
          <cell r="E51">
            <v>20</v>
          </cell>
          <cell r="I51">
            <v>0</v>
          </cell>
        </row>
      </sheetData>
      <sheetData sheetId="88">
        <row r="31">
          <cell r="E31">
            <v>0</v>
          </cell>
          <cell r="I31">
            <v>0</v>
          </cell>
        </row>
      </sheetData>
      <sheetData sheetId="89">
        <row r="33">
          <cell r="E33">
            <v>7</v>
          </cell>
          <cell r="I33">
            <v>9</v>
          </cell>
        </row>
      </sheetData>
      <sheetData sheetId="90">
        <row r="31">
          <cell r="E31">
            <v>450</v>
          </cell>
          <cell r="I31">
            <v>0</v>
          </cell>
        </row>
      </sheetData>
      <sheetData sheetId="91">
        <row r="94">
          <cell r="E94">
            <v>3.25</v>
          </cell>
          <cell r="I94">
            <v>0</v>
          </cell>
        </row>
      </sheetData>
      <sheetData sheetId="92">
        <row r="62">
          <cell r="E62">
            <v>3</v>
          </cell>
          <cell r="I62">
            <v>0</v>
          </cell>
        </row>
      </sheetData>
      <sheetData sheetId="93">
        <row r="31">
          <cell r="E31">
            <v>0.15</v>
          </cell>
          <cell r="I31">
            <v>0</v>
          </cell>
        </row>
      </sheetData>
      <sheetData sheetId="94">
        <row r="57">
          <cell r="E57">
            <v>11</v>
          </cell>
          <cell r="I57">
            <v>20</v>
          </cell>
        </row>
      </sheetData>
      <sheetData sheetId="95">
        <row r="57">
          <cell r="E57">
            <v>9</v>
          </cell>
          <cell r="I57">
            <v>9</v>
          </cell>
        </row>
      </sheetData>
      <sheetData sheetId="96">
        <row r="54">
          <cell r="E54">
            <v>9</v>
          </cell>
          <cell r="I54">
            <v>0</v>
          </cell>
        </row>
      </sheetData>
      <sheetData sheetId="97">
        <row r="52">
          <cell r="E52">
            <v>1</v>
          </cell>
          <cell r="I52">
            <v>443</v>
          </cell>
        </row>
      </sheetData>
      <sheetData sheetId="98">
        <row r="30">
          <cell r="E30">
            <v>1.6</v>
          </cell>
          <cell r="I30">
            <v>161</v>
          </cell>
        </row>
      </sheetData>
      <sheetData sheetId="99">
        <row r="68">
          <cell r="E68">
            <v>2</v>
          </cell>
          <cell r="I68">
            <v>240</v>
          </cell>
        </row>
      </sheetData>
      <sheetData sheetId="100">
        <row r="61">
          <cell r="E61">
            <v>1.6</v>
          </cell>
          <cell r="I61">
            <v>32</v>
          </cell>
        </row>
      </sheetData>
      <sheetData sheetId="101">
        <row r="49">
          <cell r="E49"/>
          <cell r="I49">
            <v>0</v>
          </cell>
        </row>
      </sheetData>
      <sheetData sheetId="102"/>
      <sheetData sheetId="103">
        <row r="31">
          <cell r="E31">
            <v>8.33</v>
          </cell>
          <cell r="I31">
            <v>0</v>
          </cell>
        </row>
      </sheetData>
      <sheetData sheetId="104">
        <row r="31">
          <cell r="E31">
            <v>5.8330000000000002</v>
          </cell>
          <cell r="I31">
            <v>0</v>
          </cell>
        </row>
      </sheetData>
      <sheetData sheetId="105">
        <row r="35">
          <cell r="E35">
            <v>8.33</v>
          </cell>
          <cell r="I35">
            <v>0</v>
          </cell>
        </row>
      </sheetData>
      <sheetData sheetId="106">
        <row r="126">
          <cell r="E126">
            <v>3</v>
          </cell>
          <cell r="I126">
            <v>39</v>
          </cell>
        </row>
      </sheetData>
      <sheetData sheetId="107">
        <row r="57">
          <cell r="E57">
            <v>1</v>
          </cell>
          <cell r="I57">
            <v>567</v>
          </cell>
        </row>
      </sheetData>
      <sheetData sheetId="108">
        <row r="146">
          <cell r="E146"/>
          <cell r="I146">
            <v>49</v>
          </cell>
        </row>
      </sheetData>
      <sheetData sheetId="109">
        <row r="76">
          <cell r="E76">
            <v>3.5</v>
          </cell>
          <cell r="I76">
            <v>5</v>
          </cell>
        </row>
      </sheetData>
      <sheetData sheetId="110">
        <row r="31">
          <cell r="E31">
            <v>35</v>
          </cell>
          <cell r="I31">
            <v>0</v>
          </cell>
        </row>
      </sheetData>
      <sheetData sheetId="111">
        <row r="77">
          <cell r="E77">
            <v>0.3</v>
          </cell>
          <cell r="I77">
            <v>48</v>
          </cell>
        </row>
      </sheetData>
      <sheetData sheetId="112">
        <row r="170">
          <cell r="E170">
            <v>2</v>
          </cell>
          <cell r="I170">
            <v>1</v>
          </cell>
        </row>
      </sheetData>
      <sheetData sheetId="113">
        <row r="107">
          <cell r="E107"/>
          <cell r="I107"/>
        </row>
      </sheetData>
      <sheetData sheetId="114">
        <row r="41">
          <cell r="E41">
            <v>25</v>
          </cell>
          <cell r="I41">
            <v>10</v>
          </cell>
        </row>
      </sheetData>
      <sheetData sheetId="115"/>
      <sheetData sheetId="116"/>
      <sheetData sheetId="117"/>
      <sheetData sheetId="118"/>
      <sheetData sheetId="119"/>
      <sheetData sheetId="120">
        <row r="56">
          <cell r="E56">
            <v>9</v>
          </cell>
          <cell r="I56">
            <v>4</v>
          </cell>
        </row>
      </sheetData>
      <sheetData sheetId="121"/>
      <sheetData sheetId="122"/>
      <sheetData sheetId="123">
        <row r="30">
          <cell r="E30">
            <v>1</v>
          </cell>
          <cell r="I30">
            <v>209</v>
          </cell>
        </row>
      </sheetData>
      <sheetData sheetId="124"/>
      <sheetData sheetId="125"/>
      <sheetData sheetId="126"/>
      <sheetData sheetId="127"/>
      <sheetData sheetId="128"/>
      <sheetData sheetId="129"/>
      <sheetData sheetId="130"/>
      <sheetData sheetId="131"/>
      <sheetData sheetId="13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sheetName val="Artificial grass "/>
      <sheetName val="A3 Paper Xerox"/>
      <sheetName val="A4 Paper Xerox"/>
      <sheetName val="A4 Paper"/>
      <sheetName val="AA Battery_x0009_"/>
      <sheetName val="Adhesive &amp; Grease Remover Goo G"/>
      <sheetName val="Agricultural Sulfur_x0009_"/>
      <sheetName val="Aggregate"/>
      <sheetName val="air filter device"/>
      <sheetName val="All In 1HDD Docking USB"/>
      <sheetName val="Anti Slip Bathroom Plastic"/>
      <sheetName val="Bag "/>
      <sheetName val="Barbed Wires"/>
      <sheetName val="base plate "/>
      <sheetName val="Battery 18v For Recharge Drill "/>
      <sheetName val="Battery 2032 Circular"/>
      <sheetName val="Battery For GPS Device GEB 212 "/>
      <sheetName val="Battery UPS  12V 9AH"/>
      <sheetName val="Big Scaffold_x0009_"/>
      <sheetName val="blackboard pen"/>
      <sheetName val="Blackboard Rubber"/>
      <sheetName val="Blades Flex 100B10  Feeler Gaug"/>
      <sheetName val="Blue Cover 3 3mt"/>
      <sheetName val="Blue Cover 4mt"/>
      <sheetName val="Blue Cover 6mt"/>
      <sheetName val="Blue Powder Toilet"/>
      <sheetName val="Blue Water Toilet"/>
      <sheetName val="Blue Trash Cans 660Lt "/>
      <sheetName val="Bottle Gas Cooking"/>
      <sheetName val="Bottle Plastic For Milk Dog"/>
      <sheetName val="Bricks cement"/>
      <sheetName val="Black Cemente Concrete"/>
      <sheetName val="Box File Angle"/>
      <sheetName val="Box Plastic File _x0009_"/>
      <sheetName val="Bule Trash Cans 100Lt Dami Plas"/>
      <sheetName val="Bule Trash Cans 120Lt Dami Plas"/>
      <sheetName val="C9500-16X-E"/>
      <sheetName val="Cable Label 30 17mm"/>
      <sheetName val="Cable Management Duct 491RU-HFO"/>
      <sheetName val="Cable Seal SF-C101 250mm"/>
      <sheetName val="Cable USB Extender 3mt"/>
      <sheetName val="Cable USB Extender 5mt"/>
      <sheetName val="Cable VGA 1.5m High Quality"/>
      <sheetName val="Cable VGA 5mt High Quality"/>
      <sheetName val="Calculator"/>
      <sheetName val="Cartidge Holder HIT-CR 500 Hilt"/>
      <sheetName val="Cat 6 UTP Patch Cord Leviton 62"/>
      <sheetName val="Chain 1mt"/>
      <sheetName val="Chart Data Book A4"/>
      <sheetName val="Check Water "/>
      <sheetName val="Cipher Lock (Lock Simplex 900)"/>
      <sheetName val="CISCO Switch WS-C2960L-24PQ LL"/>
      <sheetName val="CISCO Switch WS-C9130AXI-E"/>
      <sheetName val="Clear Nylon Dividers A4_x0009_"/>
      <sheetName val="Clear Nylon Fabric_x0009_"/>
      <sheetName val="Clear Nylon Fabric 0.8mm 2mt"/>
      <sheetName val="Clear Nylon Fabric 2mt"/>
      <sheetName val="Cleing Speaker PA-ASWAR-5&quot;"/>
      <sheetName val="Clip Board "/>
      <sheetName val="Clip Stapler IDEA 24 6"/>
      <sheetName val="Colored Marking Pen_x0009__x0009_"/>
      <sheetName val="Colored Note Paper_x0009__x0009_"/>
      <sheetName val="Concrete  Spacer  5cm"/>
      <sheetName val="Concrete  Spacer  7cm"/>
      <sheetName val="Concrete Sample Cubes Plastic"/>
      <sheetName val="Cool Box"/>
      <sheetName val="Cover Gas Bottle "/>
      <sheetName val="Cross Plastic For Ceramic"/>
      <sheetName val="Curtain Zebra 1.2mt 1.5high"/>
      <sheetName val="Curtain Zebra 1mt 1high"/>
      <sheetName val="Deadbolt Lock Door"/>
      <sheetName val="Delivery Note"/>
      <sheetName val="Digital Balance Constant"/>
      <sheetName val="Digital Scale Hanging 10Ton HG-"/>
      <sheetName val="Dispenser HDM 500 Box Hilti"/>
      <sheetName val="Truper 5 -pc air accessory gun "/>
      <sheetName val="Truper air blow gun with 5 Inte"/>
      <sheetName val="Double Pen"/>
      <sheetName val="Drum Gartridge Printer 7835"/>
      <sheetName val="Drum Printer SC2020"/>
      <sheetName val="Dryer Vent Hood WHT"/>
      <sheetName val="Dryer Vent Kit 4&quot; WH"/>
      <sheetName val="DS-1280ZJ-XS Junction Box"/>
      <sheetName val="DS-2CD2083G0-I 4mm 8mp Hikvisio"/>
      <sheetName val="DS-7716NI-K4 16P Embedded Plug "/>
      <sheetName val="Duct Flex Aluminum 4&quot; 185cm "/>
      <sheetName val="duct for generator exhaust "/>
      <sheetName val="Clamp Pipe Steel Flex 89-103"/>
      <sheetName val="Duct Galvanis Ventilator 1mm 72"/>
      <sheetName val="Duct Tape 48mm 1.88INX35Y"/>
      <sheetName val="Elbow 90  4&quot; Duct Flex Aluminum"/>
      <sheetName val="Electric Solder Iron 100W Woose"/>
      <sheetName val="Fibre Optic UT2-01X08SM2-G12P -"/>
      <sheetName val="Fill Rate 220V Tuthhill 35GPM"/>
      <sheetName val="Flag 100 150cm(Amrician,Britsh,"/>
      <sheetName val="Folder 4 9cm "/>
      <sheetName val="Folder A4"/>
      <sheetName val="Folder A5 500pcs"/>
      <sheetName val="Fusing Assy SC2020_x0009__x0009_"/>
      <sheetName val="gas cooker valve"/>
      <sheetName val="gas cooker stop valve"/>
      <sheetName val="Gas cooker coupling between sto"/>
      <sheetName val="GLC -LH -SMD - transceiver modu"/>
      <sheetName val="Glue Nylon Paper Red 30cm"/>
      <sheetName val="Glue Rubber Door"/>
      <sheetName val="Glue Stick Clustic "/>
      <sheetName val="Green Sniper Screen 4 23mt"/>
      <sheetName val="Green Trash Cans 240lt "/>
      <sheetName val="Green Trash Cans 4lt 22 28 45cm"/>
      <sheetName val="Gun Epoxy _x0009_"/>
      <sheetName val="Gun Hyperseal_x0009_"/>
      <sheetName val="Gun Silicon"/>
      <sheetName val="Gun Silicon Plastic "/>
      <sheetName val="Hand Grip Exercises"/>
      <sheetName val="Hand Truck 849LB"/>
      <sheetName val="HDD Adata 680HD 1TB"/>
      <sheetName val="HDD WD 1TB Green"/>
      <sheetName val="Hub 4Port"/>
      <sheetName val="Hydraulic Bottle Jack Truper 32"/>
      <sheetName val="Hydraulic Bottle Jack Truper 50"/>
      <sheetName val="hydraulic jack trolley 3 ton"/>
      <sheetName val="Hydroulic Jack Door"/>
      <sheetName val="ID Badge _x0009_"/>
      <sheetName val="IRD-42U Rack 60 100 20.5cm With"/>
      <sheetName val="Rack Mount Lcd Console FHD LCD "/>
      <sheetName val="IRD-42U Rack 60 60cm With PDU 6"/>
      <sheetName val="IRD-9U Rack 60 60cm With PDU 6 "/>
      <sheetName val="Iron Cube Ahen 15 15cm"/>
      <sheetName val="Iron Gallon _x0009_"/>
      <sheetName val="Iron Handle For Pencil "/>
      <sheetName val="Iron Level "/>
      <sheetName val="Iron Shilf For Paper HF-2003"/>
      <sheetName val="Iron Wastebasket "/>
      <sheetName val="Iron Wiper With Rubber For Viny"/>
      <sheetName val="Iron Wiper with Rubber  For Vin"/>
      <sheetName val="Jack Hydroulic Slite Door"/>
      <sheetName val="Jet Spray Plus"/>
      <sheetName val="Key Board Logitech k120"/>
      <sheetName val="Key Compressor Frezeer VRT-201 "/>
      <sheetName val="Keyboarad Logitech K120"/>
      <sheetName val="Keyboard Sticker"/>
      <sheetName val="Keys Box 20 25cm"/>
      <sheetName val="Laminating Pouchesrs A4"/>
      <sheetName val="Laminator A4 Twins"/>
      <sheetName val="Laptop Bag"/>
      <sheetName val="Laptop Lenovo IDEPAD S145-CORE "/>
      <sheetName val="Letter Head A4 "/>
      <sheetName val="Leveling System Hard Plastic Fo"/>
      <sheetName val="Light With Radio Famisafe KM-91"/>
      <sheetName val="Lock Washer Machine LG"/>
      <sheetName val="Machine Ripping Palet"/>
      <sheetName val="Magic Mesh Screen Door"/>
      <sheetName val="Main ODF Leviton - 5R1UL-F03"/>
      <sheetName val="Maped stapler 354411"/>
      <sheetName val="Marker Dry Wipe"/>
      <sheetName val="marker pen"/>
      <sheetName val="Marker Sharpie Black"/>
      <sheetName val="Masonry Trowel"/>
      <sheetName val="Medal Plastic Keys"/>
      <sheetName val="Metal Mug"/>
      <sheetName val="Military T-shirt "/>
      <sheetName val="Miller Plastic Electrode 256026"/>
      <sheetName val="Mitre Box 12&quot; Somafix "/>
      <sheetName val="Mixer AS-160DP Aswar"/>
      <sheetName val="Mobil Iridium Extreme PPT "/>
      <sheetName val="Mobil Nokia 105 Black"/>
      <sheetName val="mobile charger 6USB_x0009_"/>
      <sheetName val="Money Counter Machine_x0009_"/>
      <sheetName val="Mouse Logitech M220"/>
      <sheetName val="MRC Receipet Voucher A5"/>
      <sheetName val="nawroz 4G router 4g with sim ca"/>
      <sheetName val="Normal Cipher Lock "/>
      <sheetName val="Normal Lock 50mm Rich Door"/>
      <sheetName val="Notebook 200Paper"/>
      <sheetName val="NoteBook 7 9cm"/>
      <sheetName val="NoteBook A4"/>
      <sheetName val="Notice Board 90 120cm"/>
      <sheetName val="Notice Board 90 60cm"/>
      <sheetName val="Nylon 106 76mm NSR"/>
      <sheetName val="Nylon 130 110mm NSR"/>
      <sheetName val="Nylon 20 30cm"/>
      <sheetName val="Nylon 216 303mm NSR"/>
      <sheetName val="Nylon A4 Tipico"/>
      <sheetName val="Nylon Bubbles_x0009_"/>
      <sheetName val="Nylon falcon 21 18cm"/>
      <sheetName val="Nylon File button_x0009__x0009_"/>
      <sheetName val="Nylon For Material"/>
      <sheetName val="Oil Drum Pump&amp;Motor FLUX"/>
      <sheetName val="OLS3000E CyberPower UPS"/>
      <sheetName val="Orange Trash Cans 1100Lt Sabala"/>
      <sheetName val="Orange Trash Cans 240Lt Sabalan"/>
      <sheetName val="Outdoor Door Shed Rain 0.8 1.2m"/>
      <sheetName val="Outdoor Door Shed Rain 1.2mt"/>
      <sheetName val="Outdoor Door Shed Rain 1.5 1.2m"/>
      <sheetName val="Outdoor Door Shed Rain 1mm 2.5m"/>
      <sheetName val="Outdoor Door Shed Rain 1mm 3 1."/>
      <sheetName val="Outdoor Door Shed Rain 1mm 4.5m"/>
      <sheetName val="Outdoor Door Shed Rain 3.66 1.2"/>
      <sheetName val="Paper Line 9.5 11"/>
      <sheetName val="Patches Black And Black"/>
      <sheetName val="Patches Black And Red"/>
      <sheetName val="Patches Tiger Strip And Black"/>
      <sheetName val="PCD Dryer Candy"/>
      <sheetName val="Red Bricks"/>
      <sheetName val="Pen_x0009__x0009_"/>
      <sheetName val="Pen Black&amp;Blue"/>
      <sheetName val="Pencil"/>
      <sheetName val="Photo paper A4_x0009__x0009_"/>
      <sheetName val="Plain Paperclip"/>
      <sheetName val="Plastic Box Tools_x0009__x0009__x0009_"/>
      <sheetName val="Plastic Head Black Grass Clippe"/>
      <sheetName val="Plastic Trashcan"/>
      <sheetName val="Printer HP Laser M479FDW"/>
      <sheetName val="Printer Inks 415A HP"/>
      <sheetName val="Printer Inks 6027 (Cyan,Black,M"/>
      <sheetName val="Printer Inks 6505(Cyan-magenta-"/>
      <sheetName val="Printer Inks 7220 (Cyan,Black,M"/>
      <sheetName val="Printer Inks 7835 (Cyan,Black,M"/>
      <sheetName val="Printer Inks SC2020_x0009__x0009_"/>
      <sheetName val="Printer SC2020 Xerox"/>
      <sheetName val="Professional Hand Rivet (Gun To"/>
      <sheetName val="Pump +Remote+Jack TUBE NOM60 Fo"/>
      <sheetName val="Pump Door Slide Tub 1800K Nice"/>
      <sheetName val="Pump Door Slide Tub 2500K Nice"/>
      <sheetName val="Pump Door Slide Tub 4000K Nice"/>
      <sheetName val="Pump Hand Gas GLS"/>
      <sheetName val="Pump Insecticide 16Lt"/>
      <sheetName val="Pump Insecticide 8Lt"/>
      <sheetName val="Pump Test PPR"/>
      <sheetName val="Punch Hole heavy Duty 2 Deli"/>
      <sheetName val="Purchase Order"/>
      <sheetName val="Push Bar Double Door"/>
      <sheetName val="Push Bar Single Door"/>
      <sheetName val="Quick Port Jack 24 Port Leviton"/>
      <sheetName val="Quick Port Patch Panel 24-Port "/>
      <sheetName val="Rack Power Strip 6 Ways Univers"/>
      <sheetName val="Rake Tool"/>
      <sheetName val="Receiving Material A6"/>
      <sheetName val="Recharge 12V "/>
      <sheetName val="Recharge Battery 12-24V "/>
      <sheetName val="Recharge Battery 2.32v"/>
      <sheetName val="Recharge Battery 4V "/>
      <sheetName val="Record Notebook 100Paper"/>
      <sheetName val="Red Pail Plastic"/>
      <sheetName val="Ripping Nylon Clear"/>
      <sheetName val="Rod Of GPS Device Trimble"/>
      <sheetName val="Roll Plastic For Ripping Plalet"/>
      <sheetName val="Rope Circular 4mm"/>
      <sheetName val="Rope For Flag"/>
      <sheetName val="Rope Parachute_x0009_"/>
      <sheetName val="Rotary Access Kit Dremel Eclock"/>
      <sheetName val="Roullup Door 550cm"/>
      <sheetName val="Round Trimmer Line 2.4mm 12mt"/>
      <sheetName val="Round Trimmer Line 2.4mm 40,43m"/>
      <sheetName val="Round Trimmer Line 2.4mm 90mt"/>
      <sheetName val="Rubber Cement Finishing"/>
      <sheetName val="Rubber Roll 17&quot;"/>
      <sheetName val="Sheet1"/>
      <sheetName val="Ruler Edit Concrete Aluminium 3"/>
      <sheetName val="Safe Money Model FRS-66EL "/>
      <sheetName val="Sand Cement"/>
      <sheetName val="Safe Money Model _BS-310"/>
      <sheetName val="Safe Money Model _bs-610_x0009_"/>
      <sheetName val="San Disk 256G"/>
      <sheetName val="Sand Bag Armor_x0009_"/>
      <sheetName val="Sauna Control HELO 400V 3N"/>
      <sheetName val="Seringue 50ml"/>
      <sheetName val="Sharpener Pencil"/>
      <sheetName val="Steel Wire concrete"/>
      <sheetName val="mattock with handle"/>
      <sheetName val="RAM DDR4 8GB"/>
      <sheetName val="Sickle 12&quot;"/>
      <sheetName val="Sinsor For Machine Frame 12mm"/>
      <sheetName val="Slump Cone Test Set "/>
      <sheetName val="Small Scaffold_x0009_"/>
      <sheetName val="Small Tape"/>
      <sheetName val="Smoke Detecter Tester"/>
      <sheetName val="Sniper Screen 5 6mt"/>
      <sheetName val="Solder Wire  Tolsen_x0009_"/>
      <sheetName val="Speaker Base"/>
      <sheetName val="Speaker Cable 2 1 500m Erse"/>
      <sheetName val="Splitar VGA 4Port"/>
      <sheetName val="Sponge 8 17.5 11cm"/>
      <sheetName val="Spray pump 2L_x0009__x0009__x0009_"/>
      <sheetName val="Spray WD80"/>
      <sheetName val="Square Metal Door Slide 100cm N"/>
      <sheetName val="SSD Hard 128GB"/>
      <sheetName val="SSD Leven 128GB"/>
      <sheetName val="Stainless Steel Fly Blocker 120"/>
      <sheetName val="Staple Remover  "/>
      <sheetName val="Steel Cement Finishing"/>
      <sheetName val="Sticker Printer Stickers 12mm B"/>
      <sheetName val="Sticker Printer Stickers 9mm Bl"/>
      <sheetName val="Stop Door"/>
      <sheetName val="Stop Door Galvanize"/>
      <sheetName val="Gate tire  hi motion large"/>
      <sheetName val="hi motion italian  model 96mm"/>
      <sheetName val="large cantilever gate end stop"/>
      <sheetName val="lockable drop rod"/>
      <sheetName val="Store Entrance"/>
      <sheetName val="Store Out Booklet"/>
      <sheetName val="Sunwood Paper Shredder SD 9331"/>
      <sheetName val="Tape Insulator Aluminium 46mt 4"/>
      <sheetName val="Tape Wool Insulator Aluminium 3"/>
      <sheetName val="Tea Machine URET"/>
      <sheetName val="Tea maschine 2L"/>
      <sheetName val="Thread Locker 50ml Force Engine"/>
      <sheetName val="Tire Scaffold"/>
      <sheetName val="Toe Board Scaffold_x0009_"/>
      <sheetName val="Trickle Vents 300mm White Color"/>
      <sheetName val="Gaz Regulator"/>
      <sheetName val="Triple Hand Glass Lifter BX3 (k"/>
      <sheetName val="trolley "/>
      <sheetName val="Tubes scaffold_x0009_"/>
      <sheetName val="TV LG 43LM5000 PTA 43&quot; With Sta"/>
      <sheetName val="UPS Power Solid"/>
      <sheetName val="USB Wifi Acer"/>
      <sheetName val="Vibrator Hose 38mm"/>
      <sheetName val="Waste Toner Printer 7835"/>
      <sheetName val="Waste Toner SC2020_x0009__x0009_"/>
      <sheetName val="Wastebasket "/>
      <sheetName val="WD 8TB Storage Capacity 6Gb s"/>
      <sheetName val="White Board FRD 120 90 3.5cm"/>
      <sheetName val="White Board FRD 2 1mt 3.5cm"/>
      <sheetName val="White Board FRD 90 60 3.5cm"/>
      <sheetName val="White Box File"/>
      <sheetName val="White Building Thread"/>
      <sheetName val="White Cleaning Cloth"/>
      <sheetName val="White ink pen_x0009__x0009_"/>
      <sheetName val="White Rope Ratchet "/>
      <sheetName val="Nylon Rope  "/>
      <sheetName val="White Sand Bag"/>
      <sheetName val="White Sticker Glue For Bolt MDF"/>
      <sheetName val="White Cement"/>
      <sheetName val="Wiper Rubber Plastic For Vinyl "/>
      <sheetName val="Wood Dowel FSC 15mm 122cm"/>
      <sheetName val="Wood Dowel FSC 3cm 122cm"/>
      <sheetName val="Wood Handle Spade "/>
      <sheetName val="Wood Pale Enjoy Your Meal Sign "/>
      <sheetName val="Wood Plate  Grill"/>
      <sheetName val="Wood Plate  J.Wheeler"/>
      <sheetName val="Wood Plate Beer And Grill"/>
      <sheetName val="Wood Plate Caffe And Grill"/>
      <sheetName val="Wood Plate Shawarma Sign"/>
      <sheetName val="WS-C2960X-24PS-L Cisco "/>
      <sheetName val="بمب هواء يدوي  لتنظيف الفتحات ا"/>
      <sheetName val="تاير بايسكل + جوب"/>
      <sheetName val="رك هارد 3.5 HDD"/>
      <sheetName val="Sheet2"/>
      <sheetName val="سويج سيسكو"/>
      <sheetName val="Access Control dsk1t804mf"/>
      <sheetName val="IC S50"/>
      <sheetName val="Power Adapter DX-AH 21313-SAI"/>
      <sheetName val="stand camera 120cm"/>
      <sheetName val="Trash Bag black"/>
      <sheetName val="هارد حاسبة 2تيرا"/>
      <sheetName val="Store Shelves "/>
      <sheetName val="Exit Sticker for Em Light  "/>
      <sheetName val="Air blower +Barbecue_x0009_"/>
      <sheetName val="White marking thread with powde"/>
      <sheetName val="Hdmi cable"/>
      <sheetName val="Morrell , 24p fast ETH , 2P GIG"/>
      <sheetName val="Rat trap Glue"/>
      <sheetName val="Steel Hood filter "/>
      <sheetName val="alabaster"/>
      <sheetName val="Duplicate Keys"/>
      <sheetName val="Fertilizer"/>
      <sheetName val="Salt for ice melt"/>
      <sheetName val="carbon brush motor"/>
      <sheetName val="Whirlpool Motor Belt 4801121014"/>
      <sheetName val="Gas Bottle for lighters"/>
      <sheetName val="Solder 1mm - 150G "/>
      <sheetName val="Laptop Battery"/>
      <sheetName val="Dog Food"/>
      <sheetName val="Water Stop yellow"/>
      <sheetName val="acid "/>
      <sheetName val="Fuel Tank Filter  "/>
      <sheetName val="Chamfer Plastic 3cm 3m"/>
      <sheetName val="Norton Internet Security"/>
      <sheetName val="Rubber lastic for lifting cover"/>
      <sheetName val="Sheet4"/>
      <sheetName val="Hesco 1 5m 5cells"/>
      <sheetName val="Hesco 0.6mt 3m 5cells"/>
      <sheetName val="Hesco 0.6 1.2m 2cells"/>
      <sheetName val="Hesco 1.1 9.9 mt  9cells"/>
      <sheetName val="Hesco 1 2m 2cells"/>
      <sheetName val="Handle For small door for tower"/>
      <sheetName val="Lan ( Ethernet ) to Usb adapter"/>
      <sheetName val="Horizontal Automatic Boring Mac"/>
      <sheetName val="Single Tire Wagon"/>
      <sheetName val="Protractor Tool"/>
      <sheetName val="Morrell SW-MNG 24 POE 24GE46C "/>
      <sheetName val="Morrel T3134 Iptel 23acd "/>
      <sheetName val="Morrel Patch Panel  Pat 6-s3-24"/>
      <sheetName val="Morrel Cable Management Tray T3"/>
      <sheetName val="Morrel Phones IPPBX-300-412 "/>
      <sheetName val="Morrel Patch Cord cat6 + cat7"/>
      <sheetName val="Power Solid PDU -07UK - M1.5 U"/>
      <sheetName val="UniFI AP AC Pro  Access Point"/>
      <sheetName val="NaCLO "/>
      <sheetName val="HCL "/>
      <sheetName val="NAOH "/>
      <sheetName val="Blue Storm Inverter 3200Va-36v"/>
      <sheetName val="Blue Storm Ds-Gel Battery 12v-1"/>
      <sheetName val="Air Cooler With Battery"/>
      <sheetName val="Pump Door Slide Tub 800 Receive"/>
      <sheetName val="FNC Acrylic Numbers"/>
      <sheetName val="Disc valve"/>
      <sheetName val="Louver 60 40cm"/>
      <sheetName val="Louver 45 30cm"/>
      <sheetName val="Volume Damper 15 15cm"/>
      <sheetName val="Duct Support "/>
      <sheetName val="Filter Box"/>
      <sheetName val="Duct "/>
      <sheetName val="Duct Reducer"/>
      <sheetName val="Duct Silicon"/>
      <sheetName val="Plastic Angle for Duct"/>
      <sheetName val="Light wfl20110"/>
      <sheetName val="Gym Devices"/>
      <sheetName val="رمبة كيبل 4 خط"/>
      <sheetName val="Paint Oil Color"/>
      <sheetName val="Charging Adapter 170w"/>
      <sheetName val="Miranda"/>
      <sheetName val="BA-6229-2023"/>
      <sheetName val="Return Damper 4&quot;"/>
      <sheetName val="Alumninme Lover Round "/>
    </sheetNames>
    <sheetDataSet>
      <sheetData sheetId="0">
        <row r="4">
          <cell r="E4">
            <v>2.6</v>
          </cell>
          <cell r="F4">
            <v>0</v>
          </cell>
        </row>
        <row r="5">
          <cell r="E5">
            <v>34</v>
          </cell>
          <cell r="F5">
            <v>0</v>
          </cell>
        </row>
        <row r="6">
          <cell r="E6">
            <v>16</v>
          </cell>
          <cell r="F6">
            <v>0</v>
          </cell>
        </row>
        <row r="7">
          <cell r="E7">
            <v>6.2</v>
          </cell>
          <cell r="F7">
            <v>0</v>
          </cell>
        </row>
        <row r="8">
          <cell r="E8">
            <v>12</v>
          </cell>
          <cell r="F8">
            <v>0</v>
          </cell>
        </row>
        <row r="9">
          <cell r="E9">
            <v>8.57</v>
          </cell>
          <cell r="F9">
            <v>0</v>
          </cell>
        </row>
        <row r="10">
          <cell r="E10">
            <v>0</v>
          </cell>
          <cell r="F10">
            <v>0</v>
          </cell>
        </row>
        <row r="11">
          <cell r="E11">
            <v>0.68</v>
          </cell>
          <cell r="F11">
            <v>2</v>
          </cell>
        </row>
        <row r="12">
          <cell r="E12">
            <v>20</v>
          </cell>
          <cell r="F12">
            <v>925</v>
          </cell>
        </row>
        <row r="13">
          <cell r="E13">
            <v>1.68</v>
          </cell>
          <cell r="F13">
            <v>0</v>
          </cell>
        </row>
        <row r="14">
          <cell r="E14">
            <v>75</v>
          </cell>
          <cell r="F14">
            <v>0</v>
          </cell>
        </row>
        <row r="15">
          <cell r="E15">
            <v>1250</v>
          </cell>
          <cell r="F15">
            <v>0</v>
          </cell>
        </row>
        <row r="16">
          <cell r="E16">
            <v>4.72</v>
          </cell>
          <cell r="F16">
            <v>0</v>
          </cell>
        </row>
        <row r="17">
          <cell r="E17">
            <v>23.48</v>
          </cell>
          <cell r="F17">
            <v>0</v>
          </cell>
        </row>
        <row r="18">
          <cell r="E18">
            <v>2</v>
          </cell>
          <cell r="F18">
            <v>0</v>
          </cell>
        </row>
        <row r="19">
          <cell r="E19">
            <v>3.37</v>
          </cell>
          <cell r="F19">
            <v>0</v>
          </cell>
        </row>
        <row r="20">
          <cell r="E20">
            <v>1000</v>
          </cell>
          <cell r="F20">
            <v>1.3499999999999999</v>
          </cell>
        </row>
        <row r="21">
          <cell r="E21">
            <v>800</v>
          </cell>
          <cell r="F21">
            <v>5.7</v>
          </cell>
        </row>
        <row r="22">
          <cell r="E22">
            <v>87.83</v>
          </cell>
          <cell r="F22">
            <v>0</v>
          </cell>
        </row>
        <row r="23">
          <cell r="E23">
            <v>13.5</v>
          </cell>
          <cell r="F23">
            <v>0</v>
          </cell>
        </row>
        <row r="24">
          <cell r="E24">
            <v>5.4</v>
          </cell>
          <cell r="F24">
            <v>0</v>
          </cell>
        </row>
        <row r="25">
          <cell r="E25">
            <v>1.8</v>
          </cell>
          <cell r="F25">
            <v>0</v>
          </cell>
        </row>
        <row r="26">
          <cell r="E26">
            <v>1</v>
          </cell>
          <cell r="F26">
            <v>0</v>
          </cell>
        </row>
        <row r="27">
          <cell r="E27">
            <v>11</v>
          </cell>
          <cell r="F27">
            <v>0</v>
          </cell>
        </row>
        <row r="28">
          <cell r="E28">
            <v>7.5</v>
          </cell>
          <cell r="F28">
            <v>0</v>
          </cell>
        </row>
        <row r="29">
          <cell r="E29">
            <v>0.24049999999999999</v>
          </cell>
          <cell r="F29">
            <v>9054</v>
          </cell>
        </row>
        <row r="30">
          <cell r="E30">
            <v>3.4849999999999999</v>
          </cell>
          <cell r="F30">
            <v>0</v>
          </cell>
        </row>
        <row r="31">
          <cell r="E31">
            <v>57</v>
          </cell>
          <cell r="F31">
            <v>6.6</v>
          </cell>
        </row>
        <row r="32">
          <cell r="E32">
            <v>1.65</v>
          </cell>
          <cell r="F32">
            <v>0</v>
          </cell>
        </row>
        <row r="33">
          <cell r="E33">
            <v>10</v>
          </cell>
          <cell r="F33">
            <v>0</v>
          </cell>
        </row>
        <row r="34">
          <cell r="E34">
            <v>3.5</v>
          </cell>
          <cell r="F34">
            <v>0</v>
          </cell>
        </row>
        <row r="35">
          <cell r="E35">
            <v>5</v>
          </cell>
          <cell r="F35">
            <v>0</v>
          </cell>
        </row>
        <row r="36">
          <cell r="E36">
            <v>6.75</v>
          </cell>
          <cell r="F36">
            <v>0</v>
          </cell>
        </row>
        <row r="37">
          <cell r="E37">
            <v>6000</v>
          </cell>
          <cell r="F37">
            <v>0</v>
          </cell>
        </row>
        <row r="38">
          <cell r="E38">
            <v>0.66</v>
          </cell>
          <cell r="F38">
            <v>0</v>
          </cell>
        </row>
        <row r="39">
          <cell r="E39">
            <v>5.5</v>
          </cell>
          <cell r="F39">
            <v>5</v>
          </cell>
        </row>
        <row r="40">
          <cell r="E40">
            <v>1.26</v>
          </cell>
          <cell r="F40">
            <v>19</v>
          </cell>
        </row>
        <row r="41">
          <cell r="E41">
            <v>0.9</v>
          </cell>
          <cell r="F41">
            <v>0</v>
          </cell>
        </row>
        <row r="42">
          <cell r="E42">
            <v>22</v>
          </cell>
          <cell r="F42">
            <v>0</v>
          </cell>
        </row>
        <row r="43">
          <cell r="E43">
            <v>28</v>
          </cell>
          <cell r="F43">
            <v>6</v>
          </cell>
        </row>
        <row r="44">
          <cell r="E44">
            <v>1.01</v>
          </cell>
          <cell r="F44">
            <v>0</v>
          </cell>
        </row>
        <row r="45">
          <cell r="E45">
            <v>2.25</v>
          </cell>
          <cell r="F45">
            <v>0</v>
          </cell>
        </row>
        <row r="46">
          <cell r="E46">
            <v>6.25E-2</v>
          </cell>
          <cell r="F46">
            <v>472</v>
          </cell>
        </row>
        <row r="47">
          <cell r="E47">
            <v>0</v>
          </cell>
          <cell r="F47">
            <v>26</v>
          </cell>
        </row>
        <row r="48">
          <cell r="E48">
            <v>360</v>
          </cell>
          <cell r="F48">
            <v>0</v>
          </cell>
        </row>
        <row r="49">
          <cell r="E49">
            <v>2.75</v>
          </cell>
          <cell r="F49">
            <v>0</v>
          </cell>
        </row>
        <row r="50">
          <cell r="E50">
            <v>33.4</v>
          </cell>
          <cell r="F50">
            <v>2.5</v>
          </cell>
        </row>
        <row r="51">
          <cell r="E51">
            <v>3</v>
          </cell>
          <cell r="F51">
            <v>0</v>
          </cell>
        </row>
        <row r="52">
          <cell r="E52">
            <v>22</v>
          </cell>
          <cell r="F52">
            <v>2</v>
          </cell>
        </row>
        <row r="53">
          <cell r="E53">
            <v>2030</v>
          </cell>
          <cell r="F53">
            <v>0</v>
          </cell>
        </row>
        <row r="54">
          <cell r="E54">
            <v>1.1000000000000001</v>
          </cell>
          <cell r="F54">
            <v>0</v>
          </cell>
        </row>
        <row r="55">
          <cell r="E55">
            <v>2.35</v>
          </cell>
          <cell r="F55">
            <v>0</v>
          </cell>
        </row>
        <row r="56">
          <cell r="E56">
            <v>1.5</v>
          </cell>
          <cell r="F56">
            <v>4.75</v>
          </cell>
        </row>
        <row r="57">
          <cell r="E57">
            <v>15</v>
          </cell>
          <cell r="F57">
            <v>6</v>
          </cell>
        </row>
        <row r="58">
          <cell r="E58">
            <v>6.66</v>
          </cell>
          <cell r="F58">
            <v>2</v>
          </cell>
        </row>
        <row r="59">
          <cell r="E59">
            <v>165</v>
          </cell>
          <cell r="F59">
            <v>0</v>
          </cell>
        </row>
        <row r="60">
          <cell r="E60">
            <v>55</v>
          </cell>
          <cell r="F60">
            <v>0</v>
          </cell>
        </row>
        <row r="61">
          <cell r="E61">
            <v>13.5</v>
          </cell>
          <cell r="F61">
            <v>0</v>
          </cell>
        </row>
        <row r="62">
          <cell r="E62">
            <v>7.58</v>
          </cell>
          <cell r="F62">
            <v>0</v>
          </cell>
        </row>
        <row r="63">
          <cell r="E63">
            <v>85</v>
          </cell>
          <cell r="F63">
            <v>0</v>
          </cell>
        </row>
        <row r="64">
          <cell r="E64">
            <v>2.78</v>
          </cell>
          <cell r="F64">
            <v>18</v>
          </cell>
        </row>
        <row r="65">
          <cell r="E65">
            <v>34.83</v>
          </cell>
          <cell r="F65">
            <v>0.25</v>
          </cell>
        </row>
        <row r="66">
          <cell r="E66">
            <v>45</v>
          </cell>
          <cell r="F66">
            <v>0</v>
          </cell>
        </row>
        <row r="67">
          <cell r="E67">
            <v>1.84</v>
          </cell>
          <cell r="F67">
            <v>20</v>
          </cell>
        </row>
        <row r="68">
          <cell r="E68">
            <v>1.48</v>
          </cell>
          <cell r="F68">
            <v>3</v>
          </cell>
        </row>
        <row r="69">
          <cell r="E69">
            <v>9.9</v>
          </cell>
          <cell r="F69">
            <v>0</v>
          </cell>
        </row>
        <row r="70">
          <cell r="E70">
            <v>14</v>
          </cell>
          <cell r="F70">
            <v>1</v>
          </cell>
        </row>
        <row r="71">
          <cell r="E71">
            <v>3.5</v>
          </cell>
          <cell r="F71">
            <v>0</v>
          </cell>
        </row>
        <row r="72">
          <cell r="E72">
            <v>2.41</v>
          </cell>
          <cell r="F72">
            <v>0</v>
          </cell>
        </row>
        <row r="73">
          <cell r="E73">
            <v>10</v>
          </cell>
          <cell r="F73">
            <v>0</v>
          </cell>
        </row>
        <row r="74">
          <cell r="E74">
            <v>0.40500000000000003</v>
          </cell>
          <cell r="F74">
            <v>105</v>
          </cell>
        </row>
        <row r="75">
          <cell r="E75">
            <v>1.5</v>
          </cell>
          <cell r="F75">
            <v>26</v>
          </cell>
        </row>
        <row r="76">
          <cell r="E76">
            <v>3.5</v>
          </cell>
          <cell r="F76">
            <v>10</v>
          </cell>
        </row>
        <row r="77">
          <cell r="E77">
            <v>1.25</v>
          </cell>
          <cell r="F77">
            <v>0</v>
          </cell>
        </row>
        <row r="78">
          <cell r="E78">
            <v>1.5</v>
          </cell>
          <cell r="F78">
            <v>0</v>
          </cell>
        </row>
        <row r="79">
          <cell r="E79">
            <v>2.7</v>
          </cell>
          <cell r="F79">
            <v>16</v>
          </cell>
        </row>
        <row r="80">
          <cell r="E80">
            <v>19</v>
          </cell>
          <cell r="F80">
            <v>1</v>
          </cell>
        </row>
        <row r="81">
          <cell r="E81">
            <v>15</v>
          </cell>
          <cell r="F81">
            <v>9</v>
          </cell>
        </row>
        <row r="82">
          <cell r="E82">
            <v>5</v>
          </cell>
          <cell r="F82">
            <v>0</v>
          </cell>
        </row>
        <row r="83">
          <cell r="E83">
            <v>3.5</v>
          </cell>
          <cell r="F83">
            <v>0</v>
          </cell>
        </row>
        <row r="84">
          <cell r="E84">
            <v>8.75</v>
          </cell>
          <cell r="F84">
            <v>0</v>
          </cell>
        </row>
        <row r="85">
          <cell r="E85">
            <v>37.5</v>
          </cell>
          <cell r="F85">
            <v>0</v>
          </cell>
        </row>
        <row r="86">
          <cell r="E86">
            <v>7.6</v>
          </cell>
          <cell r="F86">
            <v>62</v>
          </cell>
        </row>
        <row r="87">
          <cell r="E87">
            <v>35</v>
          </cell>
          <cell r="F87">
            <v>2</v>
          </cell>
        </row>
        <row r="88">
          <cell r="E88">
            <v>2.5</v>
          </cell>
          <cell r="F88">
            <v>38</v>
          </cell>
        </row>
        <row r="89">
          <cell r="E89">
            <v>0.19170000000000001</v>
          </cell>
          <cell r="F89">
            <v>86</v>
          </cell>
        </row>
        <row r="90">
          <cell r="E90">
            <v>28</v>
          </cell>
          <cell r="F90">
            <v>8</v>
          </cell>
        </row>
        <row r="91">
          <cell r="E91">
            <v>1.25</v>
          </cell>
          <cell r="F91">
            <v>0</v>
          </cell>
        </row>
        <row r="92">
          <cell r="E92">
            <v>20.92</v>
          </cell>
          <cell r="F92">
            <v>1</v>
          </cell>
        </row>
        <row r="93">
          <cell r="E93">
            <v>0.10100000000000001</v>
          </cell>
          <cell r="F93">
            <v>371</v>
          </cell>
        </row>
        <row r="94">
          <cell r="E94">
            <v>9.8000000000000004E-2</v>
          </cell>
          <cell r="F94">
            <v>192.5</v>
          </cell>
        </row>
        <row r="95">
          <cell r="E95">
            <v>3.375</v>
          </cell>
          <cell r="F95">
            <v>0</v>
          </cell>
        </row>
        <row r="96">
          <cell r="E96">
            <v>2.5</v>
          </cell>
          <cell r="F96">
            <v>18</v>
          </cell>
        </row>
        <row r="97">
          <cell r="E97">
            <v>13</v>
          </cell>
          <cell r="F97">
            <v>6</v>
          </cell>
        </row>
        <row r="98">
          <cell r="E98">
            <v>0</v>
          </cell>
          <cell r="F98">
            <v>21</v>
          </cell>
        </row>
        <row r="99">
          <cell r="E99">
            <v>1.25</v>
          </cell>
          <cell r="F99">
            <v>22</v>
          </cell>
        </row>
        <row r="100">
          <cell r="E100">
            <v>15</v>
          </cell>
          <cell r="F100">
            <v>0</v>
          </cell>
        </row>
        <row r="101">
          <cell r="E101">
            <v>1</v>
          </cell>
          <cell r="F101">
            <v>47</v>
          </cell>
        </row>
        <row r="102">
          <cell r="E102">
            <v>125</v>
          </cell>
          <cell r="F102">
            <v>26</v>
          </cell>
        </row>
        <row r="103">
          <cell r="E103">
            <v>75</v>
          </cell>
          <cell r="F103">
            <v>6</v>
          </cell>
        </row>
        <row r="104">
          <cell r="E104">
            <v>15</v>
          </cell>
          <cell r="F104">
            <v>1</v>
          </cell>
        </row>
        <row r="105">
          <cell r="E105">
            <v>138</v>
          </cell>
          <cell r="F105">
            <v>7</v>
          </cell>
        </row>
        <row r="106">
          <cell r="E106">
            <v>15</v>
          </cell>
          <cell r="F106">
            <v>831</v>
          </cell>
        </row>
        <row r="107">
          <cell r="E107">
            <v>17.5</v>
          </cell>
          <cell r="F107">
            <v>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ow r="31">
          <cell r="E31">
            <v>362</v>
          </cell>
          <cell r="I31">
            <v>2</v>
          </cell>
        </row>
      </sheetData>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row r="4">
          <cell r="L4" t="str">
            <v xml:space="preserve">حبل ابيض للسخانات  </v>
          </cell>
        </row>
      </sheetData>
      <sheetData sheetId="331"/>
      <sheetData sheetId="332"/>
      <sheetData sheetId="333"/>
      <sheetData sheetId="334"/>
      <sheetData sheetId="335">
        <row r="4">
          <cell r="L4" t="str">
            <v>ماسحة بلاستيك وربل للفاينل 55سم SGS</v>
          </cell>
        </row>
      </sheetData>
      <sheetData sheetId="336"/>
      <sheetData sheetId="337"/>
      <sheetData sheetId="338">
        <row r="4">
          <cell r="L4" t="str">
            <v>يدة كرك خشب</v>
          </cell>
        </row>
      </sheetData>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sheetName val="Air Freshener Persil 3lt"/>
      <sheetName val="Dish cleaner _x0009_"/>
      <sheetName val="Dettol Cleaner  900ml_x0009_"/>
      <sheetName val="Flash Cleaner Mega "/>
      <sheetName val="Cleaner Evar 1L"/>
      <sheetName val="Liquid Soap  400g "/>
      <sheetName val="Air Freshener Sprary "/>
      <sheetName val="Glass Clenner 750ml"/>
      <sheetName val="_x0009_منظف بيرول 3لتر_x0009_"/>
      <sheetName val="Bif Baf 300ml "/>
      <sheetName val="MR Muscle 750ml_x0009__x0009_"/>
      <sheetName val="Air Freshener Sprary Lamis"/>
      <sheetName val="Air Freshener Sprary Bivy 500ml"/>
      <sheetName val="Cleaning Sponge "/>
      <sheetName val="Cleaner Aircond Coil 3.785L"/>
      <sheetName val="Cleaner Spray Coil Clean  1Quar"/>
      <sheetName val="Kleenex Toilet Selbak"/>
      <sheetName val="Toilet towels belinno"/>
      <sheetName val="Kleenex Toilet Jambo Limpio"/>
      <sheetName val="Kleenex Kitchen Selbak"/>
      <sheetName val="Kitchen towels belinno"/>
      <sheetName val="Kleenex Toilet Babelion_x0009__x0009_"/>
      <sheetName val="Moisturizer Kleenex Alcohol Pad"/>
      <sheetName val="Moisturizer kleenex Paris"/>
      <sheetName val="Big Toilet Bowl Cleaner "/>
      <sheetName val=" Toilet Bowl Cleaner _x0009_"/>
      <sheetName val="Toilet Bowl Cleaner Harbic"/>
      <sheetName val="Surface Cleaner 900ml ABC"/>
      <sheetName val="Surface Cleaner 2.5l ABC_x0009__x0009_"/>
      <sheetName val="Cleaner Kris 960ml"/>
      <sheetName val="Fat Remover Cleaner"/>
      <sheetName val="Dettol 5L Sarttor"/>
      <sheetName val="Cleaning Soft Broom Brush With "/>
      <sheetName val="Naphthalene balls"/>
      <sheetName val="Cleaning Soft Broom Brush_x0009_"/>
      <sheetName val="Actoderm Sanitizer 1L_x0009_"/>
      <sheetName val="Insecticide 250ml Deltathor"/>
      <sheetName val="Handle Wood Floor Wiper"/>
      <sheetName val="Soft Floor Wiper"/>
      <sheetName val="Soft Floor Wiper With Handle"/>
      <sheetName val="Air Freshener  EVAR"/>
      <sheetName val="Air Freshener Machine Wick"/>
      <sheetName val="CD Air Freshener bathroom"/>
      <sheetName val="Medicinal alcohol 20l %100_x0009__x0009__x0009_"/>
      <sheetName val="Alcohol 1L Konix_x0009_"/>
      <sheetName val="Medicinal alcohol 5L Ficomed "/>
      <sheetName val="Medicinal alcohol 10l  %70_x0009__x0009__x0009_"/>
      <sheetName val="Liquid Soap  O2 500g "/>
      <sheetName val="Gel Hand Sanitizer AQUA VERA 50"/>
      <sheetName val="Floor Cleaner Bingo 1Lt"/>
      <sheetName val="Clor 12P"/>
      <sheetName val="Medicinal alcohol 5lt %96"/>
      <sheetName val="Mop"/>
      <sheetName val="Vilda Cloth"/>
      <sheetName val="Dettol 500ml"/>
      <sheetName val="Rodenthor Dual Active"/>
      <sheetName val="Cloths Mop "/>
      <sheetName val="Cleaner Ecolab For Steel 946"/>
      <sheetName val="Spray Cleaner Ecolab For Steel "/>
      <sheetName val="Clor Powder Spic 50k"/>
      <sheetName val="Dettol 1Lt"/>
      <sheetName val="Ethanol 96% 1Lt"/>
      <sheetName val="Soft Floor Wiper For Car "/>
      <sheetName val="Cloth For Car 185 200cm"/>
      <sheetName val="Glass Cleaner OXY 750ml"/>
      <sheetName val="Cloths Cleanner"/>
      <sheetName val="Spray Insect killer Taro Mar"/>
      <sheetName val="Medical Gloves Falcon"/>
      <sheetName val="Brush Plastic With Shit"/>
      <sheetName val="Brush Plastic Cleaner"/>
      <sheetName val="Insect killer Ignite 250g"/>
      <sheetName val="Insecticide Herb 5lt Epostar"/>
      <sheetName val="Insecticide Herb 1lt Zakwat 276"/>
      <sheetName val="Animal Rat Medicine Titan 100g"/>
      <sheetName val="Animal Rat Medicine Titan 10g"/>
      <sheetName val="Industrial Salt Sodium Chloride"/>
      <sheetName val="Spray Clorox Cleaner 966ml"/>
      <sheetName val="Sheet1"/>
      <sheetName val="Sheet2"/>
      <sheetName val="سماد نباتي حديد للكاردينيا 1 كي"/>
      <sheetName val="Sheet3"/>
      <sheetName val="Push Broom In outdoor 61cm ACE"/>
      <sheetName val="Drano Bldup Remover 1.9Lt"/>
      <sheetName val="Insecticide 500ml Fibex Flo"/>
      <sheetName val="كلينكس طاولة"/>
      <sheetName val="ACE Mop "/>
      <sheetName val="Parquet Cleaner"/>
      <sheetName val="Spray Cleaner For Wood"/>
    </sheetNames>
    <sheetDataSet>
      <sheetData sheetId="0">
        <row r="4">
          <cell r="E4">
            <v>0.67</v>
          </cell>
          <cell r="F4">
            <v>16</v>
          </cell>
        </row>
        <row r="5">
          <cell r="E5">
            <v>2.7389999999999999</v>
          </cell>
          <cell r="F5">
            <v>5</v>
          </cell>
        </row>
        <row r="6">
          <cell r="E6">
            <v>14.7</v>
          </cell>
          <cell r="F6">
            <v>0</v>
          </cell>
        </row>
        <row r="7">
          <cell r="E7">
            <v>1.02</v>
          </cell>
          <cell r="F7">
            <v>0</v>
          </cell>
        </row>
        <row r="8">
          <cell r="E8">
            <v>33.340000000000003</v>
          </cell>
          <cell r="F8">
            <v>0</v>
          </cell>
        </row>
        <row r="9">
          <cell r="E9">
            <v>16</v>
          </cell>
          <cell r="F9">
            <v>1.5010000000000001</v>
          </cell>
        </row>
        <row r="10">
          <cell r="E10">
            <v>0.49299999999999999</v>
          </cell>
          <cell r="F10">
            <v>16</v>
          </cell>
        </row>
        <row r="11">
          <cell r="E11">
            <v>0.17799999999999999</v>
          </cell>
          <cell r="F11">
            <v>18</v>
          </cell>
        </row>
        <row r="12">
          <cell r="E12">
            <v>6.5</v>
          </cell>
          <cell r="F12">
            <v>22</v>
          </cell>
        </row>
        <row r="13">
          <cell r="E13">
            <v>6.8</v>
          </cell>
          <cell r="F13">
            <v>0</v>
          </cell>
        </row>
        <row r="14">
          <cell r="E14">
            <v>29</v>
          </cell>
          <cell r="F14">
            <v>2</v>
          </cell>
        </row>
        <row r="15">
          <cell r="E15">
            <v>32.520000000000003</v>
          </cell>
          <cell r="F15">
            <v>0</v>
          </cell>
        </row>
        <row r="16">
          <cell r="E16">
            <v>1</v>
          </cell>
          <cell r="F16">
            <v>0</v>
          </cell>
        </row>
        <row r="17">
          <cell r="E17">
            <v>79</v>
          </cell>
          <cell r="F17">
            <v>4</v>
          </cell>
        </row>
        <row r="18">
          <cell r="E18">
            <v>250</v>
          </cell>
          <cell r="F18">
            <v>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sheetName val="Black Cable 1 150mm"/>
      <sheetName val="Black  cable 5 10mm"/>
      <sheetName val="Armoured Cable 5 50mm"/>
      <sheetName val="Black Cable 5 16mm"/>
      <sheetName val="Black Cable 3 10mm"/>
      <sheetName val="Black Cable 5 16mm (2)"/>
      <sheetName val="Black Cable 3 16mm"/>
      <sheetName val="Armored Cable 3 2.5mm"/>
      <sheetName val="Black Cable 3 10mm 2"/>
      <sheetName val="Armored Cable 5 4mm 1"/>
      <sheetName val="Black Cable 1 50mm"/>
      <sheetName val="Black Cable 3 2.5mm (2)"/>
      <sheetName val="Black Cable 3 10mm (6)"/>
      <sheetName val="Black Cable 3 2.5mm"/>
      <sheetName val="Black Cable 5 10mm 2"/>
      <sheetName val="Black Cable 1 300mm"/>
      <sheetName val="Internet Cable 2 "/>
      <sheetName val="Armored Cable 5 10mm 2"/>
      <sheetName val="Communications Cable "/>
      <sheetName val="Black Cable 5 16mm (3)"/>
      <sheetName val="Black Cable 1 300mm (1)"/>
      <sheetName val="Black Cable 4 240mm"/>
      <sheetName val="Armored Cable 4 16 mm"/>
      <sheetName val="Black Cable 4 120mm"/>
      <sheetName val="Black Cable 4 4mm"/>
      <sheetName val="Armored Cable 4 240mm"/>
      <sheetName val="Black Cable 4 120mm (1)"/>
      <sheetName val="Armored Cable 5 4mm"/>
      <sheetName val="Black Cable 1 300mm (2)"/>
      <sheetName val="Black Cable 3 25mm"/>
      <sheetName val="Armored Cable 5 6mm"/>
      <sheetName val="Armored Cable 5 10mm (1)"/>
      <sheetName val="Black Cable 4 50mm"/>
      <sheetName val="Armored Cable 4 16mm"/>
      <sheetName val="Black Cable 5 6mm"/>
      <sheetName val="Black Cable 3 10mm (1)"/>
      <sheetName val="Armored Cable 4 25mm"/>
      <sheetName val="Black Cable 5 6mm (1)"/>
      <sheetName val="Black Cable 3 95+50mm"/>
      <sheetName val="Black Cable 3 70+35mm"/>
      <sheetName val="Black Cable 4 50mm (2)"/>
      <sheetName val="Armored Cable 5 16mm (1)"/>
      <sheetName val="Black Cable 5 16mm (1)"/>
      <sheetName val="Armored Cable 4 16mm (1)"/>
      <sheetName val="Armored Cable 5 16mm (2)"/>
      <sheetName val="Black Cable 5 50mm"/>
      <sheetName val="Armored Cable 5 10mm (2)"/>
      <sheetName val="Black Cable 4 50mm (1)"/>
      <sheetName val="Black Cable 3 10mm (2)"/>
      <sheetName val="Black Cable 3 10mm (3)"/>
      <sheetName val="Black Cable 3 10mm (4)"/>
      <sheetName val="Black Cable 3 10mm (5)"/>
      <sheetName val="Black Cable 5 16mm (4)"/>
      <sheetName val="Armored Cable 3 2.5mm (1)"/>
      <sheetName val="Black Cable 5 16mm (5)"/>
      <sheetName val="Armored Cable 4 16mm (2)"/>
      <sheetName val="Black Cable 4 6mm"/>
      <sheetName val="Armored Cable 5 35mm"/>
      <sheetName val="Armored Cable 5 25mm"/>
      <sheetName val="Armored Cable 1 240mm"/>
      <sheetName val="Armored Cable 5 50mm"/>
      <sheetName val="Armored Cable 1 300mm"/>
      <sheetName val="Black Cable 3 70+35mm 1"/>
      <sheetName val="Black Cable 1 300mm (3)"/>
      <sheetName val="Armored Cable 4 16mm (3)"/>
      <sheetName val="Ground Cable 50mm"/>
      <sheetName val="Ground Cable 25mm"/>
      <sheetName val="Black Cable 2 6mm"/>
      <sheetName val="Ground Cable 35mm"/>
      <sheetName val="Black Cable 5 10mm (1)"/>
      <sheetName val="Black Cable 3 4mm"/>
      <sheetName val="Black Cable 3 10mm (7)"/>
      <sheetName val="Fiber Optic Cable"/>
      <sheetName val="Black Cable 3 16mm (1)"/>
      <sheetName val="Black Cable 4 50mm (3)"/>
      <sheetName val="Black Cable 4 50mm (4)"/>
      <sheetName val="Armored Cable 5 10mm (3)"/>
      <sheetName val="Armored Cable 5 16 mm (2)"/>
      <sheetName val="Armored Cable 4 16mm (4)"/>
      <sheetName val="Armored Cable 4 16mm (5)"/>
      <sheetName val="Armored Cable 4 16mm (6)"/>
      <sheetName val="Black Cable 4 16mm (3)"/>
      <sheetName val="Armored Cable 3 16mm"/>
      <sheetName val="Black Cable 3 16mm (3)"/>
      <sheetName val="Black Cable 3 16mm (4)"/>
      <sheetName val="Black Cable 3 16mm (5)"/>
      <sheetName val="Armored Cable 3 10mm (1)"/>
      <sheetName val="Armored Cable 3 10mm (2)"/>
      <sheetName val="Armored Cable 3 10mm"/>
      <sheetName val="Black Cable 4 50mm (5)"/>
      <sheetName val="Black Cable 4 10mm (5)"/>
      <sheetName val="Black Cable 4 10mm (6)"/>
      <sheetName val="Black Cable 4 10mm (7)"/>
      <sheetName val="Black Cable 4 10mm (8)"/>
      <sheetName val="Black Cable 4 10mm (9)"/>
      <sheetName val="Black Cable 4 10mm (10)"/>
      <sheetName val="Black Cable 3 6mm"/>
      <sheetName val="Black Cable 3 6mm (1)"/>
      <sheetName val="Armored Cable 5 25mm (1)"/>
      <sheetName val="Armored Cable 5 25mm (2)"/>
      <sheetName val="Black Cable 5 10mm (2)"/>
      <sheetName val="Black Cable 5 10mm (3)"/>
      <sheetName val="Black Cable 5 10mm (4)"/>
      <sheetName val="Black Cable 5 10mm (5)"/>
      <sheetName val="Black Cable 5 10mm (6)"/>
      <sheetName val="Black Cable 5 16mm (6)"/>
      <sheetName val="Armored Cable 5 50mm (1)"/>
      <sheetName val="Black Cable 5 16mm (7)"/>
      <sheetName val="Armored Cable 5 16mm (3)"/>
      <sheetName val="Black Cable 5 16mm (8)"/>
      <sheetName val="Armored Cable 5 70mm (1)"/>
      <sheetName val="Armored Cable 1 240mm (1)"/>
      <sheetName val="Black Cable 1 300mm (4)"/>
      <sheetName val="Blue Cable 3 25mm  "/>
      <sheetName val="Black Cable 1 240mm"/>
      <sheetName val="Armored Cable 5 10mm (4)"/>
      <sheetName val="Black Cable 5 6mm (2)"/>
      <sheetName val="Black Cable 5 6mm (3)"/>
      <sheetName val="Black Cable 5 6mm (4)"/>
      <sheetName val="Black Cable 4 6mm (1)"/>
      <sheetName val="Armored Cable 5 16mm (4)"/>
      <sheetName val="Black Cable 5 16mm (9)"/>
      <sheetName val="Black Cable 1 300mm (5)"/>
      <sheetName val="Black Cable 1 300mm (6)"/>
      <sheetName val="Black Cable 1 300mm (7)"/>
      <sheetName val="Black Cable 1 300mm (8)"/>
      <sheetName val="Armored Cable 1 120mm"/>
      <sheetName val="Black Cable 3 4mm (1)"/>
      <sheetName val="Armored Cable 3 4mm"/>
      <sheetName val="Black Cable 5 4mm (1)"/>
      <sheetName val="Black Cable 5 4mm (2)"/>
      <sheetName val="Black Cable 5 4mm (3)"/>
      <sheetName val="Black Cable 5 4mm (4)"/>
      <sheetName val="Black Cable 5 4mm (5)"/>
      <sheetName val="Black Cable 3 25mm (1)"/>
      <sheetName val="Black Cable 2 10mm"/>
      <sheetName val="Black Cable 2 10mm (1)"/>
      <sheetName val="Black Cable 2 10mm (2)"/>
      <sheetName val="Black Cable 2 10mm (3)"/>
      <sheetName val="Black Cable 5 2.5mm"/>
      <sheetName val="Black Cable 4 4mm (1)"/>
      <sheetName val="Black Cable 4 4mm (2)"/>
      <sheetName val="Black Cable 4 4mm (3)"/>
      <sheetName val="Black Cable 4 4mm (4)"/>
      <sheetName val="Black Cable 4 4mm (5)"/>
      <sheetName val="Black Cable 4 4mm (6)"/>
      <sheetName val="Black Cable 5 2.5mm (1)"/>
      <sheetName val="Black Cable 5 2.5mm (2)"/>
      <sheetName val="Black Cable 5 2.5mm (3)"/>
      <sheetName val="Black Cable 5 2.5mm (4)"/>
      <sheetName val="Black Cable 5 2.5mm (5)"/>
      <sheetName val="Armored Cable 4 16 +10mm"/>
      <sheetName val="Black Cable 3 10+6mm"/>
      <sheetName val="Black Cable 4 10mm"/>
      <sheetName val="Black Cable 4 10mm (1)"/>
      <sheetName val="Black Cable 4 10mm (2)"/>
      <sheetName val="Black Cable 4 25mm (2)"/>
      <sheetName val="Armored Cable 4 240mm (2)"/>
      <sheetName val="Black Cable 4 240mm 2"/>
    </sheetNames>
    <sheetDataSet>
      <sheetData sheetId="0">
        <row r="4">
          <cell r="E4">
            <v>14.25</v>
          </cell>
          <cell r="F4">
            <v>11.4</v>
          </cell>
          <cell r="G4">
            <v>22</v>
          </cell>
        </row>
        <row r="5">
          <cell r="E5">
            <v>29</v>
          </cell>
          <cell r="F5">
            <v>23.200000000000003</v>
          </cell>
          <cell r="G5">
            <v>0</v>
          </cell>
        </row>
        <row r="6">
          <cell r="E6">
            <v>29</v>
          </cell>
          <cell r="F6">
            <v>23.200000000000003</v>
          </cell>
          <cell r="G6">
            <v>35</v>
          </cell>
        </row>
        <row r="7">
          <cell r="E7">
            <v>33</v>
          </cell>
          <cell r="F7">
            <v>26.400000000000002</v>
          </cell>
          <cell r="G7">
            <v>0</v>
          </cell>
        </row>
        <row r="8">
          <cell r="E8">
            <v>5.25</v>
          </cell>
          <cell r="F8">
            <v>4.2</v>
          </cell>
          <cell r="G8">
            <v>35</v>
          </cell>
        </row>
        <row r="9">
          <cell r="E9">
            <v>5.25</v>
          </cell>
          <cell r="F9">
            <v>4.2</v>
          </cell>
          <cell r="G9">
            <v>30</v>
          </cell>
        </row>
        <row r="10">
          <cell r="E10">
            <v>5.25</v>
          </cell>
          <cell r="F10">
            <v>4.2</v>
          </cell>
          <cell r="G10">
            <v>40</v>
          </cell>
        </row>
        <row r="11">
          <cell r="E11">
            <v>7.5</v>
          </cell>
          <cell r="F11">
            <v>6</v>
          </cell>
          <cell r="G11">
            <v>35</v>
          </cell>
        </row>
        <row r="12">
          <cell r="E12">
            <v>1.5</v>
          </cell>
          <cell r="F12">
            <v>1.2000000000000002</v>
          </cell>
          <cell r="G12">
            <v>198</v>
          </cell>
        </row>
        <row r="13">
          <cell r="E13">
            <v>1.5</v>
          </cell>
          <cell r="F13">
            <v>1.2000000000000002</v>
          </cell>
          <cell r="G13">
            <v>58</v>
          </cell>
        </row>
        <row r="14">
          <cell r="E14">
            <v>2.15</v>
          </cell>
          <cell r="F14">
            <v>1.72</v>
          </cell>
          <cell r="G14">
            <v>0</v>
          </cell>
        </row>
        <row r="15">
          <cell r="E15">
            <v>13</v>
          </cell>
          <cell r="F15">
            <v>10.4</v>
          </cell>
          <cell r="G15">
            <v>29</v>
          </cell>
        </row>
        <row r="16">
          <cell r="E16">
            <v>10</v>
          </cell>
          <cell r="F16">
            <v>8</v>
          </cell>
          <cell r="G16">
            <v>138</v>
          </cell>
        </row>
        <row r="17">
          <cell r="E17">
            <v>10</v>
          </cell>
          <cell r="F17">
            <v>8</v>
          </cell>
          <cell r="G17">
            <v>25</v>
          </cell>
        </row>
        <row r="18">
          <cell r="E18">
            <v>10</v>
          </cell>
          <cell r="F18">
            <v>8</v>
          </cell>
          <cell r="G18">
            <v>20</v>
          </cell>
        </row>
        <row r="19">
          <cell r="E19">
            <v>10</v>
          </cell>
          <cell r="F19">
            <v>8</v>
          </cell>
          <cell r="G19">
            <v>0</v>
          </cell>
        </row>
        <row r="20">
          <cell r="E20">
            <v>10</v>
          </cell>
          <cell r="F20">
            <v>8</v>
          </cell>
          <cell r="G20">
            <v>36</v>
          </cell>
        </row>
        <row r="21">
          <cell r="E21">
            <v>10</v>
          </cell>
          <cell r="F21">
            <v>8</v>
          </cell>
          <cell r="G21">
            <v>30</v>
          </cell>
        </row>
        <row r="22">
          <cell r="E22">
            <v>10</v>
          </cell>
          <cell r="F22">
            <v>8</v>
          </cell>
          <cell r="G22">
            <v>48</v>
          </cell>
        </row>
        <row r="23">
          <cell r="E23">
            <v>10</v>
          </cell>
          <cell r="F23">
            <v>8</v>
          </cell>
          <cell r="G23">
            <v>35</v>
          </cell>
        </row>
        <row r="24">
          <cell r="E24">
            <v>113</v>
          </cell>
          <cell r="F24">
            <v>90.4</v>
          </cell>
          <cell r="G24">
            <v>0</v>
          </cell>
        </row>
        <row r="25">
          <cell r="E25">
            <v>113</v>
          </cell>
          <cell r="F25">
            <v>90.4</v>
          </cell>
          <cell r="G25">
            <v>0</v>
          </cell>
        </row>
        <row r="26">
          <cell r="E26">
            <v>14</v>
          </cell>
          <cell r="F26">
            <v>11.200000000000001</v>
          </cell>
          <cell r="G26">
            <v>72</v>
          </cell>
        </row>
        <row r="27">
          <cell r="E27">
            <v>5.75</v>
          </cell>
          <cell r="F27">
            <v>4.6000000000000005</v>
          </cell>
          <cell r="G27">
            <v>0</v>
          </cell>
        </row>
        <row r="28">
          <cell r="E28">
            <v>5.75</v>
          </cell>
          <cell r="F28">
            <v>4.6000000000000005</v>
          </cell>
          <cell r="G28">
            <v>70</v>
          </cell>
        </row>
        <row r="29">
          <cell r="E29">
            <v>5.75</v>
          </cell>
          <cell r="F29">
            <v>4.6000000000000005</v>
          </cell>
          <cell r="G29">
            <v>25</v>
          </cell>
        </row>
        <row r="30">
          <cell r="E30">
            <v>5.75</v>
          </cell>
          <cell r="F30">
            <v>4.6000000000000005</v>
          </cell>
          <cell r="G30">
            <v>16</v>
          </cell>
        </row>
        <row r="31">
          <cell r="E31">
            <v>5.75</v>
          </cell>
          <cell r="F31">
            <v>4.6000000000000005</v>
          </cell>
          <cell r="G31">
            <v>23</v>
          </cell>
        </row>
        <row r="32">
          <cell r="E32">
            <v>12.5</v>
          </cell>
          <cell r="F32">
            <v>10</v>
          </cell>
          <cell r="G32">
            <v>22</v>
          </cell>
        </row>
        <row r="33">
          <cell r="E33">
            <v>12.5</v>
          </cell>
          <cell r="F33">
            <v>10</v>
          </cell>
          <cell r="G33">
            <v>25</v>
          </cell>
        </row>
        <row r="34">
          <cell r="E34">
            <v>12.5</v>
          </cell>
          <cell r="F34">
            <v>10</v>
          </cell>
          <cell r="G34">
            <v>19</v>
          </cell>
        </row>
        <row r="35">
          <cell r="E35">
            <v>12.5</v>
          </cell>
          <cell r="F35">
            <v>10</v>
          </cell>
          <cell r="G35">
            <v>35</v>
          </cell>
        </row>
        <row r="36">
          <cell r="E36">
            <v>12.5</v>
          </cell>
          <cell r="F36">
            <v>10</v>
          </cell>
          <cell r="G36">
            <v>19</v>
          </cell>
        </row>
        <row r="37">
          <cell r="E37">
            <v>17</v>
          </cell>
          <cell r="F37">
            <v>13.600000000000001</v>
          </cell>
          <cell r="G37">
            <v>0</v>
          </cell>
        </row>
        <row r="38">
          <cell r="E38">
            <v>17</v>
          </cell>
          <cell r="F38">
            <v>13.600000000000001</v>
          </cell>
          <cell r="G38">
            <v>19</v>
          </cell>
        </row>
        <row r="39">
          <cell r="E39">
            <v>17</v>
          </cell>
          <cell r="F39">
            <v>13.600000000000001</v>
          </cell>
          <cell r="G39">
            <v>19</v>
          </cell>
        </row>
        <row r="40">
          <cell r="E40">
            <v>22</v>
          </cell>
          <cell r="F40">
            <v>17.600000000000001</v>
          </cell>
          <cell r="G40">
            <v>24</v>
          </cell>
        </row>
        <row r="41">
          <cell r="E41">
            <v>3.35</v>
          </cell>
          <cell r="F41">
            <v>2.68</v>
          </cell>
          <cell r="G41">
            <v>42</v>
          </cell>
        </row>
        <row r="42">
          <cell r="E42">
            <v>3.35</v>
          </cell>
          <cell r="F42">
            <v>2.68</v>
          </cell>
          <cell r="G42">
            <v>62</v>
          </cell>
        </row>
        <row r="43">
          <cell r="E43">
            <v>32</v>
          </cell>
          <cell r="F43">
            <v>25.6</v>
          </cell>
          <cell r="G43">
            <v>25</v>
          </cell>
        </row>
        <row r="44">
          <cell r="E44">
            <v>32</v>
          </cell>
          <cell r="F44">
            <v>25.6</v>
          </cell>
          <cell r="G44">
            <v>35</v>
          </cell>
        </row>
        <row r="45">
          <cell r="E45">
            <v>32</v>
          </cell>
          <cell r="F45">
            <v>25.6</v>
          </cell>
          <cell r="G45">
            <v>21</v>
          </cell>
        </row>
        <row r="46">
          <cell r="E46">
            <v>7</v>
          </cell>
          <cell r="F46">
            <v>5.6000000000000005</v>
          </cell>
          <cell r="G46">
            <v>148</v>
          </cell>
        </row>
        <row r="47">
          <cell r="E47">
            <v>43</v>
          </cell>
          <cell r="F47">
            <v>34.4</v>
          </cell>
          <cell r="G47">
            <v>15</v>
          </cell>
        </row>
        <row r="48">
          <cell r="E48">
            <v>7</v>
          </cell>
          <cell r="F48">
            <v>5.6000000000000005</v>
          </cell>
          <cell r="G48">
            <v>0</v>
          </cell>
        </row>
        <row r="49">
          <cell r="E49">
            <v>15</v>
          </cell>
          <cell r="F49">
            <v>12</v>
          </cell>
          <cell r="G49">
            <v>0</v>
          </cell>
        </row>
        <row r="50">
          <cell r="E50">
            <v>24</v>
          </cell>
          <cell r="F50">
            <v>19.200000000000003</v>
          </cell>
          <cell r="G50">
            <v>12</v>
          </cell>
        </row>
        <row r="51">
          <cell r="E51">
            <v>29</v>
          </cell>
          <cell r="F51">
            <v>23.200000000000003</v>
          </cell>
          <cell r="G51">
            <v>0</v>
          </cell>
        </row>
        <row r="52">
          <cell r="E52">
            <v>29</v>
          </cell>
          <cell r="F52">
            <v>23.200000000000003</v>
          </cell>
          <cell r="G52">
            <v>0</v>
          </cell>
        </row>
        <row r="53">
          <cell r="E53">
            <v>29</v>
          </cell>
          <cell r="F53">
            <v>23.200000000000003</v>
          </cell>
          <cell r="G53">
            <v>0</v>
          </cell>
        </row>
        <row r="54">
          <cell r="E54">
            <v>29</v>
          </cell>
          <cell r="F54">
            <v>23.200000000000003</v>
          </cell>
          <cell r="G54">
            <v>0</v>
          </cell>
        </row>
        <row r="55">
          <cell r="E55">
            <v>29</v>
          </cell>
          <cell r="F55">
            <v>23.200000000000003</v>
          </cell>
          <cell r="G55">
            <v>0</v>
          </cell>
        </row>
        <row r="56">
          <cell r="E56">
            <v>29</v>
          </cell>
          <cell r="F56">
            <v>23.200000000000003</v>
          </cell>
          <cell r="G56">
            <v>0</v>
          </cell>
        </row>
        <row r="57">
          <cell r="E57">
            <v>29</v>
          </cell>
          <cell r="F57">
            <v>23.200000000000003</v>
          </cell>
          <cell r="G57">
            <v>0</v>
          </cell>
        </row>
        <row r="58">
          <cell r="E58">
            <v>29</v>
          </cell>
          <cell r="F58">
            <v>23.200000000000003</v>
          </cell>
          <cell r="G58">
            <v>0</v>
          </cell>
        </row>
        <row r="59">
          <cell r="E59">
            <v>29</v>
          </cell>
          <cell r="F59">
            <v>23.200000000000003</v>
          </cell>
          <cell r="G59">
            <v>0</v>
          </cell>
        </row>
        <row r="60">
          <cell r="E60">
            <v>5</v>
          </cell>
          <cell r="F60">
            <v>4</v>
          </cell>
          <cell r="G60">
            <v>31</v>
          </cell>
        </row>
        <row r="61">
          <cell r="E61">
            <v>2.75</v>
          </cell>
          <cell r="F61">
            <v>2.2000000000000002</v>
          </cell>
          <cell r="G61">
            <v>35</v>
          </cell>
        </row>
        <row r="62">
          <cell r="E62">
            <v>2.75</v>
          </cell>
          <cell r="F62">
            <v>2.2000000000000002</v>
          </cell>
          <cell r="G62">
            <v>25</v>
          </cell>
        </row>
        <row r="63">
          <cell r="E63">
            <v>2.75</v>
          </cell>
          <cell r="F63">
            <v>2.2000000000000002</v>
          </cell>
          <cell r="G63">
            <v>35</v>
          </cell>
        </row>
        <row r="64">
          <cell r="E64">
            <v>2.75</v>
          </cell>
          <cell r="F64">
            <v>2.2000000000000002</v>
          </cell>
          <cell r="G64">
            <v>37</v>
          </cell>
        </row>
        <row r="65">
          <cell r="E65">
            <v>1.65</v>
          </cell>
          <cell r="F65">
            <v>1.32</v>
          </cell>
          <cell r="G65">
            <v>188</v>
          </cell>
        </row>
        <row r="66">
          <cell r="E66">
            <v>4.125</v>
          </cell>
          <cell r="F66">
            <v>3.3000000000000003</v>
          </cell>
          <cell r="G66">
            <v>16</v>
          </cell>
        </row>
        <row r="67">
          <cell r="E67">
            <v>3</v>
          </cell>
          <cell r="F67">
            <v>2.4000000000000004</v>
          </cell>
          <cell r="G67">
            <v>0</v>
          </cell>
        </row>
        <row r="68">
          <cell r="E68">
            <v>3</v>
          </cell>
          <cell r="F68">
            <v>2.4000000000000004</v>
          </cell>
          <cell r="G68">
            <v>0</v>
          </cell>
        </row>
        <row r="69">
          <cell r="E69">
            <v>3</v>
          </cell>
          <cell r="F69">
            <v>2.4000000000000004</v>
          </cell>
          <cell r="G69">
            <v>0</v>
          </cell>
        </row>
        <row r="70">
          <cell r="E70">
            <v>3</v>
          </cell>
          <cell r="F70">
            <v>2.4000000000000004</v>
          </cell>
          <cell r="G70">
            <v>0</v>
          </cell>
        </row>
        <row r="71">
          <cell r="E71">
            <v>3</v>
          </cell>
          <cell r="F71">
            <v>2.4000000000000004</v>
          </cell>
          <cell r="G71">
            <v>62</v>
          </cell>
        </row>
        <row r="72">
          <cell r="E72">
            <v>3</v>
          </cell>
          <cell r="F72">
            <v>2.4000000000000004</v>
          </cell>
          <cell r="G72">
            <v>47</v>
          </cell>
        </row>
        <row r="73">
          <cell r="E73">
            <v>3</v>
          </cell>
          <cell r="F73">
            <v>2.4000000000000004</v>
          </cell>
          <cell r="G73">
            <v>155</v>
          </cell>
        </row>
        <row r="74">
          <cell r="E74">
            <v>3</v>
          </cell>
          <cell r="F74">
            <v>2.4000000000000004</v>
          </cell>
          <cell r="G74">
            <v>250</v>
          </cell>
        </row>
        <row r="75">
          <cell r="E75">
            <v>3</v>
          </cell>
          <cell r="F75">
            <v>2.4000000000000004</v>
          </cell>
          <cell r="G75">
            <v>120</v>
          </cell>
        </row>
        <row r="76">
          <cell r="E76">
            <v>5</v>
          </cell>
          <cell r="F76">
            <v>4</v>
          </cell>
          <cell r="G76">
            <v>237</v>
          </cell>
        </row>
        <row r="77">
          <cell r="E77">
            <v>5</v>
          </cell>
          <cell r="F77">
            <v>4</v>
          </cell>
          <cell r="G77">
            <v>350</v>
          </cell>
        </row>
        <row r="78">
          <cell r="E78">
            <v>5</v>
          </cell>
          <cell r="F78">
            <v>4</v>
          </cell>
          <cell r="G78">
            <v>30</v>
          </cell>
        </row>
        <row r="79">
          <cell r="E79">
            <v>5</v>
          </cell>
          <cell r="F79">
            <v>4</v>
          </cell>
          <cell r="G79">
            <v>42</v>
          </cell>
        </row>
        <row r="80">
          <cell r="E80">
            <v>5</v>
          </cell>
          <cell r="F80">
            <v>4</v>
          </cell>
          <cell r="G80">
            <v>34</v>
          </cell>
        </row>
        <row r="81">
          <cell r="E81">
            <v>1.25</v>
          </cell>
          <cell r="F81">
            <v>1</v>
          </cell>
          <cell r="G81">
            <v>153</v>
          </cell>
        </row>
        <row r="82">
          <cell r="E82">
            <v>1.25</v>
          </cell>
          <cell r="F82">
            <v>1</v>
          </cell>
          <cell r="G82">
            <v>69</v>
          </cell>
        </row>
        <row r="83">
          <cell r="E83">
            <v>9</v>
          </cell>
          <cell r="F83">
            <v>7.2</v>
          </cell>
          <cell r="G83">
            <v>66</v>
          </cell>
        </row>
        <row r="84">
          <cell r="E84">
            <v>9</v>
          </cell>
          <cell r="F84">
            <v>7.2</v>
          </cell>
          <cell r="G84">
            <v>31</v>
          </cell>
        </row>
        <row r="85">
          <cell r="E85">
            <v>1.6</v>
          </cell>
          <cell r="F85">
            <v>1.2800000000000002</v>
          </cell>
          <cell r="G85">
            <v>113</v>
          </cell>
        </row>
        <row r="86">
          <cell r="E86">
            <v>1.6</v>
          </cell>
          <cell r="F86">
            <v>1.2800000000000002</v>
          </cell>
          <cell r="G86">
            <v>28</v>
          </cell>
        </row>
        <row r="87">
          <cell r="E87">
            <v>2.5</v>
          </cell>
          <cell r="F87">
            <v>2</v>
          </cell>
          <cell r="G87">
            <v>20</v>
          </cell>
        </row>
        <row r="88">
          <cell r="E88">
            <v>2.5</v>
          </cell>
          <cell r="F88">
            <v>2</v>
          </cell>
          <cell r="G88">
            <v>25</v>
          </cell>
        </row>
        <row r="89">
          <cell r="E89">
            <v>23</v>
          </cell>
          <cell r="F89">
            <v>18.400000000000002</v>
          </cell>
          <cell r="G89">
            <v>0</v>
          </cell>
        </row>
        <row r="90">
          <cell r="E90">
            <v>23</v>
          </cell>
          <cell r="F90">
            <v>18.400000000000002</v>
          </cell>
          <cell r="G90">
            <v>45</v>
          </cell>
        </row>
        <row r="91">
          <cell r="E91">
            <v>37</v>
          </cell>
          <cell r="F91">
            <v>29.6</v>
          </cell>
          <cell r="G91">
            <v>0</v>
          </cell>
        </row>
        <row r="92">
          <cell r="E92">
            <v>5</v>
          </cell>
          <cell r="F92">
            <v>4</v>
          </cell>
          <cell r="G92">
            <v>25</v>
          </cell>
        </row>
        <row r="93">
          <cell r="E93">
            <v>5</v>
          </cell>
          <cell r="F93">
            <v>4</v>
          </cell>
          <cell r="G93">
            <v>20</v>
          </cell>
        </row>
        <row r="94">
          <cell r="E94">
            <v>5</v>
          </cell>
          <cell r="F94">
            <v>4</v>
          </cell>
          <cell r="G94">
            <v>25</v>
          </cell>
        </row>
        <row r="95">
          <cell r="E95">
            <v>5</v>
          </cell>
          <cell r="F95">
            <v>4</v>
          </cell>
          <cell r="G95">
            <v>41</v>
          </cell>
        </row>
        <row r="96">
          <cell r="E96">
            <v>5</v>
          </cell>
          <cell r="F96">
            <v>4</v>
          </cell>
          <cell r="G96">
            <v>18</v>
          </cell>
        </row>
        <row r="97">
          <cell r="E97">
            <v>5</v>
          </cell>
          <cell r="F97">
            <v>4</v>
          </cell>
          <cell r="G97">
            <v>30</v>
          </cell>
        </row>
        <row r="98">
          <cell r="E98">
            <v>5</v>
          </cell>
          <cell r="F98">
            <v>4</v>
          </cell>
          <cell r="G98">
            <v>21</v>
          </cell>
        </row>
        <row r="99">
          <cell r="E99">
            <v>5</v>
          </cell>
          <cell r="F99">
            <v>4</v>
          </cell>
          <cell r="G99">
            <v>20</v>
          </cell>
        </row>
        <row r="100">
          <cell r="E100">
            <v>5</v>
          </cell>
          <cell r="F100">
            <v>4</v>
          </cell>
          <cell r="G100">
            <v>20</v>
          </cell>
        </row>
        <row r="101">
          <cell r="E101">
            <v>39</v>
          </cell>
          <cell r="F101">
            <v>31.200000000000003</v>
          </cell>
          <cell r="G101">
            <v>0</v>
          </cell>
        </row>
        <row r="102">
          <cell r="E102">
            <v>39</v>
          </cell>
          <cell r="F102">
            <v>31.200000000000003</v>
          </cell>
          <cell r="G102">
            <v>25</v>
          </cell>
        </row>
        <row r="103">
          <cell r="E103">
            <v>7.5</v>
          </cell>
          <cell r="F103">
            <v>6</v>
          </cell>
          <cell r="G103">
            <v>25</v>
          </cell>
        </row>
        <row r="104">
          <cell r="E104">
            <v>80</v>
          </cell>
          <cell r="F104">
            <v>64</v>
          </cell>
          <cell r="G104">
            <v>0</v>
          </cell>
        </row>
        <row r="105">
          <cell r="E105">
            <v>11.5</v>
          </cell>
          <cell r="F105">
            <v>9.2000000000000011</v>
          </cell>
          <cell r="G105">
            <v>10</v>
          </cell>
        </row>
        <row r="106">
          <cell r="E106">
            <v>2</v>
          </cell>
          <cell r="F106">
            <v>1.6</v>
          </cell>
          <cell r="G106">
            <v>210</v>
          </cell>
        </row>
        <row r="107">
          <cell r="E107">
            <v>2</v>
          </cell>
          <cell r="F107">
            <v>1.6</v>
          </cell>
          <cell r="G107">
            <v>20</v>
          </cell>
        </row>
        <row r="108">
          <cell r="E108">
            <v>2</v>
          </cell>
          <cell r="F108">
            <v>1.6</v>
          </cell>
          <cell r="G108">
            <v>22</v>
          </cell>
        </row>
        <row r="109">
          <cell r="E109">
            <v>2</v>
          </cell>
          <cell r="F109">
            <v>1.6</v>
          </cell>
          <cell r="G109">
            <v>20</v>
          </cell>
        </row>
        <row r="110">
          <cell r="E110">
            <v>2</v>
          </cell>
          <cell r="F110">
            <v>1.6</v>
          </cell>
          <cell r="G110">
            <v>22</v>
          </cell>
        </row>
        <row r="111">
          <cell r="E111">
            <v>2</v>
          </cell>
          <cell r="F111">
            <v>1.6</v>
          </cell>
          <cell r="G111">
            <v>30</v>
          </cell>
        </row>
        <row r="112">
          <cell r="E112">
            <v>2</v>
          </cell>
          <cell r="F112">
            <v>1.6</v>
          </cell>
          <cell r="G112">
            <v>21</v>
          </cell>
        </row>
        <row r="113">
          <cell r="E113">
            <v>24</v>
          </cell>
          <cell r="F113">
            <v>19.200000000000003</v>
          </cell>
          <cell r="G113">
            <v>0</v>
          </cell>
        </row>
        <row r="114">
          <cell r="E114">
            <v>24</v>
          </cell>
          <cell r="F114">
            <v>19.200000000000003</v>
          </cell>
          <cell r="G114">
            <v>0</v>
          </cell>
        </row>
        <row r="115">
          <cell r="E115">
            <v>24</v>
          </cell>
          <cell r="F115">
            <v>19.200000000000003</v>
          </cell>
          <cell r="G115">
            <v>0</v>
          </cell>
        </row>
        <row r="116">
          <cell r="E116">
            <v>24</v>
          </cell>
          <cell r="F116">
            <v>19.200000000000003</v>
          </cell>
          <cell r="G116">
            <v>0</v>
          </cell>
        </row>
        <row r="117">
          <cell r="E117">
            <v>24</v>
          </cell>
          <cell r="F117">
            <v>19.200000000000003</v>
          </cell>
          <cell r="G117">
            <v>16</v>
          </cell>
        </row>
        <row r="118">
          <cell r="E118">
            <v>24</v>
          </cell>
          <cell r="F118">
            <v>19.200000000000003</v>
          </cell>
          <cell r="G118">
            <v>45</v>
          </cell>
        </row>
        <row r="119">
          <cell r="E119">
            <v>3.25</v>
          </cell>
          <cell r="F119">
            <v>2.6</v>
          </cell>
          <cell r="G119">
            <v>0</v>
          </cell>
        </row>
        <row r="120">
          <cell r="E120">
            <v>3</v>
          </cell>
          <cell r="F120">
            <v>2.4000000000000004</v>
          </cell>
          <cell r="G120">
            <v>35</v>
          </cell>
        </row>
        <row r="121">
          <cell r="E121">
            <v>7</v>
          </cell>
          <cell r="F121">
            <v>5.6000000000000005</v>
          </cell>
          <cell r="G121">
            <v>20</v>
          </cell>
        </row>
        <row r="122">
          <cell r="E122">
            <v>7</v>
          </cell>
          <cell r="F122">
            <v>5.6000000000000005</v>
          </cell>
          <cell r="G122">
            <v>16</v>
          </cell>
        </row>
        <row r="123">
          <cell r="E123">
            <v>7</v>
          </cell>
          <cell r="F123">
            <v>5.6000000000000005</v>
          </cell>
          <cell r="G123">
            <v>12</v>
          </cell>
        </row>
        <row r="124">
          <cell r="E124">
            <v>7</v>
          </cell>
          <cell r="F124">
            <v>5.6000000000000005</v>
          </cell>
          <cell r="G124">
            <v>18</v>
          </cell>
        </row>
        <row r="125">
          <cell r="E125">
            <v>7</v>
          </cell>
          <cell r="F125">
            <v>5.6000000000000005</v>
          </cell>
          <cell r="G125">
            <v>20</v>
          </cell>
        </row>
        <row r="126">
          <cell r="E126">
            <v>7</v>
          </cell>
          <cell r="F126">
            <v>5.6000000000000005</v>
          </cell>
          <cell r="G126">
            <v>20</v>
          </cell>
        </row>
        <row r="127">
          <cell r="E127">
            <v>7</v>
          </cell>
          <cell r="F127">
            <v>5.6000000000000005</v>
          </cell>
          <cell r="G127">
            <v>17</v>
          </cell>
        </row>
        <row r="128">
          <cell r="E128">
            <v>9.5</v>
          </cell>
          <cell r="F128">
            <v>7.6000000000000005</v>
          </cell>
          <cell r="G128">
            <v>0</v>
          </cell>
        </row>
        <row r="129">
          <cell r="E129">
            <v>9.5</v>
          </cell>
          <cell r="F129">
            <v>7.6000000000000005</v>
          </cell>
          <cell r="G129">
            <v>0</v>
          </cell>
        </row>
        <row r="130">
          <cell r="E130">
            <v>9.5</v>
          </cell>
          <cell r="F130">
            <v>7.6000000000000005</v>
          </cell>
          <cell r="G130">
            <v>0</v>
          </cell>
        </row>
        <row r="131">
          <cell r="E131">
            <v>9.5</v>
          </cell>
          <cell r="F131">
            <v>7.6000000000000005</v>
          </cell>
          <cell r="G131">
            <v>24</v>
          </cell>
        </row>
        <row r="132">
          <cell r="E132">
            <v>9.5</v>
          </cell>
          <cell r="F132">
            <v>7.6000000000000005</v>
          </cell>
          <cell r="G132">
            <v>0</v>
          </cell>
        </row>
        <row r="133">
          <cell r="E133">
            <v>9.5</v>
          </cell>
          <cell r="F133">
            <v>7.6000000000000005</v>
          </cell>
          <cell r="G133">
            <v>52</v>
          </cell>
        </row>
        <row r="134">
          <cell r="E134">
            <v>9.5</v>
          </cell>
          <cell r="F134">
            <v>7.6000000000000005</v>
          </cell>
          <cell r="G134">
            <v>21</v>
          </cell>
        </row>
        <row r="135">
          <cell r="E135">
            <v>9.5</v>
          </cell>
          <cell r="F135">
            <v>7.6000000000000005</v>
          </cell>
          <cell r="G135">
            <v>0</v>
          </cell>
        </row>
        <row r="136">
          <cell r="E136">
            <v>9.5</v>
          </cell>
          <cell r="F136">
            <v>7.6000000000000005</v>
          </cell>
          <cell r="G136">
            <v>38</v>
          </cell>
        </row>
        <row r="137">
          <cell r="E137">
            <v>9.5</v>
          </cell>
          <cell r="F137">
            <v>7.6000000000000005</v>
          </cell>
          <cell r="G137">
            <v>17</v>
          </cell>
        </row>
        <row r="138">
          <cell r="E138">
            <v>1.5</v>
          </cell>
          <cell r="F138">
            <v>1.2000000000000002</v>
          </cell>
          <cell r="G138">
            <v>30</v>
          </cell>
        </row>
        <row r="139">
          <cell r="E139">
            <v>1.5</v>
          </cell>
          <cell r="F139">
            <v>1.2000000000000002</v>
          </cell>
          <cell r="G139">
            <v>61</v>
          </cell>
        </row>
        <row r="140">
          <cell r="E140">
            <v>1.5</v>
          </cell>
          <cell r="F140">
            <v>1.2000000000000002</v>
          </cell>
          <cell r="G140">
            <v>35</v>
          </cell>
        </row>
        <row r="141">
          <cell r="E141">
            <v>1.5</v>
          </cell>
          <cell r="F141">
            <v>1.2000000000000002</v>
          </cell>
          <cell r="G141">
            <v>38</v>
          </cell>
        </row>
        <row r="142">
          <cell r="E142">
            <v>1.5</v>
          </cell>
          <cell r="F142">
            <v>1.2000000000000002</v>
          </cell>
          <cell r="G142">
            <v>34</v>
          </cell>
        </row>
        <row r="143">
          <cell r="E143">
            <v>1.5</v>
          </cell>
          <cell r="F143">
            <v>1.2000000000000002</v>
          </cell>
          <cell r="G143">
            <v>47</v>
          </cell>
        </row>
        <row r="144">
          <cell r="E144">
            <v>3.75</v>
          </cell>
          <cell r="F144">
            <v>3</v>
          </cell>
          <cell r="G144">
            <v>15</v>
          </cell>
        </row>
        <row r="145">
          <cell r="E145">
            <v>3.75</v>
          </cell>
          <cell r="F145">
            <v>3</v>
          </cell>
          <cell r="G145">
            <v>37</v>
          </cell>
        </row>
        <row r="146">
          <cell r="E146">
            <v>3.75</v>
          </cell>
          <cell r="F146">
            <v>3</v>
          </cell>
          <cell r="G146">
            <v>22</v>
          </cell>
        </row>
        <row r="147">
          <cell r="E147">
            <v>3.75</v>
          </cell>
          <cell r="F147">
            <v>3</v>
          </cell>
          <cell r="G147">
            <v>38</v>
          </cell>
        </row>
        <row r="148">
          <cell r="E148">
            <v>3.75</v>
          </cell>
          <cell r="F148">
            <v>3</v>
          </cell>
          <cell r="G148">
            <v>30</v>
          </cell>
        </row>
        <row r="149">
          <cell r="E149">
            <v>30</v>
          </cell>
          <cell r="F149">
            <v>24</v>
          </cell>
          <cell r="G149">
            <v>0</v>
          </cell>
        </row>
        <row r="150">
          <cell r="E150">
            <v>4.75</v>
          </cell>
          <cell r="F150">
            <v>3.8000000000000003</v>
          </cell>
          <cell r="G150">
            <v>14</v>
          </cell>
        </row>
        <row r="151">
          <cell r="E151">
            <v>4.75</v>
          </cell>
          <cell r="F151">
            <v>3.8000000000000003</v>
          </cell>
          <cell r="G151">
            <v>0</v>
          </cell>
        </row>
        <row r="152">
          <cell r="E152">
            <v>4.75</v>
          </cell>
          <cell r="F152">
            <v>3.8000000000000003</v>
          </cell>
          <cell r="G152">
            <v>21</v>
          </cell>
        </row>
        <row r="153">
          <cell r="E153">
            <v>4.75</v>
          </cell>
          <cell r="F153">
            <v>3.8000000000000003</v>
          </cell>
          <cell r="G153">
            <v>15</v>
          </cell>
        </row>
        <row r="154">
          <cell r="E154">
            <v>4.75</v>
          </cell>
          <cell r="F154">
            <v>3.8000000000000003</v>
          </cell>
          <cell r="G154">
            <v>20</v>
          </cell>
        </row>
        <row r="155">
          <cell r="E155">
            <v>8.5</v>
          </cell>
          <cell r="F155">
            <v>6.8000000000000007</v>
          </cell>
          <cell r="G155">
            <v>33</v>
          </cell>
        </row>
        <row r="156">
          <cell r="E156">
            <v>1</v>
          </cell>
          <cell r="F156">
            <v>0.8</v>
          </cell>
          <cell r="G156">
            <v>200</v>
          </cell>
        </row>
        <row r="157">
          <cell r="E157">
            <v>1.25</v>
          </cell>
          <cell r="F157">
            <v>1</v>
          </cell>
          <cell r="G157">
            <v>1011</v>
          </cell>
        </row>
        <row r="158">
          <cell r="E158">
            <v>3.5</v>
          </cell>
          <cell r="F158">
            <v>2.8000000000000003</v>
          </cell>
          <cell r="G158">
            <v>63</v>
          </cell>
        </row>
        <row r="159">
          <cell r="E159">
            <v>4.25</v>
          </cell>
          <cell r="F159">
            <v>3.4000000000000004</v>
          </cell>
          <cell r="G159">
            <v>4</v>
          </cell>
        </row>
        <row r="160">
          <cell r="E160">
            <v>5.75</v>
          </cell>
          <cell r="F160">
            <v>4.6000000000000005</v>
          </cell>
          <cell r="G160">
            <v>0</v>
          </cell>
        </row>
        <row r="161">
          <cell r="E161">
            <v>1</v>
          </cell>
          <cell r="F161">
            <v>0.8</v>
          </cell>
          <cell r="G161">
            <v>1044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508-7C9F-42F4-A734-FB8C01E11E3B}">
  <sheetPr>
    <pageSetUpPr fitToPage="1"/>
  </sheetPr>
  <dimension ref="A2:C22"/>
  <sheetViews>
    <sheetView zoomScale="70" zoomScaleNormal="70" workbookViewId="0">
      <selection activeCell="A3" sqref="A3:C3"/>
    </sheetView>
  </sheetViews>
  <sheetFormatPr defaultRowHeight="15"/>
  <cols>
    <col min="2" max="2" width="52.140625" customWidth="1"/>
    <col min="3" max="3" width="24.42578125" customWidth="1"/>
  </cols>
  <sheetData>
    <row r="2" spans="1:3" ht="90" customHeight="1"/>
    <row r="3" spans="1:3" ht="33" customHeight="1">
      <c r="A3" s="263">
        <f ca="1">TODAY()</f>
        <v>46123</v>
      </c>
      <c r="B3" s="264"/>
      <c r="C3" s="265"/>
    </row>
    <row r="4" spans="1:3" ht="31.5" customHeight="1">
      <c r="A4" s="266" t="s">
        <v>5257</v>
      </c>
      <c r="B4" s="266"/>
      <c r="C4" s="266"/>
    </row>
    <row r="5" spans="1:3" ht="35.25" customHeight="1"/>
    <row r="6" spans="1:3" ht="22.5" customHeight="1">
      <c r="A6" s="171" t="s">
        <v>4400</v>
      </c>
      <c r="B6" s="171" t="s">
        <v>4401</v>
      </c>
      <c r="C6" s="171" t="s">
        <v>7</v>
      </c>
    </row>
    <row r="7" spans="1:3" ht="30.75" customHeight="1">
      <c r="A7" s="170">
        <v>1</v>
      </c>
      <c r="B7" s="206" t="s">
        <v>5836</v>
      </c>
      <c r="C7" s="172">
        <f>'Steel Store'!$G$66</f>
        <v>44902.184000000001</v>
      </c>
    </row>
    <row r="8" spans="1:3" ht="30.75" customHeight="1">
      <c r="A8" s="209">
        <v>2</v>
      </c>
      <c r="B8" s="207" t="s">
        <v>4431</v>
      </c>
      <c r="C8" s="208">
        <f>'General Store'!$G$407</f>
        <v>42574.228499999997</v>
      </c>
    </row>
    <row r="9" spans="1:3" ht="44.25" customHeight="1">
      <c r="A9" s="170">
        <v>3</v>
      </c>
      <c r="B9" s="206" t="s">
        <v>5258</v>
      </c>
      <c r="C9" s="172">
        <f>'Electrical Equipment Store'!$G$801</f>
        <v>255586.76860000001</v>
      </c>
    </row>
    <row r="10" spans="1:3" ht="30.75" customHeight="1">
      <c r="A10" s="209">
        <v>4</v>
      </c>
      <c r="B10" s="207" t="s">
        <v>5419</v>
      </c>
      <c r="C10" s="208">
        <f>'Plumbing Store'!$G$828</f>
        <v>43779.061999999991</v>
      </c>
    </row>
    <row r="11" spans="1:3" ht="30.75" customHeight="1">
      <c r="A11" s="170">
        <v>5</v>
      </c>
      <c r="B11" s="206" t="s">
        <v>5259</v>
      </c>
      <c r="C11" s="172">
        <f>'PVC Store'!$G$113</f>
        <v>12423.708719999999</v>
      </c>
    </row>
    <row r="12" spans="1:3" ht="30.75" customHeight="1">
      <c r="A12" s="209">
        <v>6</v>
      </c>
      <c r="B12" s="207" t="s">
        <v>1383</v>
      </c>
      <c r="C12" s="208">
        <f>'Paint Store'!$G$140</f>
        <v>109831.15235000002</v>
      </c>
    </row>
    <row r="13" spans="1:3" ht="30.75" customHeight="1">
      <c r="A13" s="170">
        <v>7</v>
      </c>
      <c r="B13" s="206" t="s">
        <v>15</v>
      </c>
      <c r="C13" s="172">
        <f>'AC Unit Store'!$G$75</f>
        <v>23262.530500000001</v>
      </c>
    </row>
    <row r="14" spans="1:3" ht="30.75" customHeight="1">
      <c r="A14" s="209">
        <v>8</v>
      </c>
      <c r="B14" s="207" t="s">
        <v>8</v>
      </c>
      <c r="C14" s="208">
        <f>'Furniture Store'!$G$16</f>
        <v>9534.68</v>
      </c>
    </row>
    <row r="15" spans="1:3" ht="30.75" customHeight="1">
      <c r="A15" s="170">
        <v>9</v>
      </c>
      <c r="B15" s="206" t="s">
        <v>5420</v>
      </c>
      <c r="C15" s="172">
        <f>'Work Tools Store   '!G51</f>
        <v>8571</v>
      </c>
    </row>
    <row r="16" spans="1:3" ht="48" customHeight="1">
      <c r="A16" s="209">
        <v>10</v>
      </c>
      <c r="B16" s="207" t="s">
        <v>5261</v>
      </c>
      <c r="C16" s="208">
        <f>'Sandwich , Plywood ,Vinyl'!$G$181</f>
        <v>105199.63700000002</v>
      </c>
    </row>
    <row r="17" spans="1:3" ht="30.75" customHeight="1">
      <c r="A17" s="170">
        <v>11</v>
      </c>
      <c r="B17" s="206" t="s">
        <v>5260</v>
      </c>
      <c r="C17" s="172">
        <f>'Safety Store'!$G$119</f>
        <v>5068.1623999999993</v>
      </c>
    </row>
    <row r="18" spans="1:3" ht="41.25" customHeight="1">
      <c r="A18" s="209">
        <v>12</v>
      </c>
      <c r="B18" s="207" t="s">
        <v>4193</v>
      </c>
      <c r="C18" s="208">
        <f>'General Construction Store'!$G$111</f>
        <v>46936.0867</v>
      </c>
    </row>
    <row r="19" spans="1:3" ht="34.15" customHeight="1">
      <c r="A19" s="170">
        <v>13</v>
      </c>
      <c r="B19" s="206" t="s">
        <v>4371</v>
      </c>
      <c r="C19" s="172">
        <f>'Cleaning Materials Store '!$G$21</f>
        <v>1076.5230000000001</v>
      </c>
    </row>
    <row r="20" spans="1:3" ht="46.9" customHeight="1">
      <c r="A20" s="209">
        <v>14</v>
      </c>
      <c r="B20" s="207" t="s">
        <v>5830</v>
      </c>
      <c r="C20" s="208">
        <f>'Outside Area Cables'!$H$163</f>
        <v>28455.759999999998</v>
      </c>
    </row>
    <row r="21" spans="1:3" ht="21" customHeight="1"/>
    <row r="22" spans="1:3" ht="26.25" customHeight="1">
      <c r="A22" s="262" t="s">
        <v>7</v>
      </c>
      <c r="B22" s="262"/>
      <c r="C22" s="210">
        <f>SUM(C7:C20)</f>
        <v>737201.48377000017</v>
      </c>
    </row>
  </sheetData>
  <mergeCells count="3">
    <mergeCell ref="A22:B22"/>
    <mergeCell ref="A3:C3"/>
    <mergeCell ref="A4:C4"/>
  </mergeCells>
  <pageMargins left="0.75" right="0.16" top="0.16" bottom="0.16" header="0.16" footer="0.16"/>
  <pageSetup paperSize="9"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CF0E0-415B-49BB-8EE5-B50ED8374E89}">
  <sheetPr codeName="Sheet1">
    <pageSetUpPr fitToPage="1"/>
  </sheetPr>
  <dimension ref="A1:H66"/>
  <sheetViews>
    <sheetView zoomScale="70" zoomScaleNormal="70" workbookViewId="0">
      <selection activeCell="A3" sqref="A3:H3"/>
    </sheetView>
  </sheetViews>
  <sheetFormatPr defaultColWidth="9.140625" defaultRowHeight="23.25"/>
  <cols>
    <col min="1" max="1" width="6.85546875" style="8" customWidth="1"/>
    <col min="2" max="2" width="43.7109375" style="8" customWidth="1"/>
    <col min="3" max="3" width="47.140625" style="8" customWidth="1"/>
    <col min="4" max="4" width="11.42578125" style="8" customWidth="1"/>
    <col min="5" max="5" width="17.140625" style="8" customWidth="1"/>
    <col min="6" max="6" width="21.28515625" style="8" customWidth="1"/>
    <col min="7" max="7" width="21.140625" style="8" customWidth="1"/>
    <col min="8" max="8" width="17.28515625" style="8" customWidth="1"/>
    <col min="9" max="16384" width="9.140625" style="8"/>
  </cols>
  <sheetData>
    <row r="1" spans="1:8" ht="105" customHeight="1"/>
    <row r="2" spans="1:8" ht="33" customHeight="1">
      <c r="A2" s="269">
        <f ca="1">TODAY()</f>
        <v>46123</v>
      </c>
      <c r="B2" s="269"/>
      <c r="C2" s="269"/>
      <c r="D2" s="269"/>
      <c r="E2" s="269"/>
      <c r="F2" s="269"/>
      <c r="G2" s="269"/>
      <c r="H2" s="269"/>
    </row>
    <row r="3" spans="1:8" ht="26.25">
      <c r="A3" s="267" t="s">
        <v>1546</v>
      </c>
      <c r="B3" s="268"/>
      <c r="C3" s="268"/>
      <c r="D3" s="268"/>
      <c r="E3" s="268"/>
      <c r="F3" s="268"/>
      <c r="G3" s="268"/>
      <c r="H3" s="268"/>
    </row>
    <row r="4" spans="1:8" ht="48" customHeight="1">
      <c r="A4" s="9" t="s">
        <v>0</v>
      </c>
      <c r="B4" s="10" t="s">
        <v>1</v>
      </c>
      <c r="C4" s="10" t="s">
        <v>2</v>
      </c>
      <c r="D4" s="10" t="s">
        <v>3</v>
      </c>
      <c r="E4" s="10" t="s">
        <v>4</v>
      </c>
      <c r="F4" s="10" t="s">
        <v>5</v>
      </c>
      <c r="G4" s="10" t="s">
        <v>6</v>
      </c>
      <c r="H4" s="10" t="s">
        <v>1551</v>
      </c>
    </row>
    <row r="5" spans="1:8" ht="38.25" customHeight="1">
      <c r="A5" s="11">
        <v>1</v>
      </c>
      <c r="B5" s="12" t="s">
        <v>1569</v>
      </c>
      <c r="C5" s="12" t="s">
        <v>1570</v>
      </c>
      <c r="D5" s="13" t="s">
        <v>1584</v>
      </c>
      <c r="E5" s="14">
        <f>[1]Summary!E4</f>
        <v>9.5</v>
      </c>
      <c r="F5" s="243">
        <f>[1]Summary!F4</f>
        <v>0</v>
      </c>
      <c r="G5" s="15">
        <f t="shared" ref="G5:G36" si="0">E5*F5</f>
        <v>0</v>
      </c>
      <c r="H5" s="15"/>
    </row>
    <row r="6" spans="1:8">
      <c r="A6" s="21">
        <v>2</v>
      </c>
      <c r="B6" s="22" t="s">
        <v>5208</v>
      </c>
      <c r="C6" s="22" t="s">
        <v>5209</v>
      </c>
      <c r="D6" s="23" t="s">
        <v>1584</v>
      </c>
      <c r="E6" s="24">
        <f>[1]Summary!E5</f>
        <v>12</v>
      </c>
      <c r="F6" s="244">
        <f>[1]Summary!F5</f>
        <v>0</v>
      </c>
      <c r="G6" s="26">
        <f t="shared" si="0"/>
        <v>0</v>
      </c>
      <c r="H6" s="26"/>
    </row>
    <row r="7" spans="1:8">
      <c r="A7" s="11">
        <v>3</v>
      </c>
      <c r="B7" s="12" t="s">
        <v>5210</v>
      </c>
      <c r="C7" s="12" t="s">
        <v>5211</v>
      </c>
      <c r="D7" s="13" t="s">
        <v>1584</v>
      </c>
      <c r="E7" s="14">
        <f>[1]Summary!E6</f>
        <v>19</v>
      </c>
      <c r="F7" s="243">
        <f>[1]Summary!F6</f>
        <v>0</v>
      </c>
      <c r="G7" s="15">
        <f t="shared" si="0"/>
        <v>0</v>
      </c>
      <c r="H7" s="15"/>
    </row>
    <row r="8" spans="1:8">
      <c r="A8" s="21">
        <v>4</v>
      </c>
      <c r="B8" s="22" t="s">
        <v>5212</v>
      </c>
      <c r="C8" s="22" t="s">
        <v>5213</v>
      </c>
      <c r="D8" s="23" t="s">
        <v>1584</v>
      </c>
      <c r="E8" s="24">
        <f>[1]Summary!E7</f>
        <v>40</v>
      </c>
      <c r="F8" s="244">
        <f>[1]Summary!F7</f>
        <v>0</v>
      </c>
      <c r="G8" s="26">
        <f t="shared" si="0"/>
        <v>0</v>
      </c>
      <c r="H8" s="26"/>
    </row>
    <row r="9" spans="1:8">
      <c r="A9" s="11">
        <v>5</v>
      </c>
      <c r="B9" s="12" t="s">
        <v>1572</v>
      </c>
      <c r="C9" s="12" t="s">
        <v>1573</v>
      </c>
      <c r="D9" s="13" t="s">
        <v>1584</v>
      </c>
      <c r="E9" s="14">
        <f>[1]Summary!E8</f>
        <v>78</v>
      </c>
      <c r="F9" s="243">
        <f>[1]Summary!F8</f>
        <v>0.2979999999999996</v>
      </c>
      <c r="G9" s="15">
        <f t="shared" si="0"/>
        <v>23.243999999999968</v>
      </c>
      <c r="H9" s="15"/>
    </row>
    <row r="10" spans="1:8" ht="42">
      <c r="A10" s="21">
        <v>6</v>
      </c>
      <c r="B10" s="22" t="s">
        <v>1567</v>
      </c>
      <c r="C10" s="22" t="s">
        <v>1568</v>
      </c>
      <c r="D10" s="23" t="s">
        <v>1584</v>
      </c>
      <c r="E10" s="24">
        <f>[1]Summary!E9</f>
        <v>4</v>
      </c>
      <c r="F10" s="244">
        <f>[1]Summary!F9</f>
        <v>0</v>
      </c>
      <c r="G10" s="26">
        <f t="shared" si="0"/>
        <v>0</v>
      </c>
      <c r="H10" s="26"/>
    </row>
    <row r="11" spans="1:8">
      <c r="A11" s="11">
        <v>7</v>
      </c>
      <c r="B11" s="12" t="s">
        <v>1578</v>
      </c>
      <c r="C11" s="12" t="s">
        <v>5214</v>
      </c>
      <c r="D11" s="13" t="s">
        <v>1584</v>
      </c>
      <c r="E11" s="14">
        <f>[1]Summary!E10</f>
        <v>13.5</v>
      </c>
      <c r="F11" s="243">
        <f>[1]Summary!F10</f>
        <v>0</v>
      </c>
      <c r="G11" s="15">
        <f t="shared" si="0"/>
        <v>0</v>
      </c>
      <c r="H11" s="15"/>
    </row>
    <row r="12" spans="1:8">
      <c r="A12" s="21">
        <v>8</v>
      </c>
      <c r="B12" s="22" t="s">
        <v>5215</v>
      </c>
      <c r="C12" s="22" t="s">
        <v>5216</v>
      </c>
      <c r="D12" s="23" t="s">
        <v>1584</v>
      </c>
      <c r="E12" s="24">
        <f>[1]Summary!E11</f>
        <v>19</v>
      </c>
      <c r="F12" s="244">
        <f>[1]Summary!F11</f>
        <v>0</v>
      </c>
      <c r="G12" s="26">
        <f t="shared" si="0"/>
        <v>0</v>
      </c>
      <c r="H12" s="26"/>
    </row>
    <row r="13" spans="1:8">
      <c r="A13" s="11">
        <v>9</v>
      </c>
      <c r="B13" s="12" t="s">
        <v>1579</v>
      </c>
      <c r="C13" s="12" t="s">
        <v>5217</v>
      </c>
      <c r="D13" s="13" t="s">
        <v>1584</v>
      </c>
      <c r="E13" s="14">
        <f>[1]Summary!E12</f>
        <v>22</v>
      </c>
      <c r="F13" s="243">
        <f>[1]Summary!F12</f>
        <v>0</v>
      </c>
      <c r="G13" s="15">
        <f t="shared" si="0"/>
        <v>0</v>
      </c>
      <c r="H13" s="15"/>
    </row>
    <row r="14" spans="1:8">
      <c r="A14" s="21">
        <v>10</v>
      </c>
      <c r="B14" s="22" t="s">
        <v>1585</v>
      </c>
      <c r="C14" s="22" t="s">
        <v>1586</v>
      </c>
      <c r="D14" s="23" t="s">
        <v>1584</v>
      </c>
      <c r="E14" s="24">
        <f>[1]Summary!E13</f>
        <v>12</v>
      </c>
      <c r="F14" s="244">
        <f>[1]Summary!F13</f>
        <v>0</v>
      </c>
      <c r="G14" s="26">
        <f t="shared" si="0"/>
        <v>0</v>
      </c>
      <c r="H14" s="26"/>
    </row>
    <row r="15" spans="1:8">
      <c r="A15" s="11">
        <v>11</v>
      </c>
      <c r="B15" s="12" t="s">
        <v>1583</v>
      </c>
      <c r="C15" s="12" t="s">
        <v>1550</v>
      </c>
      <c r="D15" s="13" t="s">
        <v>1584</v>
      </c>
      <c r="E15" s="14">
        <f>[1]Summary!E14</f>
        <v>35</v>
      </c>
      <c r="F15" s="243">
        <f>[1]Summary!F14</f>
        <v>1.25</v>
      </c>
      <c r="G15" s="15">
        <f t="shared" si="0"/>
        <v>43.75</v>
      </c>
      <c r="H15" s="15"/>
    </row>
    <row r="16" spans="1:8">
      <c r="A16" s="21">
        <v>12</v>
      </c>
      <c r="B16" s="22" t="s">
        <v>1582</v>
      </c>
      <c r="C16" s="22" t="s">
        <v>1549</v>
      </c>
      <c r="D16" s="23" t="s">
        <v>1584</v>
      </c>
      <c r="E16" s="24">
        <f>[1]Summary!E15</f>
        <v>245</v>
      </c>
      <c r="F16" s="244">
        <f>[1]Summary!F15</f>
        <v>0.35</v>
      </c>
      <c r="G16" s="26">
        <f t="shared" si="0"/>
        <v>85.75</v>
      </c>
      <c r="H16" s="26"/>
    </row>
    <row r="17" spans="1:8">
      <c r="A17" s="11">
        <v>13</v>
      </c>
      <c r="B17" s="12" t="s">
        <v>1581</v>
      </c>
      <c r="C17" s="12" t="s">
        <v>1548</v>
      </c>
      <c r="D17" s="13" t="s">
        <v>1584</v>
      </c>
      <c r="E17" s="14">
        <f>[1]Summary!E16</f>
        <v>380</v>
      </c>
      <c r="F17" s="243">
        <f>[1]Summary!F16</f>
        <v>0</v>
      </c>
      <c r="G17" s="15">
        <f t="shared" si="0"/>
        <v>0</v>
      </c>
      <c r="H17" s="15"/>
    </row>
    <row r="18" spans="1:8">
      <c r="A18" s="21">
        <v>14</v>
      </c>
      <c r="B18" s="22" t="s">
        <v>1580</v>
      </c>
      <c r="C18" s="22" t="s">
        <v>1547</v>
      </c>
      <c r="D18" s="23" t="s">
        <v>1584</v>
      </c>
      <c r="E18" s="24">
        <f>[1]Summary!E17</f>
        <v>475</v>
      </c>
      <c r="F18" s="244">
        <f>[1]Summary!F17</f>
        <v>0.35</v>
      </c>
      <c r="G18" s="26">
        <f t="shared" si="0"/>
        <v>166.25</v>
      </c>
      <c r="H18" s="26"/>
    </row>
    <row r="19" spans="1:8">
      <c r="A19" s="11">
        <v>15</v>
      </c>
      <c r="B19" s="12" t="s">
        <v>1576</v>
      </c>
      <c r="C19" s="12" t="s">
        <v>5218</v>
      </c>
      <c r="D19" s="13" t="s">
        <v>1584</v>
      </c>
      <c r="E19" s="14">
        <f>[1]Summary!E18</f>
        <v>56</v>
      </c>
      <c r="F19" s="243">
        <f>[1]Summary!F18</f>
        <v>0</v>
      </c>
      <c r="G19" s="15">
        <f t="shared" si="0"/>
        <v>0</v>
      </c>
      <c r="H19" s="15"/>
    </row>
    <row r="20" spans="1:8">
      <c r="A20" s="21">
        <v>16</v>
      </c>
      <c r="B20" s="22" t="s">
        <v>1575</v>
      </c>
      <c r="C20" s="22" t="s">
        <v>5219</v>
      </c>
      <c r="D20" s="23" t="s">
        <v>1584</v>
      </c>
      <c r="E20" s="24">
        <f>[1]Summary!E19</f>
        <v>74</v>
      </c>
      <c r="F20" s="244">
        <f>[1]Summary!F19</f>
        <v>3</v>
      </c>
      <c r="G20" s="26">
        <f t="shared" si="0"/>
        <v>222</v>
      </c>
      <c r="H20" s="26"/>
    </row>
    <row r="21" spans="1:8">
      <c r="A21" s="11">
        <v>17</v>
      </c>
      <c r="B21" s="12" t="s">
        <v>1574</v>
      </c>
      <c r="C21" s="12" t="s">
        <v>5220</v>
      </c>
      <c r="D21" s="13" t="s">
        <v>1584</v>
      </c>
      <c r="E21" s="14">
        <f>[1]Summary!E20</f>
        <v>100</v>
      </c>
      <c r="F21" s="243">
        <f>[1]Summary!F20</f>
        <v>1.3399999999999999</v>
      </c>
      <c r="G21" s="15">
        <f t="shared" si="0"/>
        <v>134</v>
      </c>
      <c r="H21" s="15"/>
    </row>
    <row r="22" spans="1:8">
      <c r="A22" s="21">
        <v>18</v>
      </c>
      <c r="B22" s="22" t="s">
        <v>5221</v>
      </c>
      <c r="C22" s="22" t="s">
        <v>5222</v>
      </c>
      <c r="D22" s="23" t="s">
        <v>1584</v>
      </c>
      <c r="E22" s="24">
        <f>[1]Summary!E21</f>
        <v>275</v>
      </c>
      <c r="F22" s="244">
        <f>[1]Summary!F21</f>
        <v>1</v>
      </c>
      <c r="G22" s="26">
        <f t="shared" si="0"/>
        <v>275</v>
      </c>
      <c r="H22" s="26"/>
    </row>
    <row r="23" spans="1:8">
      <c r="A23" s="11">
        <v>19</v>
      </c>
      <c r="B23" s="12" t="s">
        <v>1577</v>
      </c>
      <c r="C23" s="12" t="s">
        <v>5223</v>
      </c>
      <c r="D23" s="13" t="s">
        <v>1584</v>
      </c>
      <c r="E23" s="14">
        <f>[1]Summary!E22</f>
        <v>38</v>
      </c>
      <c r="F23" s="243">
        <f>[1]Summary!F22</f>
        <v>0</v>
      </c>
      <c r="G23" s="15">
        <f t="shared" si="0"/>
        <v>0</v>
      </c>
      <c r="H23" s="15"/>
    </row>
    <row r="24" spans="1:8">
      <c r="A24" s="21">
        <v>20</v>
      </c>
      <c r="B24" s="22" t="s">
        <v>5224</v>
      </c>
      <c r="C24" s="22" t="s">
        <v>5225</v>
      </c>
      <c r="D24" s="23" t="s">
        <v>1584</v>
      </c>
      <c r="E24" s="24">
        <f>[1]Summary!E23</f>
        <v>42</v>
      </c>
      <c r="F24" s="244">
        <f>[1]Summary!F23</f>
        <v>10</v>
      </c>
      <c r="G24" s="26">
        <f t="shared" si="0"/>
        <v>420</v>
      </c>
      <c r="H24" s="26"/>
    </row>
    <row r="25" spans="1:8" ht="42">
      <c r="A25" s="11">
        <v>21</v>
      </c>
      <c r="B25" s="12" t="s">
        <v>1589</v>
      </c>
      <c r="C25" s="12" t="s">
        <v>1590</v>
      </c>
      <c r="D25" s="13" t="s">
        <v>1584</v>
      </c>
      <c r="E25" s="14">
        <f>[1]Summary!E24</f>
        <v>82</v>
      </c>
      <c r="F25" s="243">
        <f>[1]Summary!F24</f>
        <v>15</v>
      </c>
      <c r="G25" s="15">
        <f t="shared" si="0"/>
        <v>1230</v>
      </c>
      <c r="H25" s="15"/>
    </row>
    <row r="26" spans="1:8" ht="42">
      <c r="A26" s="21">
        <v>22</v>
      </c>
      <c r="B26" s="22" t="s">
        <v>1591</v>
      </c>
      <c r="C26" s="22" t="s">
        <v>1592</v>
      </c>
      <c r="D26" s="23" t="s">
        <v>1584</v>
      </c>
      <c r="E26" s="24">
        <f>[1]Summary!E25</f>
        <v>40</v>
      </c>
      <c r="F26" s="244">
        <f>[1]Summary!F25</f>
        <v>0</v>
      </c>
      <c r="G26" s="26">
        <f t="shared" si="0"/>
        <v>0</v>
      </c>
      <c r="H26" s="26"/>
    </row>
    <row r="27" spans="1:8" ht="42">
      <c r="A27" s="11">
        <v>23</v>
      </c>
      <c r="B27" s="12" t="s">
        <v>1596</v>
      </c>
      <c r="C27" s="12" t="s">
        <v>1597</v>
      </c>
      <c r="D27" s="13" t="s">
        <v>1584</v>
      </c>
      <c r="E27" s="14">
        <f>[1]Summary!E26</f>
        <v>79</v>
      </c>
      <c r="F27" s="243">
        <f>[1]Summary!F26</f>
        <v>8</v>
      </c>
      <c r="G27" s="15">
        <f t="shared" si="0"/>
        <v>632</v>
      </c>
      <c r="H27" s="15"/>
    </row>
    <row r="28" spans="1:8" ht="42">
      <c r="A28" s="21">
        <v>24</v>
      </c>
      <c r="B28" s="22" t="s">
        <v>1589</v>
      </c>
      <c r="C28" s="22" t="s">
        <v>1593</v>
      </c>
      <c r="D28" s="23" t="s">
        <v>1584</v>
      </c>
      <c r="E28" s="24">
        <f>[1]Summary!E27</f>
        <v>36</v>
      </c>
      <c r="F28" s="244">
        <f>[1]Summary!F27</f>
        <v>12.5</v>
      </c>
      <c r="G28" s="26">
        <f t="shared" si="0"/>
        <v>450</v>
      </c>
      <c r="H28" s="26"/>
    </row>
    <row r="29" spans="1:8">
      <c r="A29" s="11">
        <v>25</v>
      </c>
      <c r="B29" s="12" t="s">
        <v>1598</v>
      </c>
      <c r="C29" s="12" t="s">
        <v>1599</v>
      </c>
      <c r="D29" s="13" t="s">
        <v>1584</v>
      </c>
      <c r="E29" s="14">
        <f>[1]Summary!E28</f>
        <v>59</v>
      </c>
      <c r="F29" s="243">
        <f>[1]Summary!F28</f>
        <v>30</v>
      </c>
      <c r="G29" s="15">
        <f t="shared" si="0"/>
        <v>1770</v>
      </c>
      <c r="H29" s="15"/>
    </row>
    <row r="30" spans="1:8">
      <c r="A30" s="21">
        <v>26</v>
      </c>
      <c r="B30" s="22" t="s">
        <v>1594</v>
      </c>
      <c r="C30" s="22" t="s">
        <v>1595</v>
      </c>
      <c r="D30" s="23" t="s">
        <v>1584</v>
      </c>
      <c r="E30" s="24">
        <f>[1]Summary!E29</f>
        <v>41</v>
      </c>
      <c r="F30" s="244">
        <f>[1]Summary!F29</f>
        <v>56</v>
      </c>
      <c r="G30" s="26">
        <f t="shared" si="0"/>
        <v>2296</v>
      </c>
      <c r="H30" s="26"/>
    </row>
    <row r="31" spans="1:8">
      <c r="A31" s="11">
        <v>27</v>
      </c>
      <c r="B31" s="12" t="s">
        <v>5226</v>
      </c>
      <c r="C31" s="12" t="s">
        <v>5227</v>
      </c>
      <c r="D31" s="13" t="s">
        <v>1584</v>
      </c>
      <c r="E31" s="14">
        <f>[1]Summary!E30</f>
        <v>25</v>
      </c>
      <c r="F31" s="243">
        <f>[1]Summary!F30</f>
        <v>10</v>
      </c>
      <c r="G31" s="15">
        <f t="shared" si="0"/>
        <v>250</v>
      </c>
      <c r="H31" s="15"/>
    </row>
    <row r="32" spans="1:8">
      <c r="A32" s="21">
        <v>28</v>
      </c>
      <c r="B32" s="22" t="s">
        <v>1587</v>
      </c>
      <c r="C32" s="22" t="s">
        <v>1588</v>
      </c>
      <c r="D32" s="23" t="s">
        <v>1584</v>
      </c>
      <c r="E32" s="24">
        <f>[1]Summary!E31</f>
        <v>2.5</v>
      </c>
      <c r="F32" s="244">
        <f>[1]Summary!F31</f>
        <v>32</v>
      </c>
      <c r="G32" s="26">
        <f t="shared" si="0"/>
        <v>80</v>
      </c>
      <c r="H32" s="26"/>
    </row>
    <row r="33" spans="1:8" ht="21.75" customHeight="1">
      <c r="A33" s="11">
        <v>29</v>
      </c>
      <c r="B33" s="12" t="s">
        <v>5228</v>
      </c>
      <c r="C33" s="12" t="s">
        <v>5229</v>
      </c>
      <c r="D33" s="13" t="s">
        <v>1584</v>
      </c>
      <c r="E33" s="14">
        <f>[1]Summary!E32</f>
        <v>29.5</v>
      </c>
      <c r="F33" s="243">
        <f>[1]Summary!F32</f>
        <v>8</v>
      </c>
      <c r="G33" s="15">
        <f t="shared" si="0"/>
        <v>236</v>
      </c>
      <c r="H33" s="15"/>
    </row>
    <row r="34" spans="1:8" ht="21.75" customHeight="1">
      <c r="A34" s="21">
        <v>30</v>
      </c>
      <c r="B34" s="22" t="s">
        <v>1554</v>
      </c>
      <c r="C34" s="22" t="s">
        <v>5230</v>
      </c>
      <c r="D34" s="23" t="s">
        <v>1584</v>
      </c>
      <c r="E34" s="24">
        <f>[1]Summary!E33</f>
        <v>48</v>
      </c>
      <c r="F34" s="244">
        <f>[1]Summary!F33</f>
        <v>0</v>
      </c>
      <c r="G34" s="26">
        <f t="shared" si="0"/>
        <v>0</v>
      </c>
      <c r="H34" s="26"/>
    </row>
    <row r="35" spans="1:8" ht="21.75" customHeight="1">
      <c r="A35" s="11">
        <v>31</v>
      </c>
      <c r="B35" s="12" t="s">
        <v>1552</v>
      </c>
      <c r="C35" s="12" t="s">
        <v>5231</v>
      </c>
      <c r="D35" s="13" t="s">
        <v>1584</v>
      </c>
      <c r="E35" s="14">
        <f>[1]Summary!E34</f>
        <v>64</v>
      </c>
      <c r="F35" s="243">
        <f>[1]Summary!F34</f>
        <v>0</v>
      </c>
      <c r="G35" s="15">
        <f t="shared" si="0"/>
        <v>0</v>
      </c>
      <c r="H35" s="15"/>
    </row>
    <row r="36" spans="1:8" ht="21.75" customHeight="1">
      <c r="A36" s="21">
        <v>32</v>
      </c>
      <c r="B36" s="22" t="s">
        <v>1566</v>
      </c>
      <c r="C36" s="22" t="s">
        <v>5232</v>
      </c>
      <c r="D36" s="23" t="s">
        <v>1584</v>
      </c>
      <c r="E36" s="24">
        <f>[1]Summary!E35</f>
        <v>83</v>
      </c>
      <c r="F36" s="244">
        <f>[1]Summary!F35</f>
        <v>0</v>
      </c>
      <c r="G36" s="26">
        <f t="shared" si="0"/>
        <v>0</v>
      </c>
      <c r="H36" s="26"/>
    </row>
    <row r="37" spans="1:8" ht="21.75" customHeight="1">
      <c r="A37" s="11">
        <v>33</v>
      </c>
      <c r="B37" s="12" t="s">
        <v>1563</v>
      </c>
      <c r="C37" s="12" t="s">
        <v>5233</v>
      </c>
      <c r="D37" s="13" t="s">
        <v>1584</v>
      </c>
      <c r="E37" s="14">
        <f>[1]Summary!E36</f>
        <v>67</v>
      </c>
      <c r="F37" s="243">
        <f>[1]Summary!F36</f>
        <v>0</v>
      </c>
      <c r="G37" s="15">
        <f t="shared" ref="G37:G64" si="1">E37*F37</f>
        <v>0</v>
      </c>
      <c r="H37" s="15"/>
    </row>
    <row r="38" spans="1:8" ht="21.75" customHeight="1">
      <c r="A38" s="21">
        <v>34</v>
      </c>
      <c r="B38" s="22" t="s">
        <v>1564</v>
      </c>
      <c r="C38" s="22" t="s">
        <v>5234</v>
      </c>
      <c r="D38" s="23" t="s">
        <v>1584</v>
      </c>
      <c r="E38" s="24">
        <f>[1]Summary!E37</f>
        <v>83</v>
      </c>
      <c r="F38" s="244">
        <f>[1]Summary!F37</f>
        <v>1</v>
      </c>
      <c r="G38" s="26">
        <f t="shared" si="1"/>
        <v>83</v>
      </c>
      <c r="H38" s="26"/>
    </row>
    <row r="39" spans="1:8" ht="21.75" customHeight="1">
      <c r="A39" s="11">
        <v>35</v>
      </c>
      <c r="B39" s="12" t="s">
        <v>5235</v>
      </c>
      <c r="C39" s="12" t="s">
        <v>5236</v>
      </c>
      <c r="D39" s="13" t="s">
        <v>1584</v>
      </c>
      <c r="E39" s="14">
        <f>[1]Summary!E38</f>
        <v>8</v>
      </c>
      <c r="F39" s="243">
        <f>[1]Summary!F38</f>
        <v>6</v>
      </c>
      <c r="G39" s="15">
        <f t="shared" si="1"/>
        <v>48</v>
      </c>
      <c r="H39" s="15"/>
    </row>
    <row r="40" spans="1:8" ht="21.75" customHeight="1">
      <c r="A40" s="21">
        <v>36</v>
      </c>
      <c r="B40" s="22" t="s">
        <v>1562</v>
      </c>
      <c r="C40" s="22" t="s">
        <v>5237</v>
      </c>
      <c r="D40" s="23" t="s">
        <v>1584</v>
      </c>
      <c r="E40" s="24">
        <f>[1]Summary!E39</f>
        <v>93</v>
      </c>
      <c r="F40" s="244">
        <f>[1]Summary!F39</f>
        <v>0</v>
      </c>
      <c r="G40" s="26">
        <f t="shared" si="1"/>
        <v>0</v>
      </c>
      <c r="H40" s="26"/>
    </row>
    <row r="41" spans="1:8" ht="21.75" customHeight="1">
      <c r="A41" s="11">
        <v>37</v>
      </c>
      <c r="B41" s="12" t="s">
        <v>1565</v>
      </c>
      <c r="C41" s="12" t="s">
        <v>5238</v>
      </c>
      <c r="D41" s="13" t="s">
        <v>1584</v>
      </c>
      <c r="E41" s="14">
        <f>[1]Summary!E40</f>
        <v>125</v>
      </c>
      <c r="F41" s="243">
        <f>[1]Summary!F40</f>
        <v>1</v>
      </c>
      <c r="G41" s="15">
        <f t="shared" si="1"/>
        <v>125</v>
      </c>
      <c r="H41" s="15"/>
    </row>
    <row r="42" spans="1:8" ht="21.75" customHeight="1">
      <c r="A42" s="21">
        <v>38</v>
      </c>
      <c r="B42" s="22" t="s">
        <v>1556</v>
      </c>
      <c r="C42" s="22" t="s">
        <v>5239</v>
      </c>
      <c r="D42" s="23" t="s">
        <v>1584</v>
      </c>
      <c r="E42" s="24">
        <f>[1]Summary!E41</f>
        <v>10</v>
      </c>
      <c r="F42" s="244">
        <f>[1]Summary!F41</f>
        <v>1.67</v>
      </c>
      <c r="G42" s="26">
        <f t="shared" si="1"/>
        <v>16.7</v>
      </c>
      <c r="H42" s="26"/>
    </row>
    <row r="43" spans="1:8" ht="21.75" customHeight="1">
      <c r="A43" s="11">
        <v>39</v>
      </c>
      <c r="B43" s="12" t="s">
        <v>1557</v>
      </c>
      <c r="C43" s="12" t="s">
        <v>5240</v>
      </c>
      <c r="D43" s="13" t="s">
        <v>1584</v>
      </c>
      <c r="E43" s="14">
        <f>[1]Summary!E42</f>
        <v>13.5</v>
      </c>
      <c r="F43" s="243">
        <f>[1]Summary!F42</f>
        <v>0</v>
      </c>
      <c r="G43" s="15">
        <f t="shared" si="1"/>
        <v>0</v>
      </c>
      <c r="H43" s="15"/>
    </row>
    <row r="44" spans="1:8" ht="21.75" customHeight="1">
      <c r="A44" s="21">
        <v>40</v>
      </c>
      <c r="B44" s="22" t="s">
        <v>1558</v>
      </c>
      <c r="C44" s="22" t="s">
        <v>5241</v>
      </c>
      <c r="D44" s="23" t="s">
        <v>1584</v>
      </c>
      <c r="E44" s="24">
        <f>[1]Summary!E43</f>
        <v>28</v>
      </c>
      <c r="F44" s="244">
        <f>[1]Summary!F43</f>
        <v>0.44999999999999574</v>
      </c>
      <c r="G44" s="26">
        <f t="shared" si="1"/>
        <v>12.599999999999881</v>
      </c>
      <c r="H44" s="26"/>
    </row>
    <row r="45" spans="1:8" ht="21.75" customHeight="1">
      <c r="A45" s="11">
        <v>41</v>
      </c>
      <c r="B45" s="12" t="s">
        <v>5242</v>
      </c>
      <c r="C45" s="12" t="s">
        <v>5243</v>
      </c>
      <c r="D45" s="13" t="s">
        <v>1584</v>
      </c>
      <c r="E45" s="14">
        <f>[1]Summary!E44</f>
        <v>21</v>
      </c>
      <c r="F45" s="243">
        <f>[1]Summary!F44</f>
        <v>0</v>
      </c>
      <c r="G45" s="15">
        <f t="shared" si="1"/>
        <v>0</v>
      </c>
      <c r="H45" s="15"/>
    </row>
    <row r="46" spans="1:8" ht="21.75" customHeight="1">
      <c r="A46" s="21">
        <v>42</v>
      </c>
      <c r="B46" s="22" t="s">
        <v>1555</v>
      </c>
      <c r="C46" s="22" t="s">
        <v>5244</v>
      </c>
      <c r="D46" s="23" t="s">
        <v>1584</v>
      </c>
      <c r="E46" s="24">
        <f>[1]Summary!E45</f>
        <v>33</v>
      </c>
      <c r="F46" s="244">
        <f>[1]Summary!F45</f>
        <v>3</v>
      </c>
      <c r="G46" s="26">
        <f t="shared" si="1"/>
        <v>99</v>
      </c>
      <c r="H46" s="26"/>
    </row>
    <row r="47" spans="1:8" ht="21.75" customHeight="1">
      <c r="A47" s="11">
        <v>43</v>
      </c>
      <c r="B47" s="12" t="s">
        <v>1553</v>
      </c>
      <c r="C47" s="12" t="s">
        <v>5245</v>
      </c>
      <c r="D47" s="13" t="s">
        <v>1584</v>
      </c>
      <c r="E47" s="14">
        <f>[1]Summary!E46</f>
        <v>45</v>
      </c>
      <c r="F47" s="243">
        <f>[1]Summary!F46</f>
        <v>257</v>
      </c>
      <c r="G47" s="15">
        <f t="shared" si="1"/>
        <v>11565</v>
      </c>
      <c r="H47" s="15"/>
    </row>
    <row r="48" spans="1:8" ht="21.75" customHeight="1">
      <c r="A48" s="21">
        <v>44</v>
      </c>
      <c r="B48" s="22" t="s">
        <v>1560</v>
      </c>
      <c r="C48" s="22" t="s">
        <v>5246</v>
      </c>
      <c r="D48" s="23" t="s">
        <v>1584</v>
      </c>
      <c r="E48" s="24">
        <f>[1]Summary!E47</f>
        <v>14.5</v>
      </c>
      <c r="F48" s="244">
        <f>[1]Summary!F47</f>
        <v>0</v>
      </c>
      <c r="G48" s="26">
        <f t="shared" si="1"/>
        <v>0</v>
      </c>
      <c r="H48" s="26"/>
    </row>
    <row r="49" spans="1:8" ht="21.75" customHeight="1">
      <c r="A49" s="11">
        <v>45</v>
      </c>
      <c r="B49" s="12" t="s">
        <v>1559</v>
      </c>
      <c r="C49" s="12" t="s">
        <v>5247</v>
      </c>
      <c r="D49" s="13" t="s">
        <v>1584</v>
      </c>
      <c r="E49" s="14">
        <f>[1]Summary!E48</f>
        <v>45</v>
      </c>
      <c r="F49" s="243">
        <f>[1]Summary!F48</f>
        <v>26</v>
      </c>
      <c r="G49" s="15">
        <f t="shared" si="1"/>
        <v>1170</v>
      </c>
      <c r="H49" s="15"/>
    </row>
    <row r="50" spans="1:8" ht="21.75" customHeight="1">
      <c r="A50" s="21">
        <v>46</v>
      </c>
      <c r="B50" s="22" t="s">
        <v>5248</v>
      </c>
      <c r="C50" s="22" t="s">
        <v>5249</v>
      </c>
      <c r="D50" s="23" t="s">
        <v>1584</v>
      </c>
      <c r="E50" s="24">
        <f>[1]Summary!E49</f>
        <v>19</v>
      </c>
      <c r="F50" s="244">
        <f>[1]Summary!F49</f>
        <v>0</v>
      </c>
      <c r="G50" s="26">
        <f t="shared" si="1"/>
        <v>0</v>
      </c>
      <c r="H50" s="26"/>
    </row>
    <row r="51" spans="1:8" ht="21.75" customHeight="1">
      <c r="A51" s="11">
        <v>47</v>
      </c>
      <c r="B51" s="12" t="s">
        <v>5250</v>
      </c>
      <c r="C51" s="12" t="s">
        <v>5251</v>
      </c>
      <c r="D51" s="13" t="s">
        <v>1584</v>
      </c>
      <c r="E51" s="14">
        <f>[1]Summary!E50</f>
        <v>41</v>
      </c>
      <c r="F51" s="243">
        <f>[1]Summary!F50</f>
        <v>0</v>
      </c>
      <c r="G51" s="15">
        <f t="shared" si="1"/>
        <v>0</v>
      </c>
      <c r="H51" s="15"/>
    </row>
    <row r="52" spans="1:8" ht="21.75" customHeight="1">
      <c r="A52" s="21">
        <v>48</v>
      </c>
      <c r="B52" s="22" t="s">
        <v>1571</v>
      </c>
      <c r="C52" s="22" t="s">
        <v>5252</v>
      </c>
      <c r="D52" s="23" t="s">
        <v>1584</v>
      </c>
      <c r="E52" s="24">
        <f>[1]Summary!E51</f>
        <v>14</v>
      </c>
      <c r="F52" s="244">
        <f>[1]Summary!F51</f>
        <v>3</v>
      </c>
      <c r="G52" s="26">
        <f t="shared" si="1"/>
        <v>42</v>
      </c>
      <c r="H52" s="26"/>
    </row>
    <row r="53" spans="1:8" ht="21.75" customHeight="1">
      <c r="A53" s="11">
        <v>49</v>
      </c>
      <c r="B53" s="12" t="s">
        <v>5253</v>
      </c>
      <c r="C53" s="12" t="s">
        <v>5254</v>
      </c>
      <c r="D53" s="13" t="s">
        <v>1584</v>
      </c>
      <c r="E53" s="14">
        <f>[1]Summary!E52</f>
        <v>25</v>
      </c>
      <c r="F53" s="243">
        <f>[1]Summary!F52</f>
        <v>0</v>
      </c>
      <c r="G53" s="15">
        <f t="shared" si="1"/>
        <v>0</v>
      </c>
      <c r="H53" s="15"/>
    </row>
    <row r="54" spans="1:8" ht="21.75" customHeight="1">
      <c r="A54" s="21">
        <v>50</v>
      </c>
      <c r="B54" s="22" t="s">
        <v>1561</v>
      </c>
      <c r="C54" s="22" t="s">
        <v>5255</v>
      </c>
      <c r="D54" s="23" t="s">
        <v>1584</v>
      </c>
      <c r="E54" s="24">
        <f>[1]Summary!E53</f>
        <v>38</v>
      </c>
      <c r="F54" s="244">
        <f>[1]Summary!F53</f>
        <v>0.5</v>
      </c>
      <c r="G54" s="26">
        <f t="shared" si="1"/>
        <v>19</v>
      </c>
      <c r="H54" s="26"/>
    </row>
    <row r="55" spans="1:8" ht="22.5" customHeight="1">
      <c r="A55" s="11">
        <v>51</v>
      </c>
      <c r="B55" s="12" t="s">
        <v>3629</v>
      </c>
      <c r="C55" s="12" t="s">
        <v>3630</v>
      </c>
      <c r="D55" s="13" t="s">
        <v>3631</v>
      </c>
      <c r="E55" s="14">
        <f>[1]Summary!E54</f>
        <v>925</v>
      </c>
      <c r="F55" s="243">
        <f>[1]Summary!F54</f>
        <v>8.8879999999999999</v>
      </c>
      <c r="G55" s="15">
        <f t="shared" si="1"/>
        <v>8221.4</v>
      </c>
      <c r="H55" s="15"/>
    </row>
    <row r="56" spans="1:8" ht="28.5" customHeight="1">
      <c r="A56" s="21">
        <v>52</v>
      </c>
      <c r="B56" s="22" t="s">
        <v>5843</v>
      </c>
      <c r="C56" s="22" t="s">
        <v>5844</v>
      </c>
      <c r="D56" s="23" t="s">
        <v>1584</v>
      </c>
      <c r="E56" s="24">
        <f>[1]Summary!E55</f>
        <v>40</v>
      </c>
      <c r="F56" s="244">
        <f>[1]Summary!F55</f>
        <v>330</v>
      </c>
      <c r="G56" s="26">
        <f t="shared" si="1"/>
        <v>13200</v>
      </c>
      <c r="H56" s="26"/>
    </row>
    <row r="57" spans="1:8" ht="22.5" customHeight="1">
      <c r="A57" s="11">
        <v>53</v>
      </c>
      <c r="B57" s="12" t="s">
        <v>5853</v>
      </c>
      <c r="C57" s="12" t="s">
        <v>5854</v>
      </c>
      <c r="D57" s="13" t="s">
        <v>4406</v>
      </c>
      <c r="E57" s="14">
        <f>[1]Summary!E56</f>
        <v>40</v>
      </c>
      <c r="F57" s="243">
        <f>[1]Summary!F56</f>
        <v>0</v>
      </c>
      <c r="G57" s="15">
        <f t="shared" si="1"/>
        <v>0</v>
      </c>
      <c r="H57" s="15"/>
    </row>
    <row r="58" spans="1:8" ht="45.75" customHeight="1">
      <c r="A58" s="21">
        <v>54</v>
      </c>
      <c r="B58" s="22" t="s">
        <v>5869</v>
      </c>
      <c r="C58" s="22" t="s">
        <v>5870</v>
      </c>
      <c r="D58" s="23" t="s">
        <v>1584</v>
      </c>
      <c r="E58" s="24">
        <f>[1]Summary!E57</f>
        <v>38</v>
      </c>
      <c r="F58" s="244">
        <f>[1]Summary!F57</f>
        <v>21</v>
      </c>
      <c r="G58" s="26">
        <f t="shared" si="1"/>
        <v>798</v>
      </c>
      <c r="H58" s="26"/>
    </row>
    <row r="59" spans="1:8" ht="28.5" customHeight="1">
      <c r="A59" s="11">
        <v>55</v>
      </c>
      <c r="B59" s="12" t="s">
        <v>5857</v>
      </c>
      <c r="C59" s="12" t="s">
        <v>5858</v>
      </c>
      <c r="D59" s="13" t="s">
        <v>1584</v>
      </c>
      <c r="E59" s="14">
        <f>[1]Summary!E58</f>
        <v>1.65</v>
      </c>
      <c r="F59" s="243">
        <f>[1]Summary!F58</f>
        <v>0</v>
      </c>
      <c r="G59" s="15">
        <f t="shared" si="1"/>
        <v>0</v>
      </c>
      <c r="H59" s="15"/>
    </row>
    <row r="60" spans="1:8" ht="28.5" customHeight="1">
      <c r="A60" s="21">
        <v>56</v>
      </c>
      <c r="B60" s="22" t="s">
        <v>5859</v>
      </c>
      <c r="C60" s="22" t="s">
        <v>5860</v>
      </c>
      <c r="D60" s="23" t="s">
        <v>1584</v>
      </c>
      <c r="E60" s="24">
        <f>[1]Summary!E59</f>
        <v>3.7</v>
      </c>
      <c r="F60" s="244">
        <f>[1]Summary!F59</f>
        <v>76</v>
      </c>
      <c r="G60" s="26">
        <f t="shared" si="1"/>
        <v>281.2</v>
      </c>
      <c r="H60" s="26"/>
    </row>
    <row r="61" spans="1:8" ht="28.5" customHeight="1">
      <c r="A61" s="11">
        <v>57</v>
      </c>
      <c r="B61" s="12" t="s">
        <v>5861</v>
      </c>
      <c r="C61" s="12" t="s">
        <v>5862</v>
      </c>
      <c r="D61" s="13" t="s">
        <v>4406</v>
      </c>
      <c r="E61" s="14">
        <f>[1]Summary!E60</f>
        <v>10</v>
      </c>
      <c r="F61" s="243">
        <f>[1]Summary!F60</f>
        <v>0</v>
      </c>
      <c r="G61" s="15">
        <f t="shared" si="1"/>
        <v>0</v>
      </c>
      <c r="H61" s="15"/>
    </row>
    <row r="62" spans="1:8" ht="45.75" customHeight="1">
      <c r="A62" s="21">
        <v>58</v>
      </c>
      <c r="B62" s="22" t="s">
        <v>5863</v>
      </c>
      <c r="C62" s="22" t="s">
        <v>5864</v>
      </c>
      <c r="D62" s="23" t="s">
        <v>1584</v>
      </c>
      <c r="E62" s="24">
        <f>[1]Summary!E61</f>
        <v>15</v>
      </c>
      <c r="F62" s="244">
        <f>[1]Summary!F61</f>
        <v>2</v>
      </c>
      <c r="G62" s="26">
        <f t="shared" si="1"/>
        <v>30</v>
      </c>
      <c r="H62" s="26"/>
    </row>
    <row r="63" spans="1:8" ht="28.5" customHeight="1">
      <c r="A63" s="11">
        <v>59</v>
      </c>
      <c r="B63" s="12" t="s">
        <v>5865</v>
      </c>
      <c r="C63" s="12" t="s">
        <v>5866</v>
      </c>
      <c r="D63" s="13" t="s">
        <v>1584</v>
      </c>
      <c r="E63" s="14">
        <f>[1]Summary!E62</f>
        <v>785</v>
      </c>
      <c r="F63" s="243">
        <f>[1]Summary!F62</f>
        <v>0.96</v>
      </c>
      <c r="G63" s="15">
        <f t="shared" si="1"/>
        <v>753.6</v>
      </c>
      <c r="H63" s="15"/>
    </row>
    <row r="64" spans="1:8" ht="28.5" customHeight="1">
      <c r="A64" s="21">
        <v>60</v>
      </c>
      <c r="B64" s="22" t="s">
        <v>5867</v>
      </c>
      <c r="C64" s="22" t="s">
        <v>5868</v>
      </c>
      <c r="D64" s="23" t="s">
        <v>1584</v>
      </c>
      <c r="E64" s="24">
        <f>[1]Summary!E63</f>
        <v>285</v>
      </c>
      <c r="F64" s="257">
        <f>[1]Summary!F63</f>
        <v>0.43400000000000105</v>
      </c>
      <c r="G64" s="26">
        <f t="shared" si="1"/>
        <v>123.6900000000003</v>
      </c>
      <c r="H64" s="26"/>
    </row>
    <row r="66" spans="1:7">
      <c r="A66" s="270" t="s">
        <v>7</v>
      </c>
      <c r="B66" s="271"/>
      <c r="C66" s="271"/>
      <c r="D66" s="271"/>
      <c r="E66" s="271"/>
      <c r="F66" s="242">
        <f>SUM(F5:F64)</f>
        <v>927.99</v>
      </c>
      <c r="G66" s="198">
        <f>SUM(G7:G64)</f>
        <v>44902.184000000001</v>
      </c>
    </row>
  </sheetData>
  <autoFilter ref="A4:H4" xr:uid="{18ACF0E0-415B-49BB-8EE5-B50ED8374E89}"/>
  <mergeCells count="3">
    <mergeCell ref="A3:H3"/>
    <mergeCell ref="A2:H2"/>
    <mergeCell ref="A66:E66"/>
  </mergeCells>
  <pageMargins left="0.22" right="0.28000000000000003" top="0.08" bottom="0.03" header="0.14000000000000001" footer="0.05"/>
  <pageSetup paperSize="9" scale="53"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H417"/>
  <sheetViews>
    <sheetView tabSelected="1" zoomScale="55" zoomScaleNormal="55" workbookViewId="0">
      <selection activeCell="L13" sqref="L13"/>
    </sheetView>
  </sheetViews>
  <sheetFormatPr defaultRowHeight="23.25"/>
  <cols>
    <col min="1" max="1" width="7.85546875" style="31" customWidth="1"/>
    <col min="2" max="2" width="54.85546875" style="32" customWidth="1"/>
    <col min="3" max="3" width="60.85546875" style="32" customWidth="1"/>
    <col min="4" max="4" width="15" style="32" customWidth="1"/>
    <col min="5" max="5" width="23.42578125" style="33" customWidth="1"/>
    <col min="6" max="6" width="19.42578125" style="34" customWidth="1"/>
    <col min="7" max="7" width="20.42578125" style="35" customWidth="1"/>
    <col min="8" max="8" width="25.28515625" customWidth="1"/>
  </cols>
  <sheetData>
    <row r="1" spans="1:8" ht="136.5" customHeight="1"/>
    <row r="2" spans="1:8" ht="47.25" customHeight="1">
      <c r="A2" s="269">
        <f ca="1">TODAY()</f>
        <v>46123</v>
      </c>
      <c r="B2" s="269"/>
      <c r="C2" s="269"/>
      <c r="D2" s="269"/>
      <c r="E2" s="269"/>
      <c r="F2" s="269"/>
      <c r="G2" s="269"/>
      <c r="H2" s="269"/>
    </row>
    <row r="3" spans="1:8" ht="28.5" customHeight="1">
      <c r="A3" s="275" t="s">
        <v>4431</v>
      </c>
      <c r="B3" s="276"/>
      <c r="C3" s="276"/>
      <c r="D3" s="276"/>
      <c r="E3" s="276"/>
      <c r="F3" s="276"/>
      <c r="G3" s="276"/>
      <c r="H3" s="276"/>
    </row>
    <row r="4" spans="1:8" ht="54">
      <c r="A4" s="184" t="s">
        <v>0</v>
      </c>
      <c r="B4" s="185" t="s">
        <v>1</v>
      </c>
      <c r="C4" s="186" t="s">
        <v>2</v>
      </c>
      <c r="D4" s="187" t="s">
        <v>3</v>
      </c>
      <c r="E4" s="188" t="s">
        <v>4</v>
      </c>
      <c r="F4" s="189" t="s">
        <v>5</v>
      </c>
      <c r="G4" s="190" t="s">
        <v>6</v>
      </c>
      <c r="H4" s="190" t="s">
        <v>5887</v>
      </c>
    </row>
    <row r="5" spans="1:8" s="8" customFormat="1">
      <c r="A5" s="191">
        <v>1</v>
      </c>
      <c r="B5" s="192" t="s">
        <v>4432</v>
      </c>
      <c r="C5" s="192" t="s">
        <v>4433</v>
      </c>
      <c r="D5" s="193" t="s">
        <v>1584</v>
      </c>
      <c r="E5" s="194">
        <f>[2]Summary!E4</f>
        <v>7.5</v>
      </c>
      <c r="F5" s="211">
        <f>[2]Summary!F4</f>
        <v>0</v>
      </c>
      <c r="G5" s="195">
        <f t="shared" ref="G5:G68" si="0">F5*E5</f>
        <v>0</v>
      </c>
      <c r="H5" s="193" t="s">
        <v>5888</v>
      </c>
    </row>
    <row r="6" spans="1:8" s="8" customFormat="1">
      <c r="A6" s="27">
        <v>2</v>
      </c>
      <c r="B6" s="28" t="s">
        <v>4434</v>
      </c>
      <c r="C6" s="28" t="s">
        <v>4435</v>
      </c>
      <c r="D6" s="29" t="s">
        <v>1584</v>
      </c>
      <c r="E6" s="196">
        <f>[2]Summary!E5</f>
        <v>2.15</v>
      </c>
      <c r="F6" s="212">
        <f>[2]Summary!F5</f>
        <v>4</v>
      </c>
      <c r="G6" s="30">
        <f t="shared" si="0"/>
        <v>8.6</v>
      </c>
      <c r="H6" s="29" t="s">
        <v>5889</v>
      </c>
    </row>
    <row r="7" spans="1:8" s="8" customFormat="1">
      <c r="A7" s="191">
        <v>3</v>
      </c>
      <c r="B7" s="192" t="s">
        <v>4436</v>
      </c>
      <c r="C7" s="192" t="s">
        <v>4437</v>
      </c>
      <c r="D7" s="193" t="s">
        <v>1584</v>
      </c>
      <c r="E7" s="194">
        <f>[2]Summary!E6</f>
        <v>6.99</v>
      </c>
      <c r="F7" s="211">
        <f>[2]Summary!F6</f>
        <v>0</v>
      </c>
      <c r="G7" s="195">
        <f t="shared" si="0"/>
        <v>0</v>
      </c>
      <c r="H7" s="193" t="s">
        <v>5889</v>
      </c>
    </row>
    <row r="8" spans="1:8" s="8" customFormat="1">
      <c r="A8" s="27">
        <v>4</v>
      </c>
      <c r="B8" s="28" t="s">
        <v>4438</v>
      </c>
      <c r="C8" s="28" t="s">
        <v>4439</v>
      </c>
      <c r="D8" s="29" t="s">
        <v>1584</v>
      </c>
      <c r="E8" s="196">
        <f>[2]Summary!E7</f>
        <v>3.6</v>
      </c>
      <c r="F8" s="212">
        <f>[2]Summary!F7</f>
        <v>0</v>
      </c>
      <c r="G8" s="30">
        <f t="shared" si="0"/>
        <v>0</v>
      </c>
      <c r="H8" s="29" t="s">
        <v>5889</v>
      </c>
    </row>
    <row r="9" spans="1:8" s="8" customFormat="1">
      <c r="A9" s="191">
        <v>5</v>
      </c>
      <c r="B9" s="192" t="s">
        <v>4440</v>
      </c>
      <c r="C9" s="192" t="s">
        <v>4441</v>
      </c>
      <c r="D9" s="193" t="s">
        <v>1584</v>
      </c>
      <c r="E9" s="194">
        <f>[2]Summary!E8</f>
        <v>13</v>
      </c>
      <c r="F9" s="211">
        <f>[2]Summary!F8</f>
        <v>0</v>
      </c>
      <c r="G9" s="195">
        <f t="shared" si="0"/>
        <v>0</v>
      </c>
      <c r="H9" s="193" t="s">
        <v>5889</v>
      </c>
    </row>
    <row r="10" spans="1:8" s="8" customFormat="1">
      <c r="A10" s="27">
        <v>6</v>
      </c>
      <c r="B10" s="28" t="s">
        <v>4442</v>
      </c>
      <c r="C10" s="28" t="s">
        <v>4443</v>
      </c>
      <c r="D10" s="29" t="s">
        <v>1584</v>
      </c>
      <c r="E10" s="196">
        <f>[2]Summary!E9</f>
        <v>3.37</v>
      </c>
      <c r="F10" s="212">
        <f>[2]Summary!F9</f>
        <v>0</v>
      </c>
      <c r="G10" s="30">
        <f t="shared" si="0"/>
        <v>0</v>
      </c>
      <c r="H10" s="29" t="s">
        <v>5889</v>
      </c>
    </row>
    <row r="11" spans="1:8" s="8" customFormat="1">
      <c r="A11" s="191">
        <v>7</v>
      </c>
      <c r="B11" s="192" t="s">
        <v>4444</v>
      </c>
      <c r="C11" s="192" t="s">
        <v>4445</v>
      </c>
      <c r="D11" s="193" t="s">
        <v>1584</v>
      </c>
      <c r="E11" s="194">
        <f>[2]Summary!E10</f>
        <v>0.90700000000000003</v>
      </c>
      <c r="F11" s="211">
        <f>[2]Summary!F10</f>
        <v>0</v>
      </c>
      <c r="G11" s="195">
        <f t="shared" si="0"/>
        <v>0</v>
      </c>
      <c r="H11" s="193" t="s">
        <v>5890</v>
      </c>
    </row>
    <row r="12" spans="1:8" s="8" customFormat="1">
      <c r="A12" s="27">
        <v>8</v>
      </c>
      <c r="B12" s="28" t="s">
        <v>4446</v>
      </c>
      <c r="C12" s="28" t="s">
        <v>4447</v>
      </c>
      <c r="D12" s="29" t="s">
        <v>1584</v>
      </c>
      <c r="E12" s="196">
        <f>[2]Summary!E11</f>
        <v>1.125</v>
      </c>
      <c r="F12" s="212">
        <f>[2]Summary!F11</f>
        <v>8</v>
      </c>
      <c r="G12" s="30">
        <f t="shared" si="0"/>
        <v>9</v>
      </c>
      <c r="H12" s="29" t="s">
        <v>5890</v>
      </c>
    </row>
    <row r="13" spans="1:8" s="8" customFormat="1">
      <c r="A13" s="191">
        <v>9</v>
      </c>
      <c r="B13" s="192" t="s">
        <v>4448</v>
      </c>
      <c r="C13" s="192" t="s">
        <v>4449</v>
      </c>
      <c r="D13" s="193" t="s">
        <v>1584</v>
      </c>
      <c r="E13" s="194">
        <f>[2]Summary!E12</f>
        <v>1.2</v>
      </c>
      <c r="F13" s="211">
        <f>[2]Summary!F12</f>
        <v>0</v>
      </c>
      <c r="G13" s="195">
        <f t="shared" si="0"/>
        <v>0</v>
      </c>
      <c r="H13" s="193" t="s">
        <v>5890</v>
      </c>
    </row>
    <row r="14" spans="1:8" s="8" customFormat="1">
      <c r="A14" s="27">
        <v>10</v>
      </c>
      <c r="B14" s="28" t="s">
        <v>4450</v>
      </c>
      <c r="C14" s="28" t="s">
        <v>4451</v>
      </c>
      <c r="D14" s="29" t="s">
        <v>1584</v>
      </c>
      <c r="E14" s="196">
        <f>[2]Summary!E13</f>
        <v>1.02</v>
      </c>
      <c r="F14" s="212">
        <f>[2]Summary!F13</f>
        <v>0</v>
      </c>
      <c r="G14" s="30">
        <f t="shared" si="0"/>
        <v>0</v>
      </c>
      <c r="H14" s="29" t="s">
        <v>5889</v>
      </c>
    </row>
    <row r="15" spans="1:8" s="8" customFormat="1">
      <c r="A15" s="191">
        <v>11</v>
      </c>
      <c r="B15" s="192" t="s">
        <v>4452</v>
      </c>
      <c r="C15" s="192" t="s">
        <v>4453</v>
      </c>
      <c r="D15" s="193" t="s">
        <v>1584</v>
      </c>
      <c r="E15" s="194">
        <f>[2]Summary!E14</f>
        <v>3</v>
      </c>
      <c r="F15" s="211">
        <f>[2]Summary!F14</f>
        <v>4</v>
      </c>
      <c r="G15" s="195">
        <f t="shared" si="0"/>
        <v>12</v>
      </c>
      <c r="H15" s="193" t="s">
        <v>5889</v>
      </c>
    </row>
    <row r="16" spans="1:8" s="8" customFormat="1">
      <c r="A16" s="27">
        <v>12</v>
      </c>
      <c r="B16" s="28" t="s">
        <v>4454</v>
      </c>
      <c r="C16" s="28" t="s">
        <v>4455</v>
      </c>
      <c r="D16" s="29" t="s">
        <v>1584</v>
      </c>
      <c r="E16" s="196">
        <f>[2]Summary!E15</f>
        <v>9</v>
      </c>
      <c r="F16" s="212">
        <f>[2]Summary!F15</f>
        <v>0</v>
      </c>
      <c r="G16" s="30">
        <f t="shared" si="0"/>
        <v>0</v>
      </c>
      <c r="H16" s="29" t="s">
        <v>5889</v>
      </c>
    </row>
    <row r="17" spans="1:8" s="8" customFormat="1">
      <c r="A17" s="191">
        <v>13</v>
      </c>
      <c r="B17" s="192" t="s">
        <v>4456</v>
      </c>
      <c r="C17" s="192" t="s">
        <v>4457</v>
      </c>
      <c r="D17" s="193" t="s">
        <v>1600</v>
      </c>
      <c r="E17" s="194">
        <f>[2]Summary!E16</f>
        <v>5</v>
      </c>
      <c r="F17" s="211">
        <f>[2]Summary!F16</f>
        <v>5</v>
      </c>
      <c r="G17" s="195">
        <f t="shared" si="0"/>
        <v>25</v>
      </c>
      <c r="H17" s="193" t="s">
        <v>5889</v>
      </c>
    </row>
    <row r="18" spans="1:8" s="8" customFormat="1">
      <c r="A18" s="27">
        <v>14</v>
      </c>
      <c r="B18" s="28" t="s">
        <v>4458</v>
      </c>
      <c r="C18" s="28" t="s">
        <v>4459</v>
      </c>
      <c r="D18" s="29" t="s">
        <v>1600</v>
      </c>
      <c r="E18" s="196">
        <f>[2]Summary!E17</f>
        <v>17</v>
      </c>
      <c r="F18" s="212">
        <f>[2]Summary!F17</f>
        <v>0</v>
      </c>
      <c r="G18" s="30">
        <f t="shared" si="0"/>
        <v>0</v>
      </c>
      <c r="H18" s="29" t="s">
        <v>5889</v>
      </c>
    </row>
    <row r="19" spans="1:8" s="8" customFormat="1">
      <c r="A19" s="191">
        <v>15</v>
      </c>
      <c r="B19" s="192" t="s">
        <v>4460</v>
      </c>
      <c r="C19" s="192" t="s">
        <v>4461</v>
      </c>
      <c r="D19" s="193" t="s">
        <v>1600</v>
      </c>
      <c r="E19" s="194">
        <f>[2]Summary!E18</f>
        <v>1.5</v>
      </c>
      <c r="F19" s="211">
        <f>[2]Summary!F18</f>
        <v>0</v>
      </c>
      <c r="G19" s="195">
        <f t="shared" si="0"/>
        <v>0</v>
      </c>
      <c r="H19" s="193" t="s">
        <v>5889</v>
      </c>
    </row>
    <row r="20" spans="1:8" s="8" customFormat="1">
      <c r="A20" s="27">
        <v>16</v>
      </c>
      <c r="B20" s="28" t="s">
        <v>4462</v>
      </c>
      <c r="C20" s="28" t="s">
        <v>4463</v>
      </c>
      <c r="D20" s="29" t="s">
        <v>1584</v>
      </c>
      <c r="E20" s="196">
        <f>[2]Summary!E19</f>
        <v>5</v>
      </c>
      <c r="F20" s="212">
        <f>[2]Summary!F19</f>
        <v>0</v>
      </c>
      <c r="G20" s="30">
        <f t="shared" si="0"/>
        <v>0</v>
      </c>
      <c r="H20" s="29" t="s">
        <v>5889</v>
      </c>
    </row>
    <row r="21" spans="1:8" s="8" customFormat="1">
      <c r="A21" s="191">
        <v>17</v>
      </c>
      <c r="B21" s="192" t="s">
        <v>4464</v>
      </c>
      <c r="C21" s="192" t="s">
        <v>4465</v>
      </c>
      <c r="D21" s="193" t="s">
        <v>1584</v>
      </c>
      <c r="E21" s="194">
        <f>[2]Summary!E20</f>
        <v>25.85</v>
      </c>
      <c r="F21" s="211">
        <f>[2]Summary!F20</f>
        <v>0</v>
      </c>
      <c r="G21" s="195">
        <f t="shared" si="0"/>
        <v>0</v>
      </c>
      <c r="H21" s="193" t="s">
        <v>5889</v>
      </c>
    </row>
    <row r="22" spans="1:8" s="8" customFormat="1">
      <c r="A22" s="27">
        <v>18</v>
      </c>
      <c r="B22" s="28" t="s">
        <v>4464</v>
      </c>
      <c r="C22" s="28" t="s">
        <v>4466</v>
      </c>
      <c r="D22" s="29" t="s">
        <v>1600</v>
      </c>
      <c r="E22" s="196">
        <f>[2]Summary!E21</f>
        <v>44.99</v>
      </c>
      <c r="F22" s="212">
        <f>[2]Summary!F21</f>
        <v>0</v>
      </c>
      <c r="G22" s="30">
        <f t="shared" si="0"/>
        <v>0</v>
      </c>
      <c r="H22" s="29" t="s">
        <v>5889</v>
      </c>
    </row>
    <row r="23" spans="1:8" s="8" customFormat="1">
      <c r="A23" s="191">
        <v>19</v>
      </c>
      <c r="B23" s="192" t="s">
        <v>4467</v>
      </c>
      <c r="C23" s="192" t="s">
        <v>4468</v>
      </c>
      <c r="D23" s="193" t="s">
        <v>1584</v>
      </c>
      <c r="E23" s="194">
        <f>[2]Summary!E22</f>
        <v>1.65</v>
      </c>
      <c r="F23" s="211">
        <f>[2]Summary!F22</f>
        <v>0</v>
      </c>
      <c r="G23" s="195">
        <f t="shared" si="0"/>
        <v>0</v>
      </c>
      <c r="H23" s="193" t="s">
        <v>5891</v>
      </c>
    </row>
    <row r="24" spans="1:8" s="8" customFormat="1">
      <c r="A24" s="27">
        <v>20</v>
      </c>
      <c r="B24" s="28" t="s">
        <v>4467</v>
      </c>
      <c r="C24" s="28" t="s">
        <v>4469</v>
      </c>
      <c r="D24" s="29" t="s">
        <v>1601</v>
      </c>
      <c r="E24" s="196">
        <f>[2]Summary!E23</f>
        <v>2.44</v>
      </c>
      <c r="F24" s="212">
        <f>[2]Summary!F23</f>
        <v>0</v>
      </c>
      <c r="G24" s="30">
        <f t="shared" si="0"/>
        <v>0</v>
      </c>
      <c r="H24" s="29" t="s">
        <v>5891</v>
      </c>
    </row>
    <row r="25" spans="1:8" s="8" customFormat="1">
      <c r="A25" s="191">
        <v>21</v>
      </c>
      <c r="B25" s="192" t="s">
        <v>4470</v>
      </c>
      <c r="C25" s="192" t="s">
        <v>4471</v>
      </c>
      <c r="D25" s="193" t="s">
        <v>1601</v>
      </c>
      <c r="E25" s="194">
        <f>[2]Summary!E24</f>
        <v>3</v>
      </c>
      <c r="F25" s="211">
        <f>[2]Summary!F24</f>
        <v>0</v>
      </c>
      <c r="G25" s="195">
        <f t="shared" si="0"/>
        <v>0</v>
      </c>
      <c r="H25" s="193" t="s">
        <v>5891</v>
      </c>
    </row>
    <row r="26" spans="1:8" s="8" customFormat="1">
      <c r="A26" s="27">
        <v>22</v>
      </c>
      <c r="B26" s="28" t="s">
        <v>4472</v>
      </c>
      <c r="C26" s="28" t="s">
        <v>4473</v>
      </c>
      <c r="D26" s="29" t="s">
        <v>1601</v>
      </c>
      <c r="E26" s="196">
        <f>[2]Summary!E25</f>
        <v>2</v>
      </c>
      <c r="F26" s="212">
        <f>[2]Summary!F25</f>
        <v>0</v>
      </c>
      <c r="G26" s="30">
        <f t="shared" si="0"/>
        <v>0</v>
      </c>
      <c r="H26" s="29" t="s">
        <v>5891</v>
      </c>
    </row>
    <row r="27" spans="1:8" s="8" customFormat="1">
      <c r="A27" s="191">
        <v>23</v>
      </c>
      <c r="B27" s="192" t="s">
        <v>4474</v>
      </c>
      <c r="C27" s="192" t="s">
        <v>4475</v>
      </c>
      <c r="D27" s="193" t="s">
        <v>4476</v>
      </c>
      <c r="E27" s="194">
        <f>[2]Summary!E26</f>
        <v>0.7</v>
      </c>
      <c r="F27" s="211">
        <f>[2]Summary!F26</f>
        <v>0</v>
      </c>
      <c r="G27" s="195">
        <f t="shared" si="0"/>
        <v>0</v>
      </c>
      <c r="H27" s="193" t="s">
        <v>5892</v>
      </c>
    </row>
    <row r="28" spans="1:8" s="8" customFormat="1">
      <c r="A28" s="27">
        <v>24</v>
      </c>
      <c r="B28" s="28" t="s">
        <v>4477</v>
      </c>
      <c r="C28" s="28" t="s">
        <v>4478</v>
      </c>
      <c r="D28" s="29" t="s">
        <v>4479</v>
      </c>
      <c r="E28" s="196">
        <f>[2]Summary!E27</f>
        <v>1.9</v>
      </c>
      <c r="F28" s="212">
        <f>[2]Summary!F27</f>
        <v>2</v>
      </c>
      <c r="G28" s="30">
        <f t="shared" si="0"/>
        <v>3.8</v>
      </c>
      <c r="H28" s="29" t="s">
        <v>5891</v>
      </c>
    </row>
    <row r="29" spans="1:8" s="8" customFormat="1">
      <c r="A29" s="191">
        <v>25</v>
      </c>
      <c r="B29" s="192" t="s">
        <v>4480</v>
      </c>
      <c r="C29" s="192" t="s">
        <v>4481</v>
      </c>
      <c r="D29" s="193" t="s">
        <v>1584</v>
      </c>
      <c r="E29" s="194">
        <f>[2]Summary!E28</f>
        <v>3.448</v>
      </c>
      <c r="F29" s="211">
        <f>[2]Summary!F28</f>
        <v>0</v>
      </c>
      <c r="G29" s="195">
        <f t="shared" si="0"/>
        <v>0</v>
      </c>
      <c r="H29" s="193" t="s">
        <v>5889</v>
      </c>
    </row>
    <row r="30" spans="1:8" s="8" customFormat="1">
      <c r="A30" s="27">
        <v>26</v>
      </c>
      <c r="B30" s="28" t="s">
        <v>4482</v>
      </c>
      <c r="C30" s="28" t="s">
        <v>4483</v>
      </c>
      <c r="D30" s="29" t="s">
        <v>1584</v>
      </c>
      <c r="E30" s="196">
        <f>[2]Summary!E29</f>
        <v>1</v>
      </c>
      <c r="F30" s="212">
        <f>[2]Summary!F29</f>
        <v>20</v>
      </c>
      <c r="G30" s="30">
        <f t="shared" si="0"/>
        <v>20</v>
      </c>
      <c r="H30" s="29" t="s">
        <v>5889</v>
      </c>
    </row>
    <row r="31" spans="1:8" s="8" customFormat="1">
      <c r="A31" s="191">
        <v>27</v>
      </c>
      <c r="B31" s="192" t="s">
        <v>4484</v>
      </c>
      <c r="C31" s="192" t="s">
        <v>4485</v>
      </c>
      <c r="D31" s="193" t="s">
        <v>1584</v>
      </c>
      <c r="E31" s="194">
        <f>[2]Summary!E30</f>
        <v>30</v>
      </c>
      <c r="F31" s="211">
        <f>[2]Summary!F30</f>
        <v>5</v>
      </c>
      <c r="G31" s="195">
        <f t="shared" si="0"/>
        <v>150</v>
      </c>
      <c r="H31" s="193" t="s">
        <v>5893</v>
      </c>
    </row>
    <row r="32" spans="1:8" s="8" customFormat="1">
      <c r="A32" s="27">
        <v>28</v>
      </c>
      <c r="B32" s="28" t="s">
        <v>4486</v>
      </c>
      <c r="C32" s="28" t="str">
        <f>'[2]Bolt  160   6mm'!$K$3</f>
        <v>Bolt  160 * 6mm</v>
      </c>
      <c r="D32" s="29" t="s">
        <v>1584</v>
      </c>
      <c r="E32" s="196">
        <f>[2]Summary!E31</f>
        <v>3</v>
      </c>
      <c r="F32" s="212">
        <f>[2]Summary!F31</f>
        <v>0</v>
      </c>
      <c r="G32" s="30">
        <f t="shared" si="0"/>
        <v>0</v>
      </c>
      <c r="H32" s="29" t="s">
        <v>5891</v>
      </c>
    </row>
    <row r="33" spans="1:8" s="8" customFormat="1">
      <c r="A33" s="191">
        <v>29</v>
      </c>
      <c r="B33" s="192" t="s">
        <v>4487</v>
      </c>
      <c r="C33" s="192" t="s">
        <v>4488</v>
      </c>
      <c r="D33" s="193" t="s">
        <v>4479</v>
      </c>
      <c r="E33" s="194">
        <f>[2]Summary!E32</f>
        <v>14.2</v>
      </c>
      <c r="F33" s="211">
        <f>[2]Summary!F32</f>
        <v>6.5</v>
      </c>
      <c r="G33" s="195">
        <f t="shared" si="0"/>
        <v>92.3</v>
      </c>
      <c r="H33" s="193" t="s">
        <v>5894</v>
      </c>
    </row>
    <row r="34" spans="1:8" s="8" customFormat="1">
      <c r="A34" s="27">
        <v>30</v>
      </c>
      <c r="B34" s="28" t="s">
        <v>4489</v>
      </c>
      <c r="C34" s="28" t="s">
        <v>4490</v>
      </c>
      <c r="D34" s="29" t="s">
        <v>1601</v>
      </c>
      <c r="E34" s="196">
        <f>[2]Summary!E33</f>
        <v>1.5</v>
      </c>
      <c r="F34" s="212">
        <f>[2]Summary!F33</f>
        <v>0</v>
      </c>
      <c r="G34" s="30">
        <f t="shared" si="0"/>
        <v>0</v>
      </c>
      <c r="H34" s="29" t="s">
        <v>5891</v>
      </c>
    </row>
    <row r="35" spans="1:8">
      <c r="A35" s="191">
        <v>31</v>
      </c>
      <c r="B35" s="192" t="s">
        <v>4491</v>
      </c>
      <c r="C35" s="192" t="s">
        <v>4492</v>
      </c>
      <c r="D35" s="193" t="s">
        <v>1601</v>
      </c>
      <c r="E35" s="194">
        <f>[2]Summary!E34</f>
        <v>1.7</v>
      </c>
      <c r="F35" s="211">
        <f>[2]Summary!F34</f>
        <v>0</v>
      </c>
      <c r="G35" s="195">
        <f t="shared" si="0"/>
        <v>0</v>
      </c>
      <c r="H35" s="193" t="s">
        <v>5891</v>
      </c>
    </row>
    <row r="36" spans="1:8">
      <c r="A36" s="27">
        <v>32</v>
      </c>
      <c r="B36" s="28" t="s">
        <v>4493</v>
      </c>
      <c r="C36" s="28" t="s">
        <v>4494</v>
      </c>
      <c r="D36" s="29" t="s">
        <v>1584</v>
      </c>
      <c r="E36" s="196">
        <f>[2]Summary!E35</f>
        <v>0.159</v>
      </c>
      <c r="F36" s="212">
        <f>[2]Summary!F35</f>
        <v>476.7</v>
      </c>
      <c r="G36" s="30">
        <f t="shared" si="0"/>
        <v>75.795299999999997</v>
      </c>
      <c r="H36" s="29" t="s">
        <v>5891</v>
      </c>
    </row>
    <row r="37" spans="1:8">
      <c r="A37" s="191">
        <v>33</v>
      </c>
      <c r="B37" s="192" t="s">
        <v>4495</v>
      </c>
      <c r="C37" s="192" t="s">
        <v>4496</v>
      </c>
      <c r="D37" s="193" t="s">
        <v>1584</v>
      </c>
      <c r="E37" s="194">
        <f>[2]Summary!E36</f>
        <v>2</v>
      </c>
      <c r="F37" s="211">
        <f>[2]Summary!F36</f>
        <v>2.4</v>
      </c>
      <c r="G37" s="195">
        <f t="shared" si="0"/>
        <v>4.8</v>
      </c>
      <c r="H37" s="193" t="s">
        <v>5891</v>
      </c>
    </row>
    <row r="38" spans="1:8">
      <c r="A38" s="27">
        <v>34</v>
      </c>
      <c r="B38" s="28" t="s">
        <v>4497</v>
      </c>
      <c r="C38" s="28" t="s">
        <v>4498</v>
      </c>
      <c r="D38" s="29" t="s">
        <v>1584</v>
      </c>
      <c r="E38" s="196">
        <f>[2]Summary!E37</f>
        <v>1.6</v>
      </c>
      <c r="F38" s="212">
        <f>[2]Summary!F37</f>
        <v>0</v>
      </c>
      <c r="G38" s="30">
        <f t="shared" si="0"/>
        <v>0</v>
      </c>
      <c r="H38" s="29" t="s">
        <v>5891</v>
      </c>
    </row>
    <row r="39" spans="1:8" s="8" customFormat="1">
      <c r="A39" s="191">
        <v>35</v>
      </c>
      <c r="B39" s="192" t="s">
        <v>4499</v>
      </c>
      <c r="C39" s="192" t="s">
        <v>4500</v>
      </c>
      <c r="D39" s="193" t="s">
        <v>4479</v>
      </c>
      <c r="E39" s="194">
        <f>[2]Summary!E38</f>
        <v>13.3</v>
      </c>
      <c r="F39" s="211">
        <f>[2]Summary!F38</f>
        <v>151.5</v>
      </c>
      <c r="G39" s="195">
        <f t="shared" si="0"/>
        <v>2014.95</v>
      </c>
      <c r="H39" s="193" t="s">
        <v>5894</v>
      </c>
    </row>
    <row r="40" spans="1:8" s="8" customFormat="1">
      <c r="A40" s="27">
        <v>36</v>
      </c>
      <c r="B40" s="28" t="s">
        <v>4501</v>
      </c>
      <c r="C40" s="28" t="s">
        <v>4502</v>
      </c>
      <c r="D40" s="29" t="s">
        <v>1584</v>
      </c>
      <c r="E40" s="196">
        <f>[2]Summary!E39</f>
        <v>1.6</v>
      </c>
      <c r="F40" s="212">
        <f>[2]Summary!F39</f>
        <v>0</v>
      </c>
      <c r="G40" s="30">
        <f t="shared" si="0"/>
        <v>0</v>
      </c>
      <c r="H40" s="29" t="s">
        <v>5891</v>
      </c>
    </row>
    <row r="41" spans="1:8" s="8" customFormat="1">
      <c r="A41" s="191">
        <v>37</v>
      </c>
      <c r="B41" s="192" t="s">
        <v>4503</v>
      </c>
      <c r="C41" s="192" t="s">
        <v>4504</v>
      </c>
      <c r="D41" s="193" t="s">
        <v>4479</v>
      </c>
      <c r="E41" s="194">
        <f>[2]Summary!E40</f>
        <v>7</v>
      </c>
      <c r="F41" s="211">
        <f>[2]Summary!F40</f>
        <v>1</v>
      </c>
      <c r="G41" s="195">
        <f t="shared" si="0"/>
        <v>7</v>
      </c>
      <c r="H41" s="193" t="s">
        <v>5895</v>
      </c>
    </row>
    <row r="42" spans="1:8" s="8" customFormat="1">
      <c r="A42" s="27">
        <v>38</v>
      </c>
      <c r="B42" s="28" t="s">
        <v>4505</v>
      </c>
      <c r="C42" s="28" t="s">
        <v>4506</v>
      </c>
      <c r="D42" s="29" t="s">
        <v>4479</v>
      </c>
      <c r="E42" s="196">
        <f>[2]Summary!E41</f>
        <v>2.25</v>
      </c>
      <c r="F42" s="212">
        <f>[2]Summary!F41</f>
        <v>12</v>
      </c>
      <c r="G42" s="30">
        <f t="shared" si="0"/>
        <v>27</v>
      </c>
      <c r="H42" s="29" t="s">
        <v>5896</v>
      </c>
    </row>
    <row r="43" spans="1:8" s="8" customFormat="1">
      <c r="A43" s="191">
        <v>39</v>
      </c>
      <c r="B43" s="192" t="s">
        <v>4507</v>
      </c>
      <c r="C43" s="192" t="s">
        <v>4508</v>
      </c>
      <c r="D43" s="193" t="s">
        <v>1601</v>
      </c>
      <c r="E43" s="194">
        <f>[2]Summary!E42</f>
        <v>2.3809999999999998</v>
      </c>
      <c r="F43" s="211">
        <f>[2]Summary!F42</f>
        <v>0</v>
      </c>
      <c r="G43" s="195">
        <f t="shared" si="0"/>
        <v>0</v>
      </c>
      <c r="H43" s="193" t="s">
        <v>5891</v>
      </c>
    </row>
    <row r="44" spans="1:8" s="8" customFormat="1">
      <c r="A44" s="27">
        <v>40</v>
      </c>
      <c r="B44" s="28" t="s">
        <v>4509</v>
      </c>
      <c r="C44" s="28" t="s">
        <v>4510</v>
      </c>
      <c r="D44" s="29" t="s">
        <v>4479</v>
      </c>
      <c r="E44" s="196">
        <f>[2]Summary!E43</f>
        <v>15</v>
      </c>
      <c r="F44" s="212">
        <f>[2]Summary!F43</f>
        <v>2</v>
      </c>
      <c r="G44" s="30">
        <f t="shared" si="0"/>
        <v>30</v>
      </c>
      <c r="H44" s="29" t="s">
        <v>5894</v>
      </c>
    </row>
    <row r="45" spans="1:8" s="8" customFormat="1">
      <c r="A45" s="191">
        <v>41</v>
      </c>
      <c r="B45" s="192" t="s">
        <v>4511</v>
      </c>
      <c r="C45" s="192" t="s">
        <v>4512</v>
      </c>
      <c r="D45" s="193" t="s">
        <v>1601</v>
      </c>
      <c r="E45" s="194">
        <f>[2]Summary!E44</f>
        <v>1.35</v>
      </c>
      <c r="F45" s="211">
        <f>[2]Summary!F44</f>
        <v>0</v>
      </c>
      <c r="G45" s="195">
        <f t="shared" si="0"/>
        <v>0</v>
      </c>
      <c r="H45" s="193" t="s">
        <v>5891</v>
      </c>
    </row>
    <row r="46" spans="1:8" s="8" customFormat="1">
      <c r="A46" s="27">
        <v>42</v>
      </c>
      <c r="B46" s="28" t="s">
        <v>4513</v>
      </c>
      <c r="C46" s="28" t="s">
        <v>4514</v>
      </c>
      <c r="D46" s="29" t="s">
        <v>1601</v>
      </c>
      <c r="E46" s="196">
        <f>[2]Summary!E45</f>
        <v>1.75</v>
      </c>
      <c r="F46" s="212">
        <f>[2]Summary!F45</f>
        <v>0</v>
      </c>
      <c r="G46" s="30">
        <f t="shared" si="0"/>
        <v>0</v>
      </c>
      <c r="H46" s="29" t="s">
        <v>5891</v>
      </c>
    </row>
    <row r="47" spans="1:8" s="8" customFormat="1">
      <c r="A47" s="191">
        <v>43</v>
      </c>
      <c r="B47" s="192" t="s">
        <v>4515</v>
      </c>
      <c r="C47" s="192" t="s">
        <v>4516</v>
      </c>
      <c r="D47" s="193" t="s">
        <v>4479</v>
      </c>
      <c r="E47" s="194">
        <f>[2]Summary!E46</f>
        <v>22.56</v>
      </c>
      <c r="F47" s="211">
        <f>[2]Summary!F46</f>
        <v>250</v>
      </c>
      <c r="G47" s="195">
        <f t="shared" si="0"/>
        <v>5640</v>
      </c>
      <c r="H47" s="193" t="s">
        <v>5894</v>
      </c>
    </row>
    <row r="48" spans="1:8" s="8" customFormat="1">
      <c r="A48" s="27">
        <v>44</v>
      </c>
      <c r="B48" s="28" t="s">
        <v>4517</v>
      </c>
      <c r="C48" s="28" t="s">
        <v>4518</v>
      </c>
      <c r="D48" s="29" t="s">
        <v>4479</v>
      </c>
      <c r="E48" s="196">
        <f>[2]Summary!E47</f>
        <v>23</v>
      </c>
      <c r="F48" s="212">
        <f>[2]Summary!F47</f>
        <v>10</v>
      </c>
      <c r="G48" s="30">
        <f t="shared" si="0"/>
        <v>230</v>
      </c>
      <c r="H48" s="29" t="s">
        <v>5894</v>
      </c>
    </row>
    <row r="49" spans="1:8" s="8" customFormat="1">
      <c r="A49" s="191">
        <v>45</v>
      </c>
      <c r="B49" s="192" t="s">
        <v>4519</v>
      </c>
      <c r="C49" s="192" t="s">
        <v>4520</v>
      </c>
      <c r="D49" s="193" t="s">
        <v>4479</v>
      </c>
      <c r="E49" s="194">
        <f>[2]Summary!E48</f>
        <v>2.5</v>
      </c>
      <c r="F49" s="211">
        <f>[2]Summary!F48</f>
        <v>60</v>
      </c>
      <c r="G49" s="195">
        <f t="shared" si="0"/>
        <v>150</v>
      </c>
      <c r="H49" s="193" t="s">
        <v>5895</v>
      </c>
    </row>
    <row r="50" spans="1:8" s="8" customFormat="1">
      <c r="A50" s="27">
        <v>46</v>
      </c>
      <c r="B50" s="28" t="s">
        <v>4521</v>
      </c>
      <c r="C50" s="28" t="s">
        <v>4522</v>
      </c>
      <c r="D50" s="29" t="s">
        <v>4479</v>
      </c>
      <c r="E50" s="196">
        <f>[2]Summary!E49</f>
        <v>28.5</v>
      </c>
      <c r="F50" s="212">
        <f>[2]Summary!F49</f>
        <v>0</v>
      </c>
      <c r="G50" s="30">
        <f t="shared" si="0"/>
        <v>0</v>
      </c>
      <c r="H50" s="29" t="s">
        <v>5894</v>
      </c>
    </row>
    <row r="51" spans="1:8" s="8" customFormat="1">
      <c r="A51" s="191">
        <v>47</v>
      </c>
      <c r="B51" s="192" t="s">
        <v>4523</v>
      </c>
      <c r="C51" s="192" t="s">
        <v>4524</v>
      </c>
      <c r="D51" s="193" t="s">
        <v>4479</v>
      </c>
      <c r="E51" s="194">
        <f>[2]Summary!E50</f>
        <v>1.3</v>
      </c>
      <c r="F51" s="211">
        <f>[2]Summary!F50</f>
        <v>0</v>
      </c>
      <c r="G51" s="195">
        <f t="shared" si="0"/>
        <v>0</v>
      </c>
      <c r="H51" s="193" t="s">
        <v>5891</v>
      </c>
    </row>
    <row r="52" spans="1:8" s="8" customFormat="1">
      <c r="A52" s="27">
        <v>48</v>
      </c>
      <c r="B52" s="28" t="s">
        <v>4525</v>
      </c>
      <c r="C52" s="28" t="s">
        <v>4526</v>
      </c>
      <c r="D52" s="29" t="s">
        <v>4479</v>
      </c>
      <c r="E52" s="196">
        <f>[2]Summary!E51</f>
        <v>4.25</v>
      </c>
      <c r="F52" s="212">
        <f>[2]Summary!F51</f>
        <v>0</v>
      </c>
      <c r="G52" s="30">
        <f t="shared" si="0"/>
        <v>0</v>
      </c>
      <c r="H52" s="29" t="s">
        <v>5895</v>
      </c>
    </row>
    <row r="53" spans="1:8" s="8" customFormat="1">
      <c r="A53" s="191">
        <v>49</v>
      </c>
      <c r="B53" s="192" t="s">
        <v>4527</v>
      </c>
      <c r="C53" s="192" t="s">
        <v>4528</v>
      </c>
      <c r="D53" s="193" t="s">
        <v>4479</v>
      </c>
      <c r="E53" s="194">
        <f>[2]Summary!E52</f>
        <v>1.36</v>
      </c>
      <c r="F53" s="211">
        <f>[2]Summary!F52</f>
        <v>0</v>
      </c>
      <c r="G53" s="195">
        <f t="shared" si="0"/>
        <v>0</v>
      </c>
      <c r="H53" s="193" t="s">
        <v>5896</v>
      </c>
    </row>
    <row r="54" spans="1:8" s="8" customFormat="1">
      <c r="A54" s="27">
        <v>50</v>
      </c>
      <c r="B54" s="28" t="s">
        <v>4529</v>
      </c>
      <c r="C54" s="28" t="s">
        <v>4530</v>
      </c>
      <c r="D54" s="29" t="s">
        <v>4479</v>
      </c>
      <c r="E54" s="196">
        <f>[2]Summary!E53</f>
        <v>13.6</v>
      </c>
      <c r="F54" s="212">
        <f>[2]Summary!F53</f>
        <v>82</v>
      </c>
      <c r="G54" s="30">
        <f t="shared" si="0"/>
        <v>1115.2</v>
      </c>
      <c r="H54" s="29" t="s">
        <v>5894</v>
      </c>
    </row>
    <row r="55" spans="1:8" s="8" customFormat="1">
      <c r="A55" s="191">
        <v>51</v>
      </c>
      <c r="B55" s="192" t="s">
        <v>4531</v>
      </c>
      <c r="C55" s="192" t="s">
        <v>4532</v>
      </c>
      <c r="D55" s="193" t="s">
        <v>4479</v>
      </c>
      <c r="E55" s="194">
        <f>[2]Summary!E54</f>
        <v>1.8</v>
      </c>
      <c r="F55" s="211">
        <f>[2]Summary!F54</f>
        <v>51.5</v>
      </c>
      <c r="G55" s="195">
        <f t="shared" si="0"/>
        <v>92.7</v>
      </c>
      <c r="H55" s="193" t="s">
        <v>5895</v>
      </c>
    </row>
    <row r="56" spans="1:8" s="8" customFormat="1">
      <c r="A56" s="27">
        <v>52</v>
      </c>
      <c r="B56" s="28" t="s">
        <v>4533</v>
      </c>
      <c r="C56" s="28" t="s">
        <v>4534</v>
      </c>
      <c r="D56" s="29" t="s">
        <v>4479</v>
      </c>
      <c r="E56" s="196">
        <f>[2]Summary!E55</f>
        <v>18</v>
      </c>
      <c r="F56" s="212">
        <f>[2]Summary!F55</f>
        <v>8.75</v>
      </c>
      <c r="G56" s="30">
        <f t="shared" si="0"/>
        <v>157.5</v>
      </c>
      <c r="H56" s="29" t="s">
        <v>5895</v>
      </c>
    </row>
    <row r="57" spans="1:8" s="8" customFormat="1">
      <c r="A57" s="191">
        <v>53</v>
      </c>
      <c r="B57" s="192" t="s">
        <v>4535</v>
      </c>
      <c r="C57" s="192" t="s">
        <v>4536</v>
      </c>
      <c r="D57" s="193" t="s">
        <v>4479</v>
      </c>
      <c r="E57" s="194">
        <f>[2]Summary!E56</f>
        <v>2.25</v>
      </c>
      <c r="F57" s="211">
        <f>[2]Summary!F56</f>
        <v>13</v>
      </c>
      <c r="G57" s="195">
        <f t="shared" si="0"/>
        <v>29.25</v>
      </c>
      <c r="H57" s="193" t="s">
        <v>5896</v>
      </c>
    </row>
    <row r="58" spans="1:8" s="8" customFormat="1">
      <c r="A58" s="27">
        <v>54</v>
      </c>
      <c r="B58" s="28" t="s">
        <v>4537</v>
      </c>
      <c r="C58" s="28" t="s">
        <v>4538</v>
      </c>
      <c r="D58" s="29" t="s">
        <v>4479</v>
      </c>
      <c r="E58" s="196">
        <f>[2]Summary!E57</f>
        <v>1.9</v>
      </c>
      <c r="F58" s="212">
        <f>[2]Summary!F57</f>
        <v>1</v>
      </c>
      <c r="G58" s="30">
        <f t="shared" si="0"/>
        <v>1.9</v>
      </c>
      <c r="H58" s="29" t="s">
        <v>5896</v>
      </c>
    </row>
    <row r="59" spans="1:8" s="8" customFormat="1">
      <c r="A59" s="191">
        <v>55</v>
      </c>
      <c r="B59" s="192" t="s">
        <v>4539</v>
      </c>
      <c r="C59" s="192" t="s">
        <v>4540</v>
      </c>
      <c r="D59" s="193" t="s">
        <v>4479</v>
      </c>
      <c r="E59" s="194">
        <f>[2]Summary!E58</f>
        <v>14.2</v>
      </c>
      <c r="F59" s="211">
        <f>[2]Summary!F58</f>
        <v>76.5</v>
      </c>
      <c r="G59" s="195">
        <f t="shared" si="0"/>
        <v>1086.3</v>
      </c>
      <c r="H59" s="193" t="s">
        <v>5894</v>
      </c>
    </row>
    <row r="60" spans="1:8" s="8" customFormat="1">
      <c r="A60" s="27">
        <v>56</v>
      </c>
      <c r="B60" s="28" t="s">
        <v>4541</v>
      </c>
      <c r="C60" s="28" t="s">
        <v>4542</v>
      </c>
      <c r="D60" s="29" t="s">
        <v>4479</v>
      </c>
      <c r="E60" s="196">
        <f>[2]Summary!E59</f>
        <v>4.5</v>
      </c>
      <c r="F60" s="212">
        <f>[2]Summary!F59</f>
        <v>0</v>
      </c>
      <c r="G60" s="30">
        <f t="shared" si="0"/>
        <v>0</v>
      </c>
      <c r="H60" s="29" t="s">
        <v>5891</v>
      </c>
    </row>
    <row r="61" spans="1:8" s="8" customFormat="1">
      <c r="A61" s="191">
        <v>57</v>
      </c>
      <c r="B61" s="192" t="s">
        <v>4543</v>
      </c>
      <c r="C61" s="192" t="s">
        <v>4544</v>
      </c>
      <c r="D61" s="193" t="s">
        <v>4479</v>
      </c>
      <c r="E61" s="194">
        <f>[2]Summary!E60</f>
        <v>1.65</v>
      </c>
      <c r="F61" s="211">
        <f>[2]Summary!F60</f>
        <v>62</v>
      </c>
      <c r="G61" s="195">
        <f t="shared" si="0"/>
        <v>102.3</v>
      </c>
      <c r="H61" s="193" t="s">
        <v>5896</v>
      </c>
    </row>
    <row r="62" spans="1:8" s="8" customFormat="1">
      <c r="A62" s="27">
        <v>58</v>
      </c>
      <c r="B62" s="28" t="s">
        <v>4545</v>
      </c>
      <c r="C62" s="28" t="s">
        <v>4546</v>
      </c>
      <c r="D62" s="29" t="s">
        <v>4479</v>
      </c>
      <c r="E62" s="196">
        <f>[2]Summary!E61</f>
        <v>2.5</v>
      </c>
      <c r="F62" s="212">
        <f>[2]Summary!F61</f>
        <v>13</v>
      </c>
      <c r="G62" s="30">
        <f t="shared" si="0"/>
        <v>32.5</v>
      </c>
      <c r="H62" s="29" t="s">
        <v>5891</v>
      </c>
    </row>
    <row r="63" spans="1:8" s="8" customFormat="1">
      <c r="A63" s="191">
        <v>59</v>
      </c>
      <c r="B63" s="192" t="s">
        <v>4547</v>
      </c>
      <c r="C63" s="192" t="s">
        <v>4548</v>
      </c>
      <c r="D63" s="193" t="s">
        <v>4479</v>
      </c>
      <c r="E63" s="194">
        <f>[2]Summary!E62</f>
        <v>3.75</v>
      </c>
      <c r="F63" s="211">
        <f>[2]Summary!F62</f>
        <v>1</v>
      </c>
      <c r="G63" s="195">
        <f t="shared" si="0"/>
        <v>3.75</v>
      </c>
      <c r="H63" s="193" t="s">
        <v>5895</v>
      </c>
    </row>
    <row r="64" spans="1:8" s="8" customFormat="1">
      <c r="A64" s="27">
        <v>60</v>
      </c>
      <c r="B64" s="28" t="s">
        <v>4549</v>
      </c>
      <c r="C64" s="28" t="s">
        <v>4550</v>
      </c>
      <c r="D64" s="29" t="s">
        <v>4479</v>
      </c>
      <c r="E64" s="196">
        <f>[2]Summary!E63</f>
        <v>4.13</v>
      </c>
      <c r="F64" s="212">
        <f>[2]Summary!F63</f>
        <v>11</v>
      </c>
      <c r="G64" s="30">
        <f t="shared" si="0"/>
        <v>45.43</v>
      </c>
      <c r="H64" s="29" t="s">
        <v>5896</v>
      </c>
    </row>
    <row r="65" spans="1:8" s="8" customFormat="1">
      <c r="A65" s="191">
        <v>61</v>
      </c>
      <c r="B65" s="192" t="s">
        <v>4551</v>
      </c>
      <c r="C65" s="192" t="s">
        <v>4552</v>
      </c>
      <c r="D65" s="193" t="s">
        <v>4479</v>
      </c>
      <c r="E65" s="194">
        <f>[2]Summary!E64</f>
        <v>1.75</v>
      </c>
      <c r="F65" s="211">
        <f>[2]Summary!F64</f>
        <v>18</v>
      </c>
      <c r="G65" s="195">
        <f t="shared" si="0"/>
        <v>31.5</v>
      </c>
      <c r="H65" s="193" t="s">
        <v>5895</v>
      </c>
    </row>
    <row r="66" spans="1:8" s="8" customFormat="1">
      <c r="A66" s="27">
        <v>62</v>
      </c>
      <c r="B66" s="28" t="s">
        <v>4553</v>
      </c>
      <c r="C66" s="28" t="s">
        <v>4554</v>
      </c>
      <c r="D66" s="29" t="s">
        <v>4479</v>
      </c>
      <c r="E66" s="196">
        <f>[2]Summary!E65</f>
        <v>13.4</v>
      </c>
      <c r="F66" s="212">
        <f>[2]Summary!F65</f>
        <v>118</v>
      </c>
      <c r="G66" s="30">
        <f t="shared" si="0"/>
        <v>1581.2</v>
      </c>
      <c r="H66" s="29" t="s">
        <v>5894</v>
      </c>
    </row>
    <row r="67" spans="1:8" s="8" customFormat="1">
      <c r="A67" s="191">
        <v>63</v>
      </c>
      <c r="B67" s="192" t="s">
        <v>4555</v>
      </c>
      <c r="C67" s="192" t="s">
        <v>4556</v>
      </c>
      <c r="D67" s="193" t="s">
        <v>4479</v>
      </c>
      <c r="E67" s="194">
        <f>[2]Summary!E66</f>
        <v>3.75</v>
      </c>
      <c r="F67" s="211">
        <f>[2]Summary!F66</f>
        <v>0</v>
      </c>
      <c r="G67" s="195">
        <f t="shared" si="0"/>
        <v>0</v>
      </c>
      <c r="H67" s="193" t="s">
        <v>5891</v>
      </c>
    </row>
    <row r="68" spans="1:8" s="8" customFormat="1">
      <c r="A68" s="27">
        <v>64</v>
      </c>
      <c r="B68" s="28" t="s">
        <v>4557</v>
      </c>
      <c r="C68" s="28" t="s">
        <v>4558</v>
      </c>
      <c r="D68" s="29" t="s">
        <v>4479</v>
      </c>
      <c r="E68" s="196">
        <f>[2]Summary!E67</f>
        <v>2.5</v>
      </c>
      <c r="F68" s="212">
        <f>[2]Summary!F67</f>
        <v>0</v>
      </c>
      <c r="G68" s="30">
        <f t="shared" si="0"/>
        <v>0</v>
      </c>
      <c r="H68" s="29" t="s">
        <v>5891</v>
      </c>
    </row>
    <row r="69" spans="1:8" s="8" customFormat="1">
      <c r="A69" s="191">
        <v>65</v>
      </c>
      <c r="B69" s="192" t="s">
        <v>4559</v>
      </c>
      <c r="C69" s="192" t="s">
        <v>4560</v>
      </c>
      <c r="D69" s="193" t="s">
        <v>4479</v>
      </c>
      <c r="E69" s="194">
        <f>[2]Summary!E68</f>
        <v>12</v>
      </c>
      <c r="F69" s="211">
        <f>[2]Summary!F68</f>
        <v>1</v>
      </c>
      <c r="G69" s="195">
        <f t="shared" ref="G69:G132" si="1">F69*E69</f>
        <v>12</v>
      </c>
      <c r="H69" s="193" t="s">
        <v>5896</v>
      </c>
    </row>
    <row r="70" spans="1:8" s="8" customFormat="1">
      <c r="A70" s="27">
        <v>66</v>
      </c>
      <c r="B70" s="28" t="s">
        <v>4561</v>
      </c>
      <c r="C70" s="28" t="s">
        <v>4562</v>
      </c>
      <c r="D70" s="29" t="s">
        <v>4479</v>
      </c>
      <c r="E70" s="196">
        <f>[2]Summary!E69</f>
        <v>10</v>
      </c>
      <c r="F70" s="212">
        <f>[2]Summary!F69</f>
        <v>28</v>
      </c>
      <c r="G70" s="30">
        <f t="shared" si="1"/>
        <v>280</v>
      </c>
      <c r="H70" s="29" t="s">
        <v>5895</v>
      </c>
    </row>
    <row r="71" spans="1:8" s="8" customFormat="1">
      <c r="A71" s="191">
        <v>67</v>
      </c>
      <c r="B71" s="192" t="s">
        <v>4563</v>
      </c>
      <c r="C71" s="192" t="s">
        <v>4564</v>
      </c>
      <c r="D71" s="193" t="s">
        <v>4479</v>
      </c>
      <c r="E71" s="194">
        <f>[2]Summary!E70</f>
        <v>13.6</v>
      </c>
      <c r="F71" s="211">
        <f>[2]Summary!F70</f>
        <v>22</v>
      </c>
      <c r="G71" s="195">
        <f t="shared" si="1"/>
        <v>299.2</v>
      </c>
      <c r="H71" s="193" t="s">
        <v>5894</v>
      </c>
    </row>
    <row r="72" spans="1:8" s="8" customFormat="1">
      <c r="A72" s="27">
        <v>68</v>
      </c>
      <c r="B72" s="28" t="s">
        <v>4565</v>
      </c>
      <c r="C72" s="28" t="s">
        <v>4566</v>
      </c>
      <c r="D72" s="29" t="s">
        <v>4479</v>
      </c>
      <c r="E72" s="196">
        <f>[2]Summary!E71</f>
        <v>10</v>
      </c>
      <c r="F72" s="212">
        <f>[2]Summary!F71</f>
        <v>0</v>
      </c>
      <c r="G72" s="30">
        <f t="shared" si="1"/>
        <v>0</v>
      </c>
      <c r="H72" s="29" t="s">
        <v>5895</v>
      </c>
    </row>
    <row r="73" spans="1:8" s="8" customFormat="1">
      <c r="A73" s="191">
        <v>69</v>
      </c>
      <c r="B73" s="192" t="s">
        <v>4567</v>
      </c>
      <c r="C73" s="192" t="s">
        <v>4568</v>
      </c>
      <c r="D73" s="193" t="s">
        <v>4479</v>
      </c>
      <c r="E73" s="194">
        <f>[2]Summary!E72</f>
        <v>12.2</v>
      </c>
      <c r="F73" s="211">
        <f>[2]Summary!F72</f>
        <v>278</v>
      </c>
      <c r="G73" s="195">
        <f t="shared" si="1"/>
        <v>3391.6</v>
      </c>
      <c r="H73" s="193" t="s">
        <v>5894</v>
      </c>
    </row>
    <row r="74" spans="1:8" s="8" customFormat="1">
      <c r="A74" s="27">
        <v>70</v>
      </c>
      <c r="B74" s="28" t="s">
        <v>4569</v>
      </c>
      <c r="C74" s="28" t="s">
        <v>4570</v>
      </c>
      <c r="D74" s="29" t="s">
        <v>4479</v>
      </c>
      <c r="E74" s="196">
        <f>[2]Summary!E73</f>
        <v>1.65</v>
      </c>
      <c r="F74" s="212">
        <f>[2]Summary!F73</f>
        <v>27</v>
      </c>
      <c r="G74" s="30">
        <f t="shared" si="1"/>
        <v>44.55</v>
      </c>
      <c r="H74" s="29" t="s">
        <v>5895</v>
      </c>
    </row>
    <row r="75" spans="1:8" s="8" customFormat="1">
      <c r="A75" s="191">
        <v>71</v>
      </c>
      <c r="B75" s="192" t="s">
        <v>4571</v>
      </c>
      <c r="C75" s="192" t="s">
        <v>4572</v>
      </c>
      <c r="D75" s="193" t="s">
        <v>1601</v>
      </c>
      <c r="E75" s="194">
        <f>[2]Summary!E74</f>
        <v>1.3</v>
      </c>
      <c r="F75" s="211">
        <f>[2]Summary!F74</f>
        <v>0</v>
      </c>
      <c r="G75" s="195">
        <f t="shared" si="1"/>
        <v>0</v>
      </c>
      <c r="H75" s="193" t="s">
        <v>5891</v>
      </c>
    </row>
    <row r="76" spans="1:8" s="8" customFormat="1">
      <c r="A76" s="27">
        <v>72</v>
      </c>
      <c r="B76" s="28" t="s">
        <v>4573</v>
      </c>
      <c r="C76" s="28" t="s">
        <v>4574</v>
      </c>
      <c r="D76" s="29" t="s">
        <v>1601</v>
      </c>
      <c r="E76" s="196">
        <f>[2]Summary!E75</f>
        <v>1.3</v>
      </c>
      <c r="F76" s="212">
        <f>[2]Summary!F75</f>
        <v>0</v>
      </c>
      <c r="G76" s="30">
        <f t="shared" si="1"/>
        <v>0</v>
      </c>
      <c r="H76" s="29" t="s">
        <v>5891</v>
      </c>
    </row>
    <row r="77" spans="1:8" s="8" customFormat="1">
      <c r="A77" s="191">
        <v>73</v>
      </c>
      <c r="B77" s="192" t="s">
        <v>4575</v>
      </c>
      <c r="C77" s="192" t="s">
        <v>5717</v>
      </c>
      <c r="D77" s="193" t="s">
        <v>1601</v>
      </c>
      <c r="E77" s="194">
        <f>[2]Summary!E76</f>
        <v>5.2</v>
      </c>
      <c r="F77" s="211">
        <f>[2]Summary!F76</f>
        <v>38</v>
      </c>
      <c r="G77" s="195">
        <f t="shared" si="1"/>
        <v>197.6</v>
      </c>
      <c r="H77" s="193" t="s">
        <v>5891</v>
      </c>
    </row>
    <row r="78" spans="1:8" s="8" customFormat="1">
      <c r="A78" s="27">
        <v>74</v>
      </c>
      <c r="B78" s="28" t="s">
        <v>4576</v>
      </c>
      <c r="C78" s="28" t="s">
        <v>4577</v>
      </c>
      <c r="D78" s="29" t="s">
        <v>4479</v>
      </c>
      <c r="E78" s="196">
        <f>[2]Summary!E77</f>
        <v>2</v>
      </c>
      <c r="F78" s="212">
        <f>[2]Summary!F77</f>
        <v>0</v>
      </c>
      <c r="G78" s="30">
        <f t="shared" si="1"/>
        <v>0</v>
      </c>
      <c r="H78" s="29" t="s">
        <v>5891</v>
      </c>
    </row>
    <row r="79" spans="1:8" s="8" customFormat="1">
      <c r="A79" s="191">
        <v>75</v>
      </c>
      <c r="B79" s="192" t="s">
        <v>4578</v>
      </c>
      <c r="C79" s="192" t="s">
        <v>4579</v>
      </c>
      <c r="D79" s="193" t="s">
        <v>4479</v>
      </c>
      <c r="E79" s="194">
        <f>[2]Summary!E78</f>
        <v>8</v>
      </c>
      <c r="F79" s="211">
        <f>[2]Summary!F78</f>
        <v>0</v>
      </c>
      <c r="G79" s="195">
        <f t="shared" si="1"/>
        <v>0</v>
      </c>
      <c r="H79" s="193" t="s">
        <v>5891</v>
      </c>
    </row>
    <row r="80" spans="1:8" s="8" customFormat="1">
      <c r="A80" s="27">
        <v>76</v>
      </c>
      <c r="B80" s="28" t="s">
        <v>4580</v>
      </c>
      <c r="C80" s="28" t="s">
        <v>4581</v>
      </c>
      <c r="D80" s="29" t="s">
        <v>4479</v>
      </c>
      <c r="E80" s="196">
        <f>[2]Summary!E79</f>
        <v>6.5</v>
      </c>
      <c r="F80" s="212">
        <f>[2]Summary!F79</f>
        <v>0</v>
      </c>
      <c r="G80" s="30">
        <f t="shared" si="1"/>
        <v>0</v>
      </c>
      <c r="H80" s="29" t="s">
        <v>5891</v>
      </c>
    </row>
    <row r="81" spans="1:8" s="8" customFormat="1">
      <c r="A81" s="191">
        <v>77</v>
      </c>
      <c r="B81" s="192" t="s">
        <v>4582</v>
      </c>
      <c r="C81" s="192" t="s">
        <v>4583</v>
      </c>
      <c r="D81" s="193" t="s">
        <v>4479</v>
      </c>
      <c r="E81" s="194">
        <f>[2]Summary!E80</f>
        <v>4.75</v>
      </c>
      <c r="F81" s="211">
        <f>[2]Summary!F80</f>
        <v>8</v>
      </c>
      <c r="G81" s="195">
        <f t="shared" si="1"/>
        <v>38</v>
      </c>
      <c r="H81" s="193" t="s">
        <v>5891</v>
      </c>
    </row>
    <row r="82" spans="1:8" s="8" customFormat="1">
      <c r="A82" s="27">
        <v>78</v>
      </c>
      <c r="B82" s="28" t="s">
        <v>4582</v>
      </c>
      <c r="C82" s="28" t="s">
        <v>4584</v>
      </c>
      <c r="D82" s="29" t="s">
        <v>4479</v>
      </c>
      <c r="E82" s="196">
        <f>[2]Summary!E81</f>
        <v>7.5</v>
      </c>
      <c r="F82" s="212">
        <f>[2]Summary!F81</f>
        <v>24</v>
      </c>
      <c r="G82" s="30">
        <f t="shared" si="1"/>
        <v>180</v>
      </c>
      <c r="H82" s="29" t="s">
        <v>5891</v>
      </c>
    </row>
    <row r="83" spans="1:8" s="8" customFormat="1">
      <c r="A83" s="191">
        <v>79</v>
      </c>
      <c r="B83" s="192" t="s">
        <v>4585</v>
      </c>
      <c r="C83" s="192" t="s">
        <v>4586</v>
      </c>
      <c r="D83" s="193" t="s">
        <v>1601</v>
      </c>
      <c r="E83" s="194">
        <f>[2]Summary!E82</f>
        <v>1.5</v>
      </c>
      <c r="F83" s="211">
        <f>[2]Summary!F82</f>
        <v>27</v>
      </c>
      <c r="G83" s="195">
        <f t="shared" si="1"/>
        <v>40.5</v>
      </c>
      <c r="H83" s="193" t="s">
        <v>5891</v>
      </c>
    </row>
    <row r="84" spans="1:8" s="8" customFormat="1">
      <c r="A84" s="27">
        <v>80</v>
      </c>
      <c r="B84" s="28" t="s">
        <v>4587</v>
      </c>
      <c r="C84" s="28" t="s">
        <v>4588</v>
      </c>
      <c r="D84" s="29" t="s">
        <v>1584</v>
      </c>
      <c r="E84" s="196">
        <f>[2]Summary!E83</f>
        <v>0.05</v>
      </c>
      <c r="F84" s="212">
        <f>[2]Summary!F83</f>
        <v>0</v>
      </c>
      <c r="G84" s="30">
        <f t="shared" si="1"/>
        <v>0</v>
      </c>
      <c r="H84" s="29" t="s">
        <v>5891</v>
      </c>
    </row>
    <row r="85" spans="1:8" s="8" customFormat="1">
      <c r="A85" s="191">
        <v>81</v>
      </c>
      <c r="B85" s="192" t="s">
        <v>4589</v>
      </c>
      <c r="C85" s="192" t="s">
        <v>4590</v>
      </c>
      <c r="D85" s="193" t="s">
        <v>1584</v>
      </c>
      <c r="E85" s="194">
        <f>[2]Summary!E84</f>
        <v>2</v>
      </c>
      <c r="F85" s="211">
        <f>[2]Summary!F84</f>
        <v>2</v>
      </c>
      <c r="G85" s="195">
        <f t="shared" si="1"/>
        <v>4</v>
      </c>
      <c r="H85" s="192" t="s">
        <v>5897</v>
      </c>
    </row>
    <row r="86" spans="1:8" s="8" customFormat="1">
      <c r="A86" s="27">
        <v>82</v>
      </c>
      <c r="B86" s="28" t="s">
        <v>4591</v>
      </c>
      <c r="C86" s="28" t="s">
        <v>4592</v>
      </c>
      <c r="D86" s="29" t="s">
        <v>4479</v>
      </c>
      <c r="E86" s="196">
        <f>[2]Summary!E85</f>
        <v>3</v>
      </c>
      <c r="F86" s="212">
        <f>[2]Summary!F85</f>
        <v>25</v>
      </c>
      <c r="G86" s="30">
        <f t="shared" si="1"/>
        <v>75</v>
      </c>
      <c r="H86" s="29" t="s">
        <v>5895</v>
      </c>
    </row>
    <row r="87" spans="1:8" s="8" customFormat="1">
      <c r="A87" s="191">
        <v>83</v>
      </c>
      <c r="B87" s="192" t="s">
        <v>4593</v>
      </c>
      <c r="C87" s="192" t="s">
        <v>4594</v>
      </c>
      <c r="D87" s="193" t="s">
        <v>1584</v>
      </c>
      <c r="E87" s="194">
        <f>[2]Summary!E86</f>
        <v>3.42</v>
      </c>
      <c r="F87" s="211">
        <f>[2]Summary!F86</f>
        <v>0</v>
      </c>
      <c r="G87" s="195">
        <f t="shared" si="1"/>
        <v>0</v>
      </c>
      <c r="H87" s="192" t="s">
        <v>5897</v>
      </c>
    </row>
    <row r="88" spans="1:8" s="8" customFormat="1">
      <c r="A88" s="27">
        <v>84</v>
      </c>
      <c r="B88" s="28" t="s">
        <v>4595</v>
      </c>
      <c r="C88" s="28" t="s">
        <v>4596</v>
      </c>
      <c r="D88" s="29" t="s">
        <v>1584</v>
      </c>
      <c r="E88" s="196">
        <f>[2]Summary!E87</f>
        <v>2</v>
      </c>
      <c r="F88" s="212">
        <f>[2]Summary!F87</f>
        <v>0</v>
      </c>
      <c r="G88" s="30">
        <f t="shared" si="1"/>
        <v>0</v>
      </c>
      <c r="H88" s="28" t="s">
        <v>5897</v>
      </c>
    </row>
    <row r="89" spans="1:8" s="8" customFormat="1">
      <c r="A89" s="191">
        <v>85</v>
      </c>
      <c r="B89" s="192" t="s">
        <v>4597</v>
      </c>
      <c r="C89" s="192" t="s">
        <v>4598</v>
      </c>
      <c r="D89" s="193" t="s">
        <v>1584</v>
      </c>
      <c r="E89" s="194">
        <f>[2]Summary!E88</f>
        <v>3.3</v>
      </c>
      <c r="F89" s="211">
        <f>[2]Summary!F88</f>
        <v>0</v>
      </c>
      <c r="G89" s="195">
        <f t="shared" si="1"/>
        <v>0</v>
      </c>
      <c r="H89" s="192" t="s">
        <v>5897</v>
      </c>
    </row>
    <row r="90" spans="1:8" s="8" customFormat="1">
      <c r="A90" s="27">
        <v>86</v>
      </c>
      <c r="B90" s="28" t="s">
        <v>4599</v>
      </c>
      <c r="C90" s="28" t="s">
        <v>4600</v>
      </c>
      <c r="D90" s="29" t="s">
        <v>4479</v>
      </c>
      <c r="E90" s="196">
        <f>[2]Summary!E89</f>
        <v>4</v>
      </c>
      <c r="F90" s="212">
        <f>[2]Summary!F89</f>
        <v>3.5</v>
      </c>
      <c r="G90" s="30">
        <f t="shared" si="1"/>
        <v>14</v>
      </c>
      <c r="H90" s="28" t="s">
        <v>5898</v>
      </c>
    </row>
    <row r="91" spans="1:8" s="8" customFormat="1">
      <c r="A91" s="191">
        <v>87</v>
      </c>
      <c r="B91" s="192" t="s">
        <v>4603</v>
      </c>
      <c r="C91" s="192" t="s">
        <v>4604</v>
      </c>
      <c r="D91" s="193" t="s">
        <v>1584</v>
      </c>
      <c r="E91" s="194">
        <f>[2]Summary!E90</f>
        <v>15</v>
      </c>
      <c r="F91" s="211">
        <f>[2]Summary!F90</f>
        <v>1</v>
      </c>
      <c r="G91" s="195">
        <f t="shared" si="1"/>
        <v>15</v>
      </c>
      <c r="H91" s="192" t="s">
        <v>5893</v>
      </c>
    </row>
    <row r="92" spans="1:8" s="8" customFormat="1">
      <c r="A92" s="27">
        <v>88</v>
      </c>
      <c r="B92" s="28" t="s">
        <v>4605</v>
      </c>
      <c r="C92" s="28" t="s">
        <v>4606</v>
      </c>
      <c r="D92" s="29" t="s">
        <v>1584</v>
      </c>
      <c r="E92" s="196">
        <f>[2]Summary!E91</f>
        <v>3.5</v>
      </c>
      <c r="F92" s="212">
        <f>[2]Summary!F91</f>
        <v>0</v>
      </c>
      <c r="G92" s="30">
        <f t="shared" si="1"/>
        <v>0</v>
      </c>
      <c r="H92" s="28" t="s">
        <v>5897</v>
      </c>
    </row>
    <row r="93" spans="1:8" s="8" customFormat="1">
      <c r="A93" s="191">
        <v>89</v>
      </c>
      <c r="B93" s="192" t="s">
        <v>4607</v>
      </c>
      <c r="C93" s="192" t="s">
        <v>4608</v>
      </c>
      <c r="D93" s="193" t="s">
        <v>4479</v>
      </c>
      <c r="E93" s="194">
        <f>[2]Summary!E92</f>
        <v>8</v>
      </c>
      <c r="F93" s="211">
        <f>[2]Summary!F92</f>
        <v>1</v>
      </c>
      <c r="G93" s="195">
        <f t="shared" si="1"/>
        <v>8</v>
      </c>
      <c r="H93" s="193" t="s">
        <v>5891</v>
      </c>
    </row>
    <row r="94" spans="1:8" s="8" customFormat="1">
      <c r="A94" s="27">
        <v>90</v>
      </c>
      <c r="B94" s="28" t="s">
        <v>4609</v>
      </c>
      <c r="C94" s="28" t="s">
        <v>4610</v>
      </c>
      <c r="D94" s="29" t="s">
        <v>131</v>
      </c>
      <c r="E94" s="196">
        <f>[2]Summary!E93</f>
        <v>17</v>
      </c>
      <c r="F94" s="212">
        <f>[2]Summary!F93</f>
        <v>1</v>
      </c>
      <c r="G94" s="30">
        <f t="shared" si="1"/>
        <v>17</v>
      </c>
      <c r="H94" s="29" t="s">
        <v>5891</v>
      </c>
    </row>
    <row r="95" spans="1:8" s="8" customFormat="1">
      <c r="A95" s="191">
        <v>91</v>
      </c>
      <c r="B95" s="192" t="s">
        <v>4611</v>
      </c>
      <c r="C95" s="192" t="s">
        <v>4612</v>
      </c>
      <c r="D95" s="193" t="s">
        <v>1584</v>
      </c>
      <c r="E95" s="194">
        <f>[2]Summary!E94</f>
        <v>0.16700000000000001</v>
      </c>
      <c r="F95" s="211">
        <f>[2]Summary!F94</f>
        <v>13</v>
      </c>
      <c r="G95" s="195">
        <f t="shared" si="1"/>
        <v>2.1710000000000003</v>
      </c>
      <c r="H95" s="193" t="s">
        <v>5891</v>
      </c>
    </row>
    <row r="96" spans="1:8" s="8" customFormat="1">
      <c r="A96" s="27">
        <v>92</v>
      </c>
      <c r="B96" s="28" t="s">
        <v>4613</v>
      </c>
      <c r="C96" s="28" t="s">
        <v>4614</v>
      </c>
      <c r="D96" s="29" t="s">
        <v>1584</v>
      </c>
      <c r="E96" s="196">
        <f>[2]Summary!E95</f>
        <v>0.47099999999999997</v>
      </c>
      <c r="F96" s="212">
        <f>[2]Summary!F95</f>
        <v>0</v>
      </c>
      <c r="G96" s="30">
        <f t="shared" si="1"/>
        <v>0</v>
      </c>
      <c r="H96" s="29" t="s">
        <v>5891</v>
      </c>
    </row>
    <row r="97" spans="1:8" s="8" customFormat="1">
      <c r="A97" s="191">
        <v>93</v>
      </c>
      <c r="B97" s="192" t="s">
        <v>4615</v>
      </c>
      <c r="C97" s="192" t="s">
        <v>4616</v>
      </c>
      <c r="D97" s="193" t="s">
        <v>1584</v>
      </c>
      <c r="E97" s="194">
        <f>[2]Summary!E96</f>
        <v>0.5</v>
      </c>
      <c r="F97" s="211">
        <f>[2]Summary!F96</f>
        <v>61</v>
      </c>
      <c r="G97" s="195">
        <f t="shared" si="1"/>
        <v>30.5</v>
      </c>
      <c r="H97" s="192" t="s">
        <v>5899</v>
      </c>
    </row>
    <row r="98" spans="1:8" s="8" customFormat="1">
      <c r="A98" s="27">
        <v>94</v>
      </c>
      <c r="B98" s="28" t="s">
        <v>4617</v>
      </c>
      <c r="C98" s="28" t="s">
        <v>4618</v>
      </c>
      <c r="D98" s="29" t="s">
        <v>1584</v>
      </c>
      <c r="E98" s="196">
        <f>[2]Summary!E97</f>
        <v>0.5</v>
      </c>
      <c r="F98" s="212">
        <f>[2]Summary!F97</f>
        <v>0</v>
      </c>
      <c r="G98" s="30">
        <f t="shared" si="1"/>
        <v>0</v>
      </c>
      <c r="H98" s="28" t="s">
        <v>5899</v>
      </c>
    </row>
    <row r="99" spans="1:8" s="8" customFormat="1">
      <c r="A99" s="191">
        <v>95</v>
      </c>
      <c r="B99" s="192" t="s">
        <v>4619</v>
      </c>
      <c r="C99" s="192" t="s">
        <v>4620</v>
      </c>
      <c r="D99" s="193" t="s">
        <v>1584</v>
      </c>
      <c r="E99" s="194">
        <f>[2]Summary!E98</f>
        <v>0.94499999999999995</v>
      </c>
      <c r="F99" s="211">
        <f>[2]Summary!F98</f>
        <v>80</v>
      </c>
      <c r="G99" s="195">
        <f t="shared" si="1"/>
        <v>75.599999999999994</v>
      </c>
      <c r="H99" s="192" t="s">
        <v>5897</v>
      </c>
    </row>
    <row r="100" spans="1:8" s="8" customFormat="1">
      <c r="A100" s="27">
        <v>96</v>
      </c>
      <c r="B100" s="28" t="s">
        <v>4621</v>
      </c>
      <c r="C100" s="28" t="s">
        <v>4622</v>
      </c>
      <c r="D100" s="29" t="s">
        <v>1584</v>
      </c>
      <c r="E100" s="196">
        <f>[2]Summary!E99</f>
        <v>1.8</v>
      </c>
      <c r="F100" s="212">
        <f>[2]Summary!F99</f>
        <v>0</v>
      </c>
      <c r="G100" s="30">
        <f t="shared" si="1"/>
        <v>0</v>
      </c>
      <c r="H100" s="29" t="s">
        <v>5891</v>
      </c>
    </row>
    <row r="101" spans="1:8" s="8" customFormat="1">
      <c r="A101" s="191">
        <v>97</v>
      </c>
      <c r="B101" s="192" t="s">
        <v>4623</v>
      </c>
      <c r="C101" s="192" t="s">
        <v>4624</v>
      </c>
      <c r="D101" s="193" t="s">
        <v>1584</v>
      </c>
      <c r="E101" s="194">
        <f>[2]Summary!E100</f>
        <v>2.5</v>
      </c>
      <c r="F101" s="211">
        <f>[2]Summary!F100</f>
        <v>7</v>
      </c>
      <c r="G101" s="195">
        <f t="shared" si="1"/>
        <v>17.5</v>
      </c>
      <c r="H101" s="193" t="s">
        <v>5891</v>
      </c>
    </row>
    <row r="102" spans="1:8" s="8" customFormat="1">
      <c r="A102" s="27">
        <v>98</v>
      </c>
      <c r="B102" s="28" t="s">
        <v>4625</v>
      </c>
      <c r="C102" s="28" t="s">
        <v>4626</v>
      </c>
      <c r="D102" s="29" t="s">
        <v>1584</v>
      </c>
      <c r="E102" s="196">
        <f>[2]Summary!E101</f>
        <v>5.2</v>
      </c>
      <c r="F102" s="212">
        <f>[2]Summary!F101</f>
        <v>1</v>
      </c>
      <c r="G102" s="30">
        <f t="shared" si="1"/>
        <v>5.2</v>
      </c>
      <c r="H102" s="28" t="s">
        <v>5893</v>
      </c>
    </row>
    <row r="103" spans="1:8" s="8" customFormat="1">
      <c r="A103" s="191">
        <v>99</v>
      </c>
      <c r="B103" s="192" t="s">
        <v>4627</v>
      </c>
      <c r="C103" s="192" t="s">
        <v>4628</v>
      </c>
      <c r="D103" s="193" t="s">
        <v>1584</v>
      </c>
      <c r="E103" s="194">
        <f>[2]Summary!E102</f>
        <v>10</v>
      </c>
      <c r="F103" s="211">
        <f>[2]Summary!F102</f>
        <v>0</v>
      </c>
      <c r="G103" s="195">
        <f t="shared" si="1"/>
        <v>0</v>
      </c>
      <c r="H103" s="192" t="s">
        <v>5893</v>
      </c>
    </row>
    <row r="104" spans="1:8" s="8" customFormat="1">
      <c r="A104" s="27">
        <v>100</v>
      </c>
      <c r="B104" s="28" t="s">
        <v>4629</v>
      </c>
      <c r="C104" s="28" t="s">
        <v>4630</v>
      </c>
      <c r="D104" s="29" t="s">
        <v>1584</v>
      </c>
      <c r="E104" s="196">
        <f>[2]Summary!E103</f>
        <v>8.5</v>
      </c>
      <c r="F104" s="212">
        <f>[2]Summary!F103</f>
        <v>8</v>
      </c>
      <c r="G104" s="30">
        <f t="shared" si="1"/>
        <v>68</v>
      </c>
      <c r="H104" s="28" t="s">
        <v>5893</v>
      </c>
    </row>
    <row r="105" spans="1:8" s="8" customFormat="1">
      <c r="A105" s="191">
        <v>101</v>
      </c>
      <c r="B105" s="192" t="s">
        <v>4631</v>
      </c>
      <c r="C105" s="192" t="s">
        <v>4632</v>
      </c>
      <c r="D105" s="193" t="s">
        <v>1601</v>
      </c>
      <c r="E105" s="194">
        <f>[2]Summary!E104</f>
        <v>0.05</v>
      </c>
      <c r="F105" s="211">
        <f>[2]Summary!F104</f>
        <v>408</v>
      </c>
      <c r="G105" s="195">
        <f t="shared" si="1"/>
        <v>20.400000000000002</v>
      </c>
      <c r="H105" s="193" t="s">
        <v>5891</v>
      </c>
    </row>
    <row r="106" spans="1:8" s="8" customFormat="1">
      <c r="A106" s="27">
        <v>102</v>
      </c>
      <c r="B106" s="28" t="s">
        <v>4633</v>
      </c>
      <c r="C106" s="28" t="s">
        <v>4634</v>
      </c>
      <c r="D106" s="29" t="s">
        <v>1584</v>
      </c>
      <c r="E106" s="196">
        <f>[2]Summary!E105</f>
        <v>0.2</v>
      </c>
      <c r="F106" s="212">
        <f>[2]Summary!F105</f>
        <v>750</v>
      </c>
      <c r="G106" s="30">
        <f t="shared" si="1"/>
        <v>150</v>
      </c>
      <c r="H106" s="29" t="s">
        <v>5891</v>
      </c>
    </row>
    <row r="107" spans="1:8" s="8" customFormat="1">
      <c r="A107" s="191">
        <v>103</v>
      </c>
      <c r="B107" s="192" t="s">
        <v>4635</v>
      </c>
      <c r="C107" s="192" t="s">
        <v>4636</v>
      </c>
      <c r="D107" s="193" t="s">
        <v>4479</v>
      </c>
      <c r="E107" s="194">
        <f>[2]Summary!E106</f>
        <v>2</v>
      </c>
      <c r="F107" s="211">
        <f>[2]Summary!F106</f>
        <v>226</v>
      </c>
      <c r="G107" s="195">
        <f t="shared" si="1"/>
        <v>452</v>
      </c>
      <c r="H107" s="192" t="s">
        <v>5898</v>
      </c>
    </row>
    <row r="108" spans="1:8" s="8" customFormat="1">
      <c r="A108" s="27">
        <v>104</v>
      </c>
      <c r="B108" s="28" t="s">
        <v>4637</v>
      </c>
      <c r="C108" s="28" t="s">
        <v>4638</v>
      </c>
      <c r="D108" s="29" t="s">
        <v>4479</v>
      </c>
      <c r="E108" s="196">
        <f>[2]Summary!E107</f>
        <v>2</v>
      </c>
      <c r="F108" s="212">
        <f>[2]Summary!F107</f>
        <v>206</v>
      </c>
      <c r="G108" s="30">
        <f t="shared" si="1"/>
        <v>412</v>
      </c>
      <c r="H108" s="28" t="s">
        <v>5898</v>
      </c>
    </row>
    <row r="109" spans="1:8" s="8" customFormat="1">
      <c r="A109" s="191">
        <v>105</v>
      </c>
      <c r="B109" s="192" t="s">
        <v>4639</v>
      </c>
      <c r="C109" s="192" t="s">
        <v>4640</v>
      </c>
      <c r="D109" s="193" t="s">
        <v>1584</v>
      </c>
      <c r="E109" s="194">
        <f>[2]Summary!E108</f>
        <v>1.2</v>
      </c>
      <c r="F109" s="211">
        <f>[2]Summary!F108</f>
        <v>15</v>
      </c>
      <c r="G109" s="195">
        <f t="shared" si="1"/>
        <v>18</v>
      </c>
      <c r="H109" s="192" t="s">
        <v>5900</v>
      </c>
    </row>
    <row r="110" spans="1:8" s="8" customFormat="1">
      <c r="A110" s="27">
        <v>106</v>
      </c>
      <c r="B110" s="28" t="s">
        <v>4641</v>
      </c>
      <c r="C110" s="28" t="s">
        <v>4642</v>
      </c>
      <c r="D110" s="29" t="s">
        <v>1584</v>
      </c>
      <c r="E110" s="196">
        <f>[2]Summary!E109</f>
        <v>0.9</v>
      </c>
      <c r="F110" s="212">
        <f>[2]Summary!F109</f>
        <v>1</v>
      </c>
      <c r="G110" s="30">
        <f t="shared" si="1"/>
        <v>0.9</v>
      </c>
      <c r="H110" s="28" t="s">
        <v>5900</v>
      </c>
    </row>
    <row r="111" spans="1:8" s="8" customFormat="1">
      <c r="A111" s="191">
        <v>107</v>
      </c>
      <c r="B111" s="192" t="s">
        <v>4643</v>
      </c>
      <c r="C111" s="192" t="s">
        <v>4644</v>
      </c>
      <c r="D111" s="193" t="s">
        <v>1584</v>
      </c>
      <c r="E111" s="194">
        <f>[2]Summary!E110</f>
        <v>0.8</v>
      </c>
      <c r="F111" s="211">
        <f>[2]Summary!F110</f>
        <v>0</v>
      </c>
      <c r="G111" s="195">
        <f t="shared" si="1"/>
        <v>0</v>
      </c>
      <c r="H111" s="192" t="s">
        <v>5900</v>
      </c>
    </row>
    <row r="112" spans="1:8" s="8" customFormat="1">
      <c r="A112" s="27">
        <v>108</v>
      </c>
      <c r="B112" s="28" t="s">
        <v>4645</v>
      </c>
      <c r="C112" s="28" t="s">
        <v>4646</v>
      </c>
      <c r="D112" s="29" t="s">
        <v>1584</v>
      </c>
      <c r="E112" s="196">
        <f>[2]Summary!E111</f>
        <v>1.2</v>
      </c>
      <c r="F112" s="212">
        <f>[2]Summary!F111</f>
        <v>4</v>
      </c>
      <c r="G112" s="30">
        <f t="shared" si="1"/>
        <v>4.8</v>
      </c>
      <c r="H112" s="28" t="s">
        <v>5900</v>
      </c>
    </row>
    <row r="113" spans="1:8" s="8" customFormat="1">
      <c r="A113" s="191">
        <v>109</v>
      </c>
      <c r="B113" s="192" t="s">
        <v>4647</v>
      </c>
      <c r="C113" s="192" t="s">
        <v>4648</v>
      </c>
      <c r="D113" s="193" t="s">
        <v>1584</v>
      </c>
      <c r="E113" s="194">
        <f>[2]Summary!E112</f>
        <v>1.5</v>
      </c>
      <c r="F113" s="211">
        <f>[2]Summary!F112</f>
        <v>26</v>
      </c>
      <c r="G113" s="195">
        <f t="shared" si="1"/>
        <v>39</v>
      </c>
      <c r="H113" s="192" t="s">
        <v>5900</v>
      </c>
    </row>
    <row r="114" spans="1:8" s="8" customFormat="1">
      <c r="A114" s="27">
        <v>110</v>
      </c>
      <c r="B114" s="28" t="s">
        <v>4649</v>
      </c>
      <c r="C114" s="28" t="s">
        <v>4650</v>
      </c>
      <c r="D114" s="29" t="s">
        <v>1584</v>
      </c>
      <c r="E114" s="196">
        <f>[2]Summary!E113</f>
        <v>1.7</v>
      </c>
      <c r="F114" s="212">
        <f>[2]Summary!F113</f>
        <v>0</v>
      </c>
      <c r="G114" s="30">
        <f t="shared" si="1"/>
        <v>0</v>
      </c>
      <c r="H114" s="28" t="s">
        <v>5900</v>
      </c>
    </row>
    <row r="115" spans="1:8" s="8" customFormat="1">
      <c r="A115" s="191">
        <v>111</v>
      </c>
      <c r="B115" s="192" t="s">
        <v>4651</v>
      </c>
      <c r="C115" s="192" t="s">
        <v>4652</v>
      </c>
      <c r="D115" s="193" t="s">
        <v>1584</v>
      </c>
      <c r="E115" s="194">
        <f>[2]Summary!E114</f>
        <v>8</v>
      </c>
      <c r="F115" s="211">
        <f>[2]Summary!F114</f>
        <v>18</v>
      </c>
      <c r="G115" s="195">
        <f t="shared" si="1"/>
        <v>144</v>
      </c>
      <c r="H115" s="192" t="s">
        <v>5900</v>
      </c>
    </row>
    <row r="116" spans="1:8" s="8" customFormat="1">
      <c r="A116" s="27">
        <v>112</v>
      </c>
      <c r="B116" s="28" t="s">
        <v>4653</v>
      </c>
      <c r="C116" s="28" t="s">
        <v>4654</v>
      </c>
      <c r="D116" s="29" t="s">
        <v>1584</v>
      </c>
      <c r="E116" s="196">
        <f>[2]Summary!E115</f>
        <v>0.5</v>
      </c>
      <c r="F116" s="212">
        <f>[2]Summary!F115</f>
        <v>8</v>
      </c>
      <c r="G116" s="30">
        <f t="shared" si="1"/>
        <v>4</v>
      </c>
      <c r="H116" s="28" t="s">
        <v>5900</v>
      </c>
    </row>
    <row r="117" spans="1:8" s="8" customFormat="1">
      <c r="A117" s="191">
        <v>113</v>
      </c>
      <c r="B117" s="192" t="s">
        <v>4655</v>
      </c>
      <c r="C117" s="192" t="s">
        <v>4656</v>
      </c>
      <c r="D117" s="193" t="s">
        <v>1584</v>
      </c>
      <c r="E117" s="194">
        <f>[2]Summary!E116</f>
        <v>0.65</v>
      </c>
      <c r="F117" s="211">
        <f>[2]Summary!F116</f>
        <v>0</v>
      </c>
      <c r="G117" s="195">
        <f t="shared" si="1"/>
        <v>0</v>
      </c>
      <c r="H117" s="192" t="s">
        <v>5900</v>
      </c>
    </row>
    <row r="118" spans="1:8" s="8" customFormat="1">
      <c r="A118" s="27">
        <v>114</v>
      </c>
      <c r="B118" s="28" t="s">
        <v>4657</v>
      </c>
      <c r="C118" s="28" t="s">
        <v>4658</v>
      </c>
      <c r="D118" s="29" t="s">
        <v>1584</v>
      </c>
      <c r="E118" s="196">
        <f>[2]Summary!E117</f>
        <v>3</v>
      </c>
      <c r="F118" s="212">
        <f>[2]Summary!F117</f>
        <v>31</v>
      </c>
      <c r="G118" s="30">
        <f t="shared" si="1"/>
        <v>93</v>
      </c>
      <c r="H118" s="28" t="s">
        <v>5900</v>
      </c>
    </row>
    <row r="119" spans="1:8" s="8" customFormat="1">
      <c r="A119" s="191">
        <v>115</v>
      </c>
      <c r="B119" s="192" t="s">
        <v>4657</v>
      </c>
      <c r="C119" s="192" t="s">
        <v>4659</v>
      </c>
      <c r="D119" s="193" t="s">
        <v>1584</v>
      </c>
      <c r="E119" s="194">
        <f>[2]Summary!E118</f>
        <v>3.5</v>
      </c>
      <c r="F119" s="211">
        <f>[2]Summary!F118</f>
        <v>3</v>
      </c>
      <c r="G119" s="195">
        <f t="shared" si="1"/>
        <v>10.5</v>
      </c>
      <c r="H119" s="192" t="s">
        <v>5900</v>
      </c>
    </row>
    <row r="120" spans="1:8" s="8" customFormat="1">
      <c r="A120" s="27">
        <v>116</v>
      </c>
      <c r="B120" s="28" t="s">
        <v>4660</v>
      </c>
      <c r="C120" s="28" t="s">
        <v>4661</v>
      </c>
      <c r="D120" s="29" t="s">
        <v>1584</v>
      </c>
      <c r="E120" s="196">
        <f>[2]Summary!E119</f>
        <v>8</v>
      </c>
      <c r="F120" s="212">
        <f>[2]Summary!F119</f>
        <v>8</v>
      </c>
      <c r="G120" s="30">
        <f t="shared" si="1"/>
        <v>64</v>
      </c>
      <c r="H120" s="28" t="s">
        <v>5900</v>
      </c>
    </row>
    <row r="121" spans="1:8" s="8" customFormat="1">
      <c r="A121" s="191">
        <v>117</v>
      </c>
      <c r="B121" s="192" t="s">
        <v>4662</v>
      </c>
      <c r="C121" s="192" t="s">
        <v>4663</v>
      </c>
      <c r="D121" s="193" t="s">
        <v>1584</v>
      </c>
      <c r="E121" s="194">
        <f>[2]Summary!E120</f>
        <v>1</v>
      </c>
      <c r="F121" s="211">
        <f>[2]Summary!F120</f>
        <v>9</v>
      </c>
      <c r="G121" s="195">
        <f t="shared" si="1"/>
        <v>9</v>
      </c>
      <c r="H121" s="192" t="s">
        <v>5901</v>
      </c>
    </row>
    <row r="122" spans="1:8" s="8" customFormat="1">
      <c r="A122" s="27">
        <v>118</v>
      </c>
      <c r="B122" s="28" t="s">
        <v>4664</v>
      </c>
      <c r="C122" s="28" t="s">
        <v>4665</v>
      </c>
      <c r="D122" s="29" t="s">
        <v>1584</v>
      </c>
      <c r="E122" s="196">
        <f>[2]Summary!E121</f>
        <v>0.15</v>
      </c>
      <c r="F122" s="212">
        <f>[2]Summary!F121</f>
        <v>0</v>
      </c>
      <c r="G122" s="30">
        <f t="shared" si="1"/>
        <v>0</v>
      </c>
      <c r="H122" s="29" t="s">
        <v>5891</v>
      </c>
    </row>
    <row r="123" spans="1:8" s="8" customFormat="1">
      <c r="A123" s="191">
        <v>119</v>
      </c>
      <c r="B123" s="192" t="s">
        <v>4666</v>
      </c>
      <c r="C123" s="192" t="s">
        <v>4667</v>
      </c>
      <c r="D123" s="193" t="s">
        <v>1584</v>
      </c>
      <c r="E123" s="194">
        <f>[2]Summary!E122</f>
        <v>1.5</v>
      </c>
      <c r="F123" s="211">
        <f>[2]Summary!F122</f>
        <v>0</v>
      </c>
      <c r="G123" s="195">
        <f t="shared" si="1"/>
        <v>0</v>
      </c>
      <c r="H123" s="192" t="s">
        <v>5902</v>
      </c>
    </row>
    <row r="124" spans="1:8" s="8" customFormat="1">
      <c r="A124" s="27">
        <v>120</v>
      </c>
      <c r="B124" s="28" t="s">
        <v>4668</v>
      </c>
      <c r="C124" s="28" t="s">
        <v>4669</v>
      </c>
      <c r="D124" s="29" t="s">
        <v>1584</v>
      </c>
      <c r="E124" s="196">
        <f>[2]Summary!E123</f>
        <v>2</v>
      </c>
      <c r="F124" s="212">
        <f>[2]Summary!F123</f>
        <v>2</v>
      </c>
      <c r="G124" s="30">
        <f t="shared" si="1"/>
        <v>4</v>
      </c>
      <c r="H124" s="28" t="s">
        <v>5903</v>
      </c>
    </row>
    <row r="125" spans="1:8" s="8" customFormat="1">
      <c r="A125" s="191">
        <v>121</v>
      </c>
      <c r="B125" s="192" t="s">
        <v>4670</v>
      </c>
      <c r="C125" s="192" t="s">
        <v>4671</v>
      </c>
      <c r="D125" s="193" t="s">
        <v>4479</v>
      </c>
      <c r="E125" s="194">
        <f>[2]Summary!E124</f>
        <v>6.5</v>
      </c>
      <c r="F125" s="211">
        <f>[2]Summary!F124</f>
        <v>4</v>
      </c>
      <c r="G125" s="195">
        <f t="shared" si="1"/>
        <v>26</v>
      </c>
      <c r="H125" s="192" t="s">
        <v>5897</v>
      </c>
    </row>
    <row r="126" spans="1:8" s="8" customFormat="1">
      <c r="A126" s="27">
        <v>122</v>
      </c>
      <c r="B126" s="28" t="s">
        <v>4672</v>
      </c>
      <c r="C126" s="28" t="s">
        <v>4673</v>
      </c>
      <c r="D126" s="29" t="s">
        <v>1584</v>
      </c>
      <c r="E126" s="196">
        <f>[2]Summary!E125</f>
        <v>40</v>
      </c>
      <c r="F126" s="212">
        <f>[2]Summary!F125</f>
        <v>8</v>
      </c>
      <c r="G126" s="30">
        <f t="shared" si="1"/>
        <v>320</v>
      </c>
      <c r="H126" s="28" t="s">
        <v>5893</v>
      </c>
    </row>
    <row r="127" spans="1:8" s="8" customFormat="1">
      <c r="A127" s="191">
        <v>123</v>
      </c>
      <c r="B127" s="192" t="s">
        <v>4674</v>
      </c>
      <c r="C127" s="192" t="s">
        <v>4675</v>
      </c>
      <c r="D127" s="193" t="s">
        <v>1584</v>
      </c>
      <c r="E127" s="194">
        <f>[2]Summary!E126</f>
        <v>2.75</v>
      </c>
      <c r="F127" s="211">
        <f>[2]Summary!F126</f>
        <v>434</v>
      </c>
      <c r="G127" s="195">
        <f t="shared" si="1"/>
        <v>1193.5</v>
      </c>
      <c r="H127" s="192" t="s">
        <v>5893</v>
      </c>
    </row>
    <row r="128" spans="1:8" s="8" customFormat="1">
      <c r="A128" s="27">
        <v>124</v>
      </c>
      <c r="B128" s="28" t="s">
        <v>4676</v>
      </c>
      <c r="C128" s="28" t="s">
        <v>4677</v>
      </c>
      <c r="D128" s="29" t="s">
        <v>1584</v>
      </c>
      <c r="E128" s="196">
        <f>[2]Summary!E127</f>
        <v>65</v>
      </c>
      <c r="F128" s="212">
        <f>[2]Summary!F127</f>
        <v>7</v>
      </c>
      <c r="G128" s="30">
        <f t="shared" si="1"/>
        <v>455</v>
      </c>
      <c r="H128" s="28" t="s">
        <v>5893</v>
      </c>
    </row>
    <row r="129" spans="1:8" s="8" customFormat="1">
      <c r="A129" s="191">
        <v>125</v>
      </c>
      <c r="B129" s="192" t="s">
        <v>4678</v>
      </c>
      <c r="C129" s="192" t="s">
        <v>4673</v>
      </c>
      <c r="D129" s="193" t="s">
        <v>1584</v>
      </c>
      <c r="E129" s="194">
        <f>[2]Summary!E128</f>
        <v>40</v>
      </c>
      <c r="F129" s="211">
        <f>[2]Summary!F128</f>
        <v>8</v>
      </c>
      <c r="G129" s="195">
        <f t="shared" si="1"/>
        <v>320</v>
      </c>
      <c r="H129" s="193" t="s">
        <v>5893</v>
      </c>
    </row>
    <row r="130" spans="1:8" s="8" customFormat="1">
      <c r="A130" s="27">
        <v>126</v>
      </c>
      <c r="B130" s="28" t="s">
        <v>4679</v>
      </c>
      <c r="C130" s="28" t="s">
        <v>4680</v>
      </c>
      <c r="D130" s="29" t="s">
        <v>1584</v>
      </c>
      <c r="E130" s="196">
        <f>[2]Summary!E129</f>
        <v>2.5</v>
      </c>
      <c r="F130" s="212">
        <f>[2]Summary!F129</f>
        <v>0</v>
      </c>
      <c r="G130" s="30">
        <f t="shared" si="1"/>
        <v>0</v>
      </c>
      <c r="H130" s="192" t="s">
        <v>5893</v>
      </c>
    </row>
    <row r="131" spans="1:8" s="8" customFormat="1">
      <c r="A131" s="191">
        <v>127</v>
      </c>
      <c r="B131" s="192" t="s">
        <v>4681</v>
      </c>
      <c r="C131" s="192" t="s">
        <v>4682</v>
      </c>
      <c r="D131" s="193" t="s">
        <v>1584</v>
      </c>
      <c r="E131" s="194">
        <f>[2]Summary!E130</f>
        <v>52.5</v>
      </c>
      <c r="F131" s="211">
        <f>[2]Summary!F130</f>
        <v>3</v>
      </c>
      <c r="G131" s="195">
        <f t="shared" si="1"/>
        <v>157.5</v>
      </c>
      <c r="H131" s="193" t="s">
        <v>5893</v>
      </c>
    </row>
    <row r="132" spans="1:8" s="8" customFormat="1">
      <c r="A132" s="27">
        <v>128</v>
      </c>
      <c r="B132" s="28" t="s">
        <v>4683</v>
      </c>
      <c r="C132" s="28" t="s">
        <v>4684</v>
      </c>
      <c r="D132" s="29" t="s">
        <v>1584</v>
      </c>
      <c r="E132" s="196">
        <f>[2]Summary!E131</f>
        <v>11</v>
      </c>
      <c r="F132" s="212">
        <f>[2]Summary!F131</f>
        <v>29</v>
      </c>
      <c r="G132" s="30">
        <f t="shared" si="1"/>
        <v>319</v>
      </c>
      <c r="H132" s="28" t="s">
        <v>5893</v>
      </c>
    </row>
    <row r="133" spans="1:8" s="8" customFormat="1">
      <c r="A133" s="191">
        <v>129</v>
      </c>
      <c r="B133" s="192" t="s">
        <v>4685</v>
      </c>
      <c r="C133" s="192" t="s">
        <v>4686</v>
      </c>
      <c r="D133" s="193" t="s">
        <v>1584</v>
      </c>
      <c r="E133" s="194">
        <f>[2]Summary!E132</f>
        <v>15</v>
      </c>
      <c r="F133" s="211">
        <f>[2]Summary!F132</f>
        <v>1</v>
      </c>
      <c r="G133" s="195">
        <f t="shared" ref="G133:G196" si="2">F133*E133</f>
        <v>15</v>
      </c>
      <c r="H133" s="193" t="s">
        <v>5893</v>
      </c>
    </row>
    <row r="134" spans="1:8" s="8" customFormat="1">
      <c r="A134" s="27">
        <v>130</v>
      </c>
      <c r="B134" s="28" t="s">
        <v>4687</v>
      </c>
      <c r="C134" s="28" t="s">
        <v>4688</v>
      </c>
      <c r="D134" s="29" t="s">
        <v>1584</v>
      </c>
      <c r="E134" s="196">
        <f>[2]Summary!E133</f>
        <v>18</v>
      </c>
      <c r="F134" s="212">
        <f>[2]Summary!F133</f>
        <v>18</v>
      </c>
      <c r="G134" s="30">
        <f t="shared" si="2"/>
        <v>324</v>
      </c>
      <c r="H134" s="28" t="s">
        <v>5893</v>
      </c>
    </row>
    <row r="135" spans="1:8" s="8" customFormat="1">
      <c r="A135" s="191">
        <v>131</v>
      </c>
      <c r="B135" s="192" t="s">
        <v>4689</v>
      </c>
      <c r="C135" s="192" t="s">
        <v>4690</v>
      </c>
      <c r="D135" s="193" t="s">
        <v>1584</v>
      </c>
      <c r="E135" s="194">
        <f>[2]Summary!E134</f>
        <v>87.25</v>
      </c>
      <c r="F135" s="211">
        <f>[2]Summary!F134</f>
        <v>3</v>
      </c>
      <c r="G135" s="195">
        <f t="shared" si="2"/>
        <v>261.75</v>
      </c>
      <c r="H135" s="28" t="s">
        <v>5893</v>
      </c>
    </row>
    <row r="136" spans="1:8" s="8" customFormat="1">
      <c r="A136" s="27">
        <v>132</v>
      </c>
      <c r="B136" s="28" t="s">
        <v>4691</v>
      </c>
      <c r="C136" s="28" t="s">
        <v>4692</v>
      </c>
      <c r="D136" s="29" t="s">
        <v>1584</v>
      </c>
      <c r="E136" s="196">
        <f>[2]Summary!E135</f>
        <v>0.3</v>
      </c>
      <c r="F136" s="212">
        <f>[2]Summary!F135</f>
        <v>0</v>
      </c>
      <c r="G136" s="30">
        <f t="shared" si="2"/>
        <v>0</v>
      </c>
      <c r="H136" s="192" t="s">
        <v>5892</v>
      </c>
    </row>
    <row r="137" spans="1:8" s="8" customFormat="1">
      <c r="A137" s="191">
        <v>133</v>
      </c>
      <c r="B137" s="192" t="s">
        <v>4693</v>
      </c>
      <c r="C137" s="192" t="s">
        <v>4694</v>
      </c>
      <c r="D137" s="193" t="s">
        <v>1584</v>
      </c>
      <c r="E137" s="194">
        <f>[2]Summary!E136</f>
        <v>5</v>
      </c>
      <c r="F137" s="211">
        <f>[2]Summary!F136</f>
        <v>0</v>
      </c>
      <c r="G137" s="195">
        <f t="shared" si="2"/>
        <v>0</v>
      </c>
      <c r="H137" s="192" t="s">
        <v>5892</v>
      </c>
    </row>
    <row r="138" spans="1:8" s="8" customFormat="1">
      <c r="A138" s="27">
        <v>134</v>
      </c>
      <c r="B138" s="28" t="s">
        <v>4693</v>
      </c>
      <c r="C138" s="28" t="s">
        <v>4695</v>
      </c>
      <c r="D138" s="29" t="s">
        <v>1584</v>
      </c>
      <c r="E138" s="196">
        <f>[2]Summary!E137</f>
        <v>2</v>
      </c>
      <c r="F138" s="212">
        <f>[2]Summary!F137</f>
        <v>20</v>
      </c>
      <c r="G138" s="30">
        <f t="shared" si="2"/>
        <v>40</v>
      </c>
      <c r="H138" s="28" t="s">
        <v>5892</v>
      </c>
    </row>
    <row r="139" spans="1:8" s="8" customFormat="1">
      <c r="A139" s="191">
        <v>135</v>
      </c>
      <c r="B139" s="192" t="s">
        <v>4693</v>
      </c>
      <c r="C139" s="192" t="s">
        <v>4696</v>
      </c>
      <c r="D139" s="193" t="s">
        <v>1584</v>
      </c>
      <c r="E139" s="194">
        <f>[2]Summary!E138</f>
        <v>1</v>
      </c>
      <c r="F139" s="211">
        <f>[2]Summary!F138</f>
        <v>0</v>
      </c>
      <c r="G139" s="195">
        <f t="shared" si="2"/>
        <v>0</v>
      </c>
      <c r="H139" s="192" t="s">
        <v>5892</v>
      </c>
    </row>
    <row r="140" spans="1:8" s="8" customFormat="1">
      <c r="A140" s="27">
        <v>136</v>
      </c>
      <c r="B140" s="28" t="s">
        <v>4693</v>
      </c>
      <c r="C140" s="28" t="s">
        <v>4697</v>
      </c>
      <c r="D140" s="29" t="s">
        <v>1584</v>
      </c>
      <c r="E140" s="196">
        <f>[2]Summary!E139</f>
        <v>1.02</v>
      </c>
      <c r="F140" s="212">
        <f>[2]Summary!F139</f>
        <v>2</v>
      </c>
      <c r="G140" s="30">
        <f t="shared" si="2"/>
        <v>2.04</v>
      </c>
      <c r="H140" s="28" t="s">
        <v>5892</v>
      </c>
    </row>
    <row r="141" spans="1:8" s="8" customFormat="1">
      <c r="A141" s="191">
        <v>137</v>
      </c>
      <c r="B141" s="192" t="s">
        <v>4698</v>
      </c>
      <c r="C141" s="192" t="s">
        <v>4699</v>
      </c>
      <c r="D141" s="193" t="s">
        <v>1584</v>
      </c>
      <c r="E141" s="194">
        <f>[2]Summary!E140</f>
        <v>13</v>
      </c>
      <c r="F141" s="211">
        <f>[2]Summary!F140</f>
        <v>0</v>
      </c>
      <c r="G141" s="195">
        <f t="shared" si="2"/>
        <v>0</v>
      </c>
      <c r="H141" s="192" t="s">
        <v>5904</v>
      </c>
    </row>
    <row r="142" spans="1:8" s="8" customFormat="1">
      <c r="A142" s="27">
        <v>138</v>
      </c>
      <c r="B142" s="28" t="s">
        <v>4700</v>
      </c>
      <c r="C142" s="28" t="s">
        <v>4701</v>
      </c>
      <c r="D142" s="29" t="s">
        <v>1584</v>
      </c>
      <c r="E142" s="196">
        <f>[2]Summary!E141</f>
        <v>12</v>
      </c>
      <c r="F142" s="212">
        <f>[2]Summary!F141</f>
        <v>1</v>
      </c>
      <c r="G142" s="30">
        <f t="shared" si="2"/>
        <v>12</v>
      </c>
      <c r="H142" s="28" t="s">
        <v>5904</v>
      </c>
    </row>
    <row r="143" spans="1:8" s="8" customFormat="1">
      <c r="A143" s="191">
        <v>139</v>
      </c>
      <c r="B143" s="192" t="s">
        <v>4702</v>
      </c>
      <c r="C143" s="192" t="s">
        <v>4703</v>
      </c>
      <c r="D143" s="193" t="s">
        <v>1584</v>
      </c>
      <c r="E143" s="194">
        <f>[2]Summary!E142</f>
        <v>10.8</v>
      </c>
      <c r="F143" s="211">
        <f>[2]Summary!F142</f>
        <v>8</v>
      </c>
      <c r="G143" s="195">
        <f t="shared" si="2"/>
        <v>86.4</v>
      </c>
      <c r="H143" s="192" t="s">
        <v>5904</v>
      </c>
    </row>
    <row r="144" spans="1:8" s="8" customFormat="1">
      <c r="A144" s="27">
        <v>140</v>
      </c>
      <c r="B144" s="28" t="s">
        <v>4704</v>
      </c>
      <c r="C144" s="28" t="s">
        <v>4705</v>
      </c>
      <c r="D144" s="29" t="s">
        <v>1584</v>
      </c>
      <c r="E144" s="196">
        <f>[2]Summary!E143</f>
        <v>12</v>
      </c>
      <c r="F144" s="212">
        <f>[2]Summary!F143</f>
        <v>4</v>
      </c>
      <c r="G144" s="30">
        <f t="shared" si="2"/>
        <v>48</v>
      </c>
      <c r="H144" s="28" t="s">
        <v>5904</v>
      </c>
    </row>
    <row r="145" spans="1:8" s="8" customFormat="1">
      <c r="A145" s="191">
        <v>141</v>
      </c>
      <c r="B145" s="192" t="s">
        <v>4706</v>
      </c>
      <c r="C145" s="192" t="s">
        <v>4707</v>
      </c>
      <c r="D145" s="193" t="s">
        <v>1584</v>
      </c>
      <c r="E145" s="194">
        <f>[2]Summary!E144</f>
        <v>13.5</v>
      </c>
      <c r="F145" s="211">
        <f>[2]Summary!F144</f>
        <v>10</v>
      </c>
      <c r="G145" s="195">
        <f t="shared" si="2"/>
        <v>135</v>
      </c>
      <c r="H145" s="192" t="s">
        <v>5904</v>
      </c>
    </row>
    <row r="146" spans="1:8" s="8" customFormat="1">
      <c r="A146" s="27">
        <v>142</v>
      </c>
      <c r="B146" s="28" t="s">
        <v>4708</v>
      </c>
      <c r="C146" s="28" t="s">
        <v>4709</v>
      </c>
      <c r="D146" s="29" t="s">
        <v>1584</v>
      </c>
      <c r="E146" s="196">
        <f>[2]Summary!E145</f>
        <v>14.96</v>
      </c>
      <c r="F146" s="212">
        <f>[2]Summary!F145</f>
        <v>3</v>
      </c>
      <c r="G146" s="30">
        <f t="shared" si="2"/>
        <v>44.88</v>
      </c>
      <c r="H146" s="28" t="s">
        <v>5904</v>
      </c>
    </row>
    <row r="147" spans="1:8" s="8" customFormat="1">
      <c r="A147" s="191">
        <v>143</v>
      </c>
      <c r="B147" s="192" t="s">
        <v>4710</v>
      </c>
      <c r="C147" s="192" t="s">
        <v>4711</v>
      </c>
      <c r="D147" s="193" t="s">
        <v>1584</v>
      </c>
      <c r="E147" s="194">
        <f>[2]Summary!E146</f>
        <v>16.326000000000001</v>
      </c>
      <c r="F147" s="211">
        <f>[2]Summary!F146</f>
        <v>5</v>
      </c>
      <c r="G147" s="195">
        <f t="shared" si="2"/>
        <v>81.63</v>
      </c>
      <c r="H147" s="192" t="s">
        <v>5904</v>
      </c>
    </row>
    <row r="148" spans="1:8" s="8" customFormat="1">
      <c r="A148" s="27">
        <v>144</v>
      </c>
      <c r="B148" s="28" t="s">
        <v>4712</v>
      </c>
      <c r="C148" s="28" t="s">
        <v>4713</v>
      </c>
      <c r="D148" s="29" t="s">
        <v>1584</v>
      </c>
      <c r="E148" s="196">
        <f>[2]Summary!E147</f>
        <v>1.5</v>
      </c>
      <c r="F148" s="212">
        <f>[2]Summary!F147</f>
        <v>0</v>
      </c>
      <c r="G148" s="30">
        <f t="shared" si="2"/>
        <v>0</v>
      </c>
      <c r="H148" s="28" t="s">
        <v>5905</v>
      </c>
    </row>
    <row r="149" spans="1:8" s="8" customFormat="1">
      <c r="A149" s="191">
        <v>145</v>
      </c>
      <c r="B149" s="192" t="s">
        <v>4714</v>
      </c>
      <c r="C149" s="192" t="s">
        <v>4715</v>
      </c>
      <c r="D149" s="193" t="s">
        <v>1584</v>
      </c>
      <c r="E149" s="194">
        <f>[2]Summary!E148</f>
        <v>0.2</v>
      </c>
      <c r="F149" s="211">
        <f>[2]Summary!F148</f>
        <v>350</v>
      </c>
      <c r="G149" s="195">
        <f t="shared" si="2"/>
        <v>70</v>
      </c>
      <c r="H149" s="192" t="s">
        <v>5897</v>
      </c>
    </row>
    <row r="150" spans="1:8" s="8" customFormat="1">
      <c r="A150" s="27">
        <v>146</v>
      </c>
      <c r="B150" s="28" t="s">
        <v>4716</v>
      </c>
      <c r="C150" s="28" t="s">
        <v>4717</v>
      </c>
      <c r="D150" s="29" t="s">
        <v>1584</v>
      </c>
      <c r="E150" s="196">
        <f>[2]Summary!E149</f>
        <v>1</v>
      </c>
      <c r="F150" s="212">
        <f>[2]Summary!F149</f>
        <v>2</v>
      </c>
      <c r="G150" s="30">
        <f t="shared" si="2"/>
        <v>2</v>
      </c>
      <c r="H150" s="28" t="s">
        <v>5905</v>
      </c>
    </row>
    <row r="151" spans="1:8" s="8" customFormat="1">
      <c r="A151" s="191">
        <v>147</v>
      </c>
      <c r="B151" s="192" t="s">
        <v>4718</v>
      </c>
      <c r="C151" s="192" t="s">
        <v>4719</v>
      </c>
      <c r="D151" s="193" t="s">
        <v>1584</v>
      </c>
      <c r="E151" s="194">
        <f>[2]Summary!E150</f>
        <v>10</v>
      </c>
      <c r="F151" s="211">
        <f>[2]Summary!F150</f>
        <v>6</v>
      </c>
      <c r="G151" s="195">
        <f t="shared" si="2"/>
        <v>60</v>
      </c>
      <c r="H151" s="192" t="s">
        <v>5901</v>
      </c>
    </row>
    <row r="152" spans="1:8" s="8" customFormat="1">
      <c r="A152" s="27">
        <v>148</v>
      </c>
      <c r="B152" s="28" t="s">
        <v>4720</v>
      </c>
      <c r="C152" s="28" t="s">
        <v>4721</v>
      </c>
      <c r="D152" s="29" t="s">
        <v>1584</v>
      </c>
      <c r="E152" s="196">
        <f>[2]Summary!E151</f>
        <v>3.5</v>
      </c>
      <c r="F152" s="212">
        <f>[2]Summary!F151</f>
        <v>9</v>
      </c>
      <c r="G152" s="30">
        <f t="shared" si="2"/>
        <v>31.5</v>
      </c>
      <c r="H152" s="28" t="s">
        <v>5889</v>
      </c>
    </row>
    <row r="153" spans="1:8" s="8" customFormat="1">
      <c r="A153" s="191">
        <v>149</v>
      </c>
      <c r="B153" s="192" t="s">
        <v>4722</v>
      </c>
      <c r="C153" s="192" t="s">
        <v>4723</v>
      </c>
      <c r="D153" s="193" t="s">
        <v>1584</v>
      </c>
      <c r="E153" s="194">
        <f>[2]Summary!E152</f>
        <v>6</v>
      </c>
      <c r="F153" s="211">
        <f>[2]Summary!F152</f>
        <v>0</v>
      </c>
      <c r="G153" s="195">
        <f t="shared" si="2"/>
        <v>0</v>
      </c>
      <c r="H153" s="192" t="s">
        <v>5889</v>
      </c>
    </row>
    <row r="154" spans="1:8" s="8" customFormat="1">
      <c r="A154" s="27">
        <v>150</v>
      </c>
      <c r="B154" s="28" t="s">
        <v>4724</v>
      </c>
      <c r="C154" s="28" t="s">
        <v>4725</v>
      </c>
      <c r="D154" s="29" t="s">
        <v>4479</v>
      </c>
      <c r="E154" s="196">
        <f>[2]Summary!E153</f>
        <v>3</v>
      </c>
      <c r="F154" s="212">
        <f>[2]Summary!F153</f>
        <v>0</v>
      </c>
      <c r="G154" s="30">
        <f t="shared" si="2"/>
        <v>0</v>
      </c>
      <c r="H154" s="28" t="s">
        <v>5897</v>
      </c>
    </row>
    <row r="155" spans="1:8" s="8" customFormat="1">
      <c r="A155" s="191">
        <v>151</v>
      </c>
      <c r="B155" s="192" t="s">
        <v>4726</v>
      </c>
      <c r="C155" s="192" t="s">
        <v>4727</v>
      </c>
      <c r="D155" s="193" t="s">
        <v>1584</v>
      </c>
      <c r="E155" s="194">
        <f>[2]Summary!E154</f>
        <v>0.45</v>
      </c>
      <c r="F155" s="211">
        <f>[2]Summary!F154</f>
        <v>216</v>
      </c>
      <c r="G155" s="195">
        <f t="shared" si="2"/>
        <v>97.2</v>
      </c>
      <c r="H155" s="192" t="s">
        <v>5889</v>
      </c>
    </row>
    <row r="156" spans="1:8" s="8" customFormat="1">
      <c r="A156" s="27">
        <v>152</v>
      </c>
      <c r="B156" s="28" t="s">
        <v>4728</v>
      </c>
      <c r="C156" s="28" t="s">
        <v>4729</v>
      </c>
      <c r="D156" s="29" t="s">
        <v>1584</v>
      </c>
      <c r="E156" s="196">
        <f>[2]Summary!E155</f>
        <v>4.1700000000000001E-2</v>
      </c>
      <c r="F156" s="212">
        <f>[2]Summary!F155</f>
        <v>0</v>
      </c>
      <c r="G156" s="30">
        <f t="shared" si="2"/>
        <v>0</v>
      </c>
      <c r="H156" s="28" t="s">
        <v>5889</v>
      </c>
    </row>
    <row r="157" spans="1:8" s="8" customFormat="1">
      <c r="A157" s="191">
        <v>153</v>
      </c>
      <c r="B157" s="192" t="s">
        <v>4730</v>
      </c>
      <c r="C157" s="192" t="s">
        <v>4731</v>
      </c>
      <c r="D157" s="193" t="s">
        <v>1584</v>
      </c>
      <c r="E157" s="194">
        <f>[2]Summary!E156</f>
        <v>0.65</v>
      </c>
      <c r="F157" s="211">
        <f>[2]Summary!F156</f>
        <v>79</v>
      </c>
      <c r="G157" s="195">
        <f t="shared" si="2"/>
        <v>51.35</v>
      </c>
      <c r="H157" s="192" t="s">
        <v>5889</v>
      </c>
    </row>
    <row r="158" spans="1:8" s="8" customFormat="1">
      <c r="A158" s="27">
        <v>154</v>
      </c>
      <c r="B158" s="28" t="s">
        <v>4732</v>
      </c>
      <c r="C158" s="28" t="s">
        <v>4733</v>
      </c>
      <c r="D158" s="29" t="s">
        <v>1584</v>
      </c>
      <c r="E158" s="196">
        <f>[2]Summary!E157</f>
        <v>15</v>
      </c>
      <c r="F158" s="212">
        <f>[2]Summary!F157</f>
        <v>0</v>
      </c>
      <c r="G158" s="30">
        <f t="shared" si="2"/>
        <v>0</v>
      </c>
      <c r="H158" s="28" t="s">
        <v>5889</v>
      </c>
    </row>
    <row r="159" spans="1:8" s="8" customFormat="1">
      <c r="A159" s="191">
        <v>155</v>
      </c>
      <c r="B159" s="192" t="s">
        <v>4734</v>
      </c>
      <c r="C159" s="192" t="s">
        <v>4735</v>
      </c>
      <c r="D159" s="193" t="s">
        <v>1584</v>
      </c>
      <c r="E159" s="194">
        <f>[2]Summary!E158</f>
        <v>0.8</v>
      </c>
      <c r="F159" s="211">
        <f>[2]Summary!F158</f>
        <v>5</v>
      </c>
      <c r="G159" s="195">
        <f t="shared" si="2"/>
        <v>4</v>
      </c>
      <c r="H159" s="192" t="s">
        <v>5904</v>
      </c>
    </row>
    <row r="160" spans="1:8" s="8" customFormat="1">
      <c r="A160" s="27">
        <v>156</v>
      </c>
      <c r="B160" s="28" t="s">
        <v>4736</v>
      </c>
      <c r="C160" s="28" t="s">
        <v>4737</v>
      </c>
      <c r="D160" s="29" t="s">
        <v>1584</v>
      </c>
      <c r="E160" s="196">
        <f>[2]Summary!E159</f>
        <v>0.5</v>
      </c>
      <c r="F160" s="212">
        <f>[2]Summary!F159</f>
        <v>115</v>
      </c>
      <c r="G160" s="30">
        <f t="shared" si="2"/>
        <v>57.5</v>
      </c>
      <c r="H160" s="28" t="s">
        <v>5893</v>
      </c>
    </row>
    <row r="161" spans="1:8" s="8" customFormat="1">
      <c r="A161" s="191">
        <v>157</v>
      </c>
      <c r="B161" s="192" t="s">
        <v>4738</v>
      </c>
      <c r="C161" s="192" t="s">
        <v>4739</v>
      </c>
      <c r="D161" s="193" t="s">
        <v>1584</v>
      </c>
      <c r="E161" s="194">
        <f>[2]Summary!E160</f>
        <v>0.8</v>
      </c>
      <c r="F161" s="211">
        <f>[2]Summary!F160</f>
        <v>430</v>
      </c>
      <c r="G161" s="195">
        <f t="shared" si="2"/>
        <v>344</v>
      </c>
      <c r="H161" s="193" t="s">
        <v>5893</v>
      </c>
    </row>
    <row r="162" spans="1:8" s="8" customFormat="1">
      <c r="A162" s="27">
        <v>158</v>
      </c>
      <c r="B162" s="28" t="s">
        <v>4740</v>
      </c>
      <c r="C162" s="28" t="s">
        <v>4741</v>
      </c>
      <c r="D162" s="29" t="s">
        <v>1584</v>
      </c>
      <c r="E162" s="196">
        <f>[2]Summary!E161</f>
        <v>1.1000000000000001</v>
      </c>
      <c r="F162" s="212">
        <f>[2]Summary!F161</f>
        <v>415</v>
      </c>
      <c r="G162" s="30">
        <f t="shared" si="2"/>
        <v>456.50000000000006</v>
      </c>
      <c r="H162" s="28" t="s">
        <v>5893</v>
      </c>
    </row>
    <row r="163" spans="1:8" s="8" customFormat="1">
      <c r="A163" s="191">
        <v>159</v>
      </c>
      <c r="B163" s="192" t="s">
        <v>4742</v>
      </c>
      <c r="C163" s="192" t="s">
        <v>4743</v>
      </c>
      <c r="D163" s="193" t="s">
        <v>1584</v>
      </c>
      <c r="E163" s="194">
        <f>[2]Summary!E162</f>
        <v>1.5</v>
      </c>
      <c r="F163" s="211">
        <f>[2]Summary!F162</f>
        <v>85</v>
      </c>
      <c r="G163" s="195">
        <f t="shared" si="2"/>
        <v>127.5</v>
      </c>
      <c r="H163" s="193" t="s">
        <v>5893</v>
      </c>
    </row>
    <row r="164" spans="1:8" s="8" customFormat="1">
      <c r="A164" s="27">
        <v>160</v>
      </c>
      <c r="B164" s="28" t="s">
        <v>4744</v>
      </c>
      <c r="C164" s="28" t="s">
        <v>4745</v>
      </c>
      <c r="D164" s="29" t="s">
        <v>1584</v>
      </c>
      <c r="E164" s="196">
        <f>[2]Summary!E163</f>
        <v>2.75</v>
      </c>
      <c r="F164" s="212">
        <f>[2]Summary!F163</f>
        <v>434</v>
      </c>
      <c r="G164" s="30">
        <f t="shared" si="2"/>
        <v>1193.5</v>
      </c>
      <c r="H164" s="28" t="s">
        <v>5893</v>
      </c>
    </row>
    <row r="165" spans="1:8" s="8" customFormat="1">
      <c r="A165" s="191">
        <v>161</v>
      </c>
      <c r="B165" s="192" t="s">
        <v>4746</v>
      </c>
      <c r="C165" s="192" t="s">
        <v>4747</v>
      </c>
      <c r="D165" s="193" t="s">
        <v>1584</v>
      </c>
      <c r="E165" s="194">
        <f>[2]Summary!E164</f>
        <v>65</v>
      </c>
      <c r="F165" s="211">
        <f>[2]Summary!F164</f>
        <v>7</v>
      </c>
      <c r="G165" s="195">
        <f t="shared" si="2"/>
        <v>455</v>
      </c>
      <c r="H165" s="193" t="s">
        <v>5893</v>
      </c>
    </row>
    <row r="166" spans="1:8" s="8" customFormat="1">
      <c r="A166" s="27">
        <v>162</v>
      </c>
      <c r="B166" s="28" t="s">
        <v>4748</v>
      </c>
      <c r="C166" s="28" t="s">
        <v>4749</v>
      </c>
      <c r="D166" s="29" t="s">
        <v>1584</v>
      </c>
      <c r="E166" s="196">
        <f>[2]Summary!E165</f>
        <v>81.5</v>
      </c>
      <c r="F166" s="212">
        <f>[2]Summary!F165</f>
        <v>0</v>
      </c>
      <c r="G166" s="30">
        <f t="shared" si="2"/>
        <v>0</v>
      </c>
      <c r="H166" s="28" t="s">
        <v>5893</v>
      </c>
    </row>
    <row r="167" spans="1:8" s="8" customFormat="1">
      <c r="A167" s="191">
        <v>163</v>
      </c>
      <c r="B167" s="192" t="s">
        <v>4750</v>
      </c>
      <c r="C167" s="192" t="s">
        <v>4751</v>
      </c>
      <c r="D167" s="193" t="s">
        <v>1584</v>
      </c>
      <c r="E167" s="194">
        <f>[2]Summary!E166</f>
        <v>2</v>
      </c>
      <c r="F167" s="211">
        <f>[2]Summary!F166</f>
        <v>7</v>
      </c>
      <c r="G167" s="195">
        <f t="shared" si="2"/>
        <v>14</v>
      </c>
      <c r="H167" s="192" t="s">
        <v>5892</v>
      </c>
    </row>
    <row r="168" spans="1:8" s="8" customFormat="1">
      <c r="A168" s="27">
        <v>164</v>
      </c>
      <c r="B168" s="28" t="s">
        <v>4752</v>
      </c>
      <c r="C168" s="28" t="s">
        <v>4753</v>
      </c>
      <c r="D168" s="29" t="s">
        <v>1584</v>
      </c>
      <c r="E168" s="196">
        <f>[2]Summary!E167</f>
        <v>0.8</v>
      </c>
      <c r="F168" s="212">
        <f>[2]Summary!F167</f>
        <v>25</v>
      </c>
      <c r="G168" s="30">
        <f t="shared" si="2"/>
        <v>20</v>
      </c>
      <c r="H168" s="28" t="s">
        <v>5901</v>
      </c>
    </row>
    <row r="169" spans="1:8" s="8" customFormat="1">
      <c r="A169" s="191">
        <v>165</v>
      </c>
      <c r="B169" s="192" t="s">
        <v>4754</v>
      </c>
      <c r="C169" s="192" t="s">
        <v>4755</v>
      </c>
      <c r="D169" s="193" t="s">
        <v>1584</v>
      </c>
      <c r="E169" s="194">
        <f>[2]Summary!E168</f>
        <v>1.5</v>
      </c>
      <c r="F169" s="211">
        <f>[2]Summary!F168</f>
        <v>11</v>
      </c>
      <c r="G169" s="195">
        <f t="shared" si="2"/>
        <v>16.5</v>
      </c>
      <c r="H169" s="192" t="s">
        <v>5901</v>
      </c>
    </row>
    <row r="170" spans="1:8" s="8" customFormat="1">
      <c r="A170" s="27">
        <v>166</v>
      </c>
      <c r="B170" s="28" t="s">
        <v>4756</v>
      </c>
      <c r="C170" s="28" t="s">
        <v>4757</v>
      </c>
      <c r="D170" s="29" t="s">
        <v>1584</v>
      </c>
      <c r="E170" s="196">
        <f>[2]Summary!E169</f>
        <v>8.5</v>
      </c>
      <c r="F170" s="212">
        <f>[2]Summary!F169</f>
        <v>5</v>
      </c>
      <c r="G170" s="30">
        <f t="shared" si="2"/>
        <v>42.5</v>
      </c>
      <c r="H170" s="28" t="s">
        <v>5906</v>
      </c>
    </row>
    <row r="171" spans="1:8" s="8" customFormat="1">
      <c r="A171" s="191">
        <v>167</v>
      </c>
      <c r="B171" s="192" t="s">
        <v>4758</v>
      </c>
      <c r="C171" s="192" t="s">
        <v>4759</v>
      </c>
      <c r="D171" s="193" t="s">
        <v>1584</v>
      </c>
      <c r="E171" s="194">
        <f>[2]Summary!E170</f>
        <v>9</v>
      </c>
      <c r="F171" s="211">
        <f>[2]Summary!F170</f>
        <v>1</v>
      </c>
      <c r="G171" s="195">
        <f t="shared" si="2"/>
        <v>9</v>
      </c>
      <c r="H171" s="192" t="s">
        <v>5906</v>
      </c>
    </row>
    <row r="172" spans="1:8" s="8" customFormat="1">
      <c r="A172" s="27">
        <v>168</v>
      </c>
      <c r="B172" s="28" t="s">
        <v>4760</v>
      </c>
      <c r="C172" s="28" t="s">
        <v>4761</v>
      </c>
      <c r="D172" s="29" t="s">
        <v>1584</v>
      </c>
      <c r="E172" s="196">
        <f>[2]Summary!E171</f>
        <v>11</v>
      </c>
      <c r="F172" s="212">
        <f>[2]Summary!F171</f>
        <v>2</v>
      </c>
      <c r="G172" s="30">
        <f t="shared" si="2"/>
        <v>22</v>
      </c>
      <c r="H172" s="28" t="s">
        <v>5906</v>
      </c>
    </row>
    <row r="173" spans="1:8" s="8" customFormat="1">
      <c r="A173" s="191">
        <v>169</v>
      </c>
      <c r="B173" s="192" t="s">
        <v>4762</v>
      </c>
      <c r="C173" s="192" t="s">
        <v>4763</v>
      </c>
      <c r="D173" s="193" t="s">
        <v>1584</v>
      </c>
      <c r="E173" s="194">
        <f>[2]Summary!E172</f>
        <v>1.25</v>
      </c>
      <c r="F173" s="211">
        <f>[2]Summary!F172</f>
        <v>14</v>
      </c>
      <c r="G173" s="195">
        <f t="shared" si="2"/>
        <v>17.5</v>
      </c>
      <c r="H173" s="192" t="s">
        <v>5906</v>
      </c>
    </row>
    <row r="174" spans="1:8" s="8" customFormat="1">
      <c r="A174" s="27">
        <v>170</v>
      </c>
      <c r="B174" s="28" t="s">
        <v>4764</v>
      </c>
      <c r="C174" s="28" t="s">
        <v>4765</v>
      </c>
      <c r="D174" s="29" t="s">
        <v>1584</v>
      </c>
      <c r="E174" s="196">
        <f>[2]Summary!E173</f>
        <v>1.5</v>
      </c>
      <c r="F174" s="212">
        <f>[2]Summary!F173</f>
        <v>5</v>
      </c>
      <c r="G174" s="30">
        <f t="shared" si="2"/>
        <v>7.5</v>
      </c>
      <c r="H174" s="28" t="s">
        <v>5906</v>
      </c>
    </row>
    <row r="175" spans="1:8" s="8" customFormat="1">
      <c r="A175" s="191">
        <v>171</v>
      </c>
      <c r="B175" s="192" t="s">
        <v>4766</v>
      </c>
      <c r="C175" s="192" t="s">
        <v>4767</v>
      </c>
      <c r="D175" s="193" t="s">
        <v>1584</v>
      </c>
      <c r="E175" s="194">
        <f>[2]Summary!E174</f>
        <v>1.6</v>
      </c>
      <c r="F175" s="211">
        <f>[2]Summary!F174</f>
        <v>13</v>
      </c>
      <c r="G175" s="195">
        <f t="shared" si="2"/>
        <v>20.8</v>
      </c>
      <c r="H175" s="192" t="s">
        <v>5906</v>
      </c>
    </row>
    <row r="176" spans="1:8" s="8" customFormat="1">
      <c r="A176" s="27">
        <v>172</v>
      </c>
      <c r="B176" s="28" t="s">
        <v>4768</v>
      </c>
      <c r="C176" s="28" t="s">
        <v>4769</v>
      </c>
      <c r="D176" s="29" t="s">
        <v>1584</v>
      </c>
      <c r="E176" s="196">
        <f>[2]Summary!E175</f>
        <v>1.75</v>
      </c>
      <c r="F176" s="212">
        <f>[2]Summary!F175</f>
        <v>26</v>
      </c>
      <c r="G176" s="30">
        <f t="shared" si="2"/>
        <v>45.5</v>
      </c>
      <c r="H176" s="28" t="s">
        <v>5906</v>
      </c>
    </row>
    <row r="177" spans="1:8" s="8" customFormat="1">
      <c r="A177" s="191">
        <v>173</v>
      </c>
      <c r="B177" s="192" t="s">
        <v>4770</v>
      </c>
      <c r="C177" s="192" t="s">
        <v>4771</v>
      </c>
      <c r="D177" s="193" t="s">
        <v>1584</v>
      </c>
      <c r="E177" s="194">
        <f>[2]Summary!E176</f>
        <v>2.4</v>
      </c>
      <c r="F177" s="211">
        <f>[2]Summary!F176</f>
        <v>2</v>
      </c>
      <c r="G177" s="195">
        <f t="shared" si="2"/>
        <v>4.8</v>
      </c>
      <c r="H177" s="192" t="s">
        <v>5906</v>
      </c>
    </row>
    <row r="178" spans="1:8" s="8" customFormat="1">
      <c r="A178" s="27">
        <v>174</v>
      </c>
      <c r="B178" s="28" t="s">
        <v>4772</v>
      </c>
      <c r="C178" s="28" t="s">
        <v>4773</v>
      </c>
      <c r="D178" s="29" t="s">
        <v>1584</v>
      </c>
      <c r="E178" s="196">
        <f>[2]Summary!E177</f>
        <v>2.1</v>
      </c>
      <c r="F178" s="212">
        <f>[2]Summary!F177</f>
        <v>9</v>
      </c>
      <c r="G178" s="30">
        <f t="shared" si="2"/>
        <v>18.900000000000002</v>
      </c>
      <c r="H178" s="28" t="s">
        <v>5906</v>
      </c>
    </row>
    <row r="179" spans="1:8" s="8" customFormat="1">
      <c r="A179" s="191">
        <v>175</v>
      </c>
      <c r="B179" s="192" t="s">
        <v>4774</v>
      </c>
      <c r="C179" s="192" t="s">
        <v>4775</v>
      </c>
      <c r="D179" s="193" t="s">
        <v>1584</v>
      </c>
      <c r="E179" s="194">
        <f>[2]Summary!E178</f>
        <v>2.5</v>
      </c>
      <c r="F179" s="211">
        <f>[2]Summary!F178</f>
        <v>7</v>
      </c>
      <c r="G179" s="195">
        <f t="shared" si="2"/>
        <v>17.5</v>
      </c>
      <c r="H179" s="192" t="s">
        <v>5906</v>
      </c>
    </row>
    <row r="180" spans="1:8" s="8" customFormat="1">
      <c r="A180" s="27">
        <v>176</v>
      </c>
      <c r="B180" s="28" t="s">
        <v>4776</v>
      </c>
      <c r="C180" s="28" t="s">
        <v>4777</v>
      </c>
      <c r="D180" s="29" t="s">
        <v>1584</v>
      </c>
      <c r="E180" s="196">
        <f>[2]Summary!E179</f>
        <v>2.25</v>
      </c>
      <c r="F180" s="212">
        <f>[2]Summary!F179</f>
        <v>2</v>
      </c>
      <c r="G180" s="30">
        <f t="shared" si="2"/>
        <v>4.5</v>
      </c>
      <c r="H180" s="28" t="s">
        <v>5906</v>
      </c>
    </row>
    <row r="181" spans="1:8" s="8" customFormat="1">
      <c r="A181" s="191">
        <v>177</v>
      </c>
      <c r="B181" s="192" t="s">
        <v>4778</v>
      </c>
      <c r="C181" s="192" t="s">
        <v>4779</v>
      </c>
      <c r="D181" s="193" t="s">
        <v>1584</v>
      </c>
      <c r="E181" s="194">
        <f>[2]Summary!E180</f>
        <v>2.35</v>
      </c>
      <c r="F181" s="211">
        <f>[2]Summary!F180</f>
        <v>33</v>
      </c>
      <c r="G181" s="195">
        <f t="shared" si="2"/>
        <v>77.55</v>
      </c>
      <c r="H181" s="192" t="s">
        <v>5906</v>
      </c>
    </row>
    <row r="182" spans="1:8" s="8" customFormat="1">
      <c r="A182" s="27">
        <v>178</v>
      </c>
      <c r="B182" s="28" t="s">
        <v>4780</v>
      </c>
      <c r="C182" s="28" t="s">
        <v>4781</v>
      </c>
      <c r="D182" s="29" t="s">
        <v>1584</v>
      </c>
      <c r="E182" s="196">
        <f>[2]Summary!E181</f>
        <v>2.5</v>
      </c>
      <c r="F182" s="212">
        <f>[2]Summary!F181</f>
        <v>1</v>
      </c>
      <c r="G182" s="30">
        <f t="shared" si="2"/>
        <v>2.5</v>
      </c>
      <c r="H182" s="28" t="s">
        <v>5906</v>
      </c>
    </row>
    <row r="183" spans="1:8" s="8" customFormat="1">
      <c r="A183" s="191">
        <v>179</v>
      </c>
      <c r="B183" s="192" t="s">
        <v>4782</v>
      </c>
      <c r="C183" s="192" t="s">
        <v>4783</v>
      </c>
      <c r="D183" s="193" t="s">
        <v>1584</v>
      </c>
      <c r="E183" s="194">
        <f>[2]Summary!E182</f>
        <v>3.25</v>
      </c>
      <c r="F183" s="211">
        <f>[2]Summary!F182</f>
        <v>7</v>
      </c>
      <c r="G183" s="195">
        <f t="shared" si="2"/>
        <v>22.75</v>
      </c>
      <c r="H183" s="192" t="s">
        <v>5906</v>
      </c>
    </row>
    <row r="184" spans="1:8" s="8" customFormat="1">
      <c r="A184" s="27">
        <v>180</v>
      </c>
      <c r="B184" s="28" t="s">
        <v>4784</v>
      </c>
      <c r="C184" s="28" t="s">
        <v>4785</v>
      </c>
      <c r="D184" s="29" t="s">
        <v>1584</v>
      </c>
      <c r="E184" s="196">
        <f>[2]Summary!E183</f>
        <v>3.3</v>
      </c>
      <c r="F184" s="212">
        <f>[2]Summary!F183</f>
        <v>0</v>
      </c>
      <c r="G184" s="30">
        <f t="shared" si="2"/>
        <v>0</v>
      </c>
      <c r="H184" s="28" t="s">
        <v>5906</v>
      </c>
    </row>
    <row r="185" spans="1:8" s="8" customFormat="1">
      <c r="A185" s="191">
        <v>181</v>
      </c>
      <c r="B185" s="192" t="s">
        <v>4786</v>
      </c>
      <c r="C185" s="192" t="s">
        <v>4787</v>
      </c>
      <c r="D185" s="193" t="s">
        <v>1584</v>
      </c>
      <c r="E185" s="194">
        <f>[2]Summary!E184</f>
        <v>3.75</v>
      </c>
      <c r="F185" s="211">
        <f>[2]Summary!F184</f>
        <v>28</v>
      </c>
      <c r="G185" s="195">
        <f t="shared" si="2"/>
        <v>105</v>
      </c>
      <c r="H185" s="192" t="s">
        <v>5906</v>
      </c>
    </row>
    <row r="186" spans="1:8" s="8" customFormat="1">
      <c r="A186" s="27">
        <v>182</v>
      </c>
      <c r="B186" s="28" t="s">
        <v>4788</v>
      </c>
      <c r="C186" s="28" t="s">
        <v>4789</v>
      </c>
      <c r="D186" s="29" t="s">
        <v>1584</v>
      </c>
      <c r="E186" s="196">
        <f>[2]Summary!E185</f>
        <v>3.8</v>
      </c>
      <c r="F186" s="212">
        <f>[2]Summary!F185</f>
        <v>15</v>
      </c>
      <c r="G186" s="30">
        <f t="shared" si="2"/>
        <v>57</v>
      </c>
      <c r="H186" s="28" t="s">
        <v>5906</v>
      </c>
    </row>
    <row r="187" spans="1:8" s="8" customFormat="1">
      <c r="A187" s="191">
        <v>183</v>
      </c>
      <c r="B187" s="192" t="s">
        <v>4790</v>
      </c>
      <c r="C187" s="192" t="s">
        <v>4791</v>
      </c>
      <c r="D187" s="193" t="s">
        <v>1584</v>
      </c>
      <c r="E187" s="194">
        <f>[2]Summary!E186</f>
        <v>3.9</v>
      </c>
      <c r="F187" s="211">
        <f>[2]Summary!F186</f>
        <v>17</v>
      </c>
      <c r="G187" s="195">
        <f t="shared" si="2"/>
        <v>66.3</v>
      </c>
      <c r="H187" s="192" t="s">
        <v>5906</v>
      </c>
    </row>
    <row r="188" spans="1:8" s="8" customFormat="1">
      <c r="A188" s="27">
        <v>184</v>
      </c>
      <c r="B188" s="28" t="s">
        <v>4792</v>
      </c>
      <c r="C188" s="28" t="s">
        <v>4793</v>
      </c>
      <c r="D188" s="29" t="s">
        <v>1584</v>
      </c>
      <c r="E188" s="196">
        <f>[2]Summary!E187</f>
        <v>4</v>
      </c>
      <c r="F188" s="212">
        <f>[2]Summary!F187</f>
        <v>1</v>
      </c>
      <c r="G188" s="30">
        <f t="shared" si="2"/>
        <v>4</v>
      </c>
      <c r="H188" s="28" t="s">
        <v>5906</v>
      </c>
    </row>
    <row r="189" spans="1:8" s="8" customFormat="1">
      <c r="A189" s="191">
        <v>185</v>
      </c>
      <c r="B189" s="192" t="s">
        <v>4794</v>
      </c>
      <c r="C189" s="192" t="s">
        <v>4795</v>
      </c>
      <c r="D189" s="193" t="s">
        <v>1584</v>
      </c>
      <c r="E189" s="194">
        <f>[2]Summary!E188</f>
        <v>5</v>
      </c>
      <c r="F189" s="211">
        <f>[2]Summary!F188</f>
        <v>37</v>
      </c>
      <c r="G189" s="195">
        <f t="shared" si="2"/>
        <v>185</v>
      </c>
      <c r="H189" s="192" t="s">
        <v>5906</v>
      </c>
    </row>
    <row r="190" spans="1:8" s="8" customFormat="1">
      <c r="A190" s="27">
        <v>186</v>
      </c>
      <c r="B190" s="28" t="s">
        <v>4796</v>
      </c>
      <c r="C190" s="28" t="s">
        <v>4797</v>
      </c>
      <c r="D190" s="29" t="s">
        <v>1584</v>
      </c>
      <c r="E190" s="196">
        <f>[2]Summary!E189</f>
        <v>5.4</v>
      </c>
      <c r="F190" s="212">
        <f>[2]Summary!F189</f>
        <v>1</v>
      </c>
      <c r="G190" s="30">
        <f t="shared" si="2"/>
        <v>5.4</v>
      </c>
      <c r="H190" s="28" t="s">
        <v>5906</v>
      </c>
    </row>
    <row r="191" spans="1:8" s="8" customFormat="1">
      <c r="A191" s="191">
        <v>187</v>
      </c>
      <c r="B191" s="192" t="s">
        <v>4796</v>
      </c>
      <c r="C191" s="192" t="s">
        <v>4798</v>
      </c>
      <c r="D191" s="193" t="s">
        <v>1584</v>
      </c>
      <c r="E191" s="194">
        <f>[2]Summary!E190</f>
        <v>5.5</v>
      </c>
      <c r="F191" s="211">
        <f>[2]Summary!F190</f>
        <v>7</v>
      </c>
      <c r="G191" s="195">
        <f t="shared" si="2"/>
        <v>38.5</v>
      </c>
      <c r="H191" s="192" t="s">
        <v>5906</v>
      </c>
    </row>
    <row r="192" spans="1:8" s="8" customFormat="1">
      <c r="A192" s="27">
        <v>188</v>
      </c>
      <c r="B192" s="28" t="s">
        <v>4799</v>
      </c>
      <c r="C192" s="28" t="s">
        <v>4800</v>
      </c>
      <c r="D192" s="29" t="s">
        <v>1584</v>
      </c>
      <c r="E192" s="196">
        <f>[2]Summary!E191</f>
        <v>6</v>
      </c>
      <c r="F192" s="212">
        <f>[2]Summary!F191</f>
        <v>12</v>
      </c>
      <c r="G192" s="30">
        <f t="shared" si="2"/>
        <v>72</v>
      </c>
      <c r="H192" s="28" t="s">
        <v>5906</v>
      </c>
    </row>
    <row r="193" spans="1:8" s="8" customFormat="1">
      <c r="A193" s="191">
        <v>189</v>
      </c>
      <c r="B193" s="192" t="s">
        <v>4801</v>
      </c>
      <c r="C193" s="192" t="s">
        <v>4802</v>
      </c>
      <c r="D193" s="193" t="s">
        <v>1584</v>
      </c>
      <c r="E193" s="194">
        <f>[2]Summary!E192</f>
        <v>6.5</v>
      </c>
      <c r="F193" s="211">
        <f>[2]Summary!F192</f>
        <v>17</v>
      </c>
      <c r="G193" s="195">
        <f t="shared" si="2"/>
        <v>110.5</v>
      </c>
      <c r="H193" s="192" t="s">
        <v>5906</v>
      </c>
    </row>
    <row r="194" spans="1:8" s="8" customFormat="1">
      <c r="A194" s="27">
        <v>190</v>
      </c>
      <c r="B194" s="28" t="s">
        <v>4803</v>
      </c>
      <c r="C194" s="28" t="s">
        <v>4804</v>
      </c>
      <c r="D194" s="29" t="s">
        <v>1584</v>
      </c>
      <c r="E194" s="196">
        <f>[2]Summary!E193</f>
        <v>6.5</v>
      </c>
      <c r="F194" s="212">
        <f>[2]Summary!F193</f>
        <v>22</v>
      </c>
      <c r="G194" s="30">
        <f t="shared" si="2"/>
        <v>143</v>
      </c>
      <c r="H194" s="28" t="s">
        <v>5906</v>
      </c>
    </row>
    <row r="195" spans="1:8" s="8" customFormat="1">
      <c r="A195" s="191">
        <v>191</v>
      </c>
      <c r="B195" s="192" t="s">
        <v>4805</v>
      </c>
      <c r="C195" s="192" t="s">
        <v>4806</v>
      </c>
      <c r="D195" s="193" t="s">
        <v>1584</v>
      </c>
      <c r="E195" s="194">
        <f>[2]Summary!E194</f>
        <v>7</v>
      </c>
      <c r="F195" s="211">
        <f>[2]Summary!F194</f>
        <v>9</v>
      </c>
      <c r="G195" s="195">
        <f t="shared" si="2"/>
        <v>63</v>
      </c>
      <c r="H195" s="192" t="s">
        <v>5906</v>
      </c>
    </row>
    <row r="196" spans="1:8" s="8" customFormat="1">
      <c r="A196" s="27">
        <v>192</v>
      </c>
      <c r="B196" s="28" t="s">
        <v>4807</v>
      </c>
      <c r="C196" s="28" t="s">
        <v>4808</v>
      </c>
      <c r="D196" s="29" t="s">
        <v>1584</v>
      </c>
      <c r="E196" s="196">
        <f>[2]Summary!E195</f>
        <v>8</v>
      </c>
      <c r="F196" s="212">
        <f>[2]Summary!F195</f>
        <v>4</v>
      </c>
      <c r="G196" s="30">
        <f t="shared" si="2"/>
        <v>32</v>
      </c>
      <c r="H196" s="28" t="s">
        <v>5906</v>
      </c>
    </row>
    <row r="197" spans="1:8" s="8" customFormat="1">
      <c r="A197" s="191">
        <v>193</v>
      </c>
      <c r="B197" s="192" t="s">
        <v>4809</v>
      </c>
      <c r="C197" s="192" t="s">
        <v>4810</v>
      </c>
      <c r="D197" s="193" t="s">
        <v>1584</v>
      </c>
      <c r="E197" s="194">
        <f>[2]Summary!E196</f>
        <v>6.75</v>
      </c>
      <c r="F197" s="211">
        <f>[2]Summary!F196</f>
        <v>10</v>
      </c>
      <c r="G197" s="195">
        <f t="shared" ref="G197:G260" si="3">F197*E197</f>
        <v>67.5</v>
      </c>
      <c r="H197" s="192" t="s">
        <v>5906</v>
      </c>
    </row>
    <row r="198" spans="1:8" s="8" customFormat="1">
      <c r="A198" s="27">
        <v>194</v>
      </c>
      <c r="B198" s="28" t="s">
        <v>4811</v>
      </c>
      <c r="C198" s="28" t="s">
        <v>4812</v>
      </c>
      <c r="D198" s="29" t="s">
        <v>1584</v>
      </c>
      <c r="E198" s="196">
        <f>[2]Summary!E197</f>
        <v>8</v>
      </c>
      <c r="F198" s="212">
        <f>[2]Summary!F197</f>
        <v>2</v>
      </c>
      <c r="G198" s="30">
        <f t="shared" si="3"/>
        <v>16</v>
      </c>
      <c r="H198" s="28" t="s">
        <v>5906</v>
      </c>
    </row>
    <row r="199" spans="1:8" s="8" customFormat="1">
      <c r="A199" s="191">
        <v>195</v>
      </c>
      <c r="B199" s="192" t="s">
        <v>4813</v>
      </c>
      <c r="C199" s="192" t="s">
        <v>4814</v>
      </c>
      <c r="D199" s="193" t="s">
        <v>1584</v>
      </c>
      <c r="E199" s="194">
        <f>[2]Summary!E198</f>
        <v>8.5</v>
      </c>
      <c r="F199" s="211">
        <f>[2]Summary!F198</f>
        <v>4</v>
      </c>
      <c r="G199" s="195">
        <f t="shared" si="3"/>
        <v>34</v>
      </c>
      <c r="H199" s="192" t="s">
        <v>5906</v>
      </c>
    </row>
    <row r="200" spans="1:8" s="8" customFormat="1">
      <c r="A200" s="27">
        <v>196</v>
      </c>
      <c r="B200" s="28" t="s">
        <v>4815</v>
      </c>
      <c r="C200" s="28" t="s">
        <v>4816</v>
      </c>
      <c r="D200" s="29" t="s">
        <v>1584</v>
      </c>
      <c r="E200" s="196">
        <f>[2]Summary!E199</f>
        <v>1.9</v>
      </c>
      <c r="F200" s="212">
        <f>[2]Summary!F199</f>
        <v>4</v>
      </c>
      <c r="G200" s="30">
        <f t="shared" si="3"/>
        <v>7.6</v>
      </c>
      <c r="H200" s="28" t="s">
        <v>5906</v>
      </c>
    </row>
    <row r="201" spans="1:8" s="8" customFormat="1">
      <c r="A201" s="191">
        <v>197</v>
      </c>
      <c r="B201" s="192" t="s">
        <v>4817</v>
      </c>
      <c r="C201" s="192" t="s">
        <v>4818</v>
      </c>
      <c r="D201" s="193" t="s">
        <v>1584</v>
      </c>
      <c r="E201" s="194">
        <f>[2]Summary!E200</f>
        <v>1.95</v>
      </c>
      <c r="F201" s="211">
        <f>[2]Summary!F200</f>
        <v>4</v>
      </c>
      <c r="G201" s="195">
        <f t="shared" si="3"/>
        <v>7.8</v>
      </c>
      <c r="H201" s="192" t="s">
        <v>5906</v>
      </c>
    </row>
    <row r="202" spans="1:8" s="8" customFormat="1">
      <c r="A202" s="27">
        <v>198</v>
      </c>
      <c r="B202" s="28" t="s">
        <v>4819</v>
      </c>
      <c r="C202" s="28" t="s">
        <v>4820</v>
      </c>
      <c r="D202" s="29" t="s">
        <v>1584</v>
      </c>
      <c r="E202" s="196">
        <f>[2]Summary!E201</f>
        <v>2.1</v>
      </c>
      <c r="F202" s="212">
        <f>[2]Summary!F201</f>
        <v>9</v>
      </c>
      <c r="G202" s="30">
        <f t="shared" si="3"/>
        <v>18.900000000000002</v>
      </c>
      <c r="H202" s="28" t="s">
        <v>5906</v>
      </c>
    </row>
    <row r="203" spans="1:8" s="8" customFormat="1">
      <c r="A203" s="191">
        <v>199</v>
      </c>
      <c r="B203" s="192" t="s">
        <v>4821</v>
      </c>
      <c r="C203" s="192" t="s">
        <v>4822</v>
      </c>
      <c r="D203" s="193" t="s">
        <v>1584</v>
      </c>
      <c r="E203" s="194">
        <f>[2]Summary!E202</f>
        <v>2.8</v>
      </c>
      <c r="F203" s="211">
        <f>[2]Summary!F202</f>
        <v>15</v>
      </c>
      <c r="G203" s="195">
        <f t="shared" si="3"/>
        <v>42</v>
      </c>
      <c r="H203" s="192" t="s">
        <v>5906</v>
      </c>
    </row>
    <row r="204" spans="1:8" s="8" customFormat="1">
      <c r="A204" s="27">
        <v>200</v>
      </c>
      <c r="B204" s="28" t="s">
        <v>4823</v>
      </c>
      <c r="C204" s="28" t="s">
        <v>4824</v>
      </c>
      <c r="D204" s="29" t="s">
        <v>1584</v>
      </c>
      <c r="E204" s="196">
        <f>[2]Summary!E203</f>
        <v>3</v>
      </c>
      <c r="F204" s="212">
        <f>[2]Summary!F203</f>
        <v>24</v>
      </c>
      <c r="G204" s="30">
        <f t="shared" si="3"/>
        <v>72</v>
      </c>
      <c r="H204" s="28" t="s">
        <v>5906</v>
      </c>
    </row>
    <row r="205" spans="1:8" s="8" customFormat="1">
      <c r="A205" s="191">
        <v>201</v>
      </c>
      <c r="B205" s="192" t="s">
        <v>4825</v>
      </c>
      <c r="C205" s="192" t="s">
        <v>4826</v>
      </c>
      <c r="D205" s="193" t="s">
        <v>1584</v>
      </c>
      <c r="E205" s="194">
        <f>[2]Summary!E204</f>
        <v>3.9</v>
      </c>
      <c r="F205" s="211">
        <f>[2]Summary!F204</f>
        <v>2</v>
      </c>
      <c r="G205" s="195">
        <f t="shared" si="3"/>
        <v>7.8</v>
      </c>
      <c r="H205" s="192" t="s">
        <v>5906</v>
      </c>
    </row>
    <row r="206" spans="1:8" s="8" customFormat="1">
      <c r="A206" s="27">
        <v>202</v>
      </c>
      <c r="B206" s="28" t="s">
        <v>4827</v>
      </c>
      <c r="C206" s="28" t="s">
        <v>4828</v>
      </c>
      <c r="D206" s="29" t="s">
        <v>1584</v>
      </c>
      <c r="E206" s="196">
        <f>[2]Summary!E205</f>
        <v>4.5</v>
      </c>
      <c r="F206" s="212">
        <f>[2]Summary!F205</f>
        <v>10</v>
      </c>
      <c r="G206" s="30">
        <f t="shared" si="3"/>
        <v>45</v>
      </c>
      <c r="H206" s="28" t="s">
        <v>5906</v>
      </c>
    </row>
    <row r="207" spans="1:8" s="8" customFormat="1">
      <c r="A207" s="191">
        <v>203</v>
      </c>
      <c r="B207" s="192" t="s">
        <v>4829</v>
      </c>
      <c r="C207" s="192" t="s">
        <v>4830</v>
      </c>
      <c r="D207" s="193" t="s">
        <v>1584</v>
      </c>
      <c r="E207" s="194">
        <f>[2]Summary!E206</f>
        <v>5</v>
      </c>
      <c r="F207" s="211">
        <f>[2]Summary!F206</f>
        <v>6</v>
      </c>
      <c r="G207" s="195">
        <f t="shared" si="3"/>
        <v>30</v>
      </c>
      <c r="H207" s="192" t="s">
        <v>5906</v>
      </c>
    </row>
    <row r="208" spans="1:8" s="8" customFormat="1">
      <c r="A208" s="27">
        <v>204</v>
      </c>
      <c r="B208" s="28" t="s">
        <v>4831</v>
      </c>
      <c r="C208" s="28" t="s">
        <v>4832</v>
      </c>
      <c r="D208" s="29" t="s">
        <v>1584</v>
      </c>
      <c r="E208" s="196">
        <f>[2]Summary!E207</f>
        <v>5.8</v>
      </c>
      <c r="F208" s="212">
        <f>[2]Summary!F207</f>
        <v>3</v>
      </c>
      <c r="G208" s="30">
        <f t="shared" si="3"/>
        <v>17.399999999999999</v>
      </c>
      <c r="H208" s="28" t="s">
        <v>5906</v>
      </c>
    </row>
    <row r="209" spans="1:8" s="8" customFormat="1">
      <c r="A209" s="191">
        <v>205</v>
      </c>
      <c r="B209" s="192" t="s">
        <v>4833</v>
      </c>
      <c r="C209" s="192" t="s">
        <v>4834</v>
      </c>
      <c r="D209" s="193" t="s">
        <v>1584</v>
      </c>
      <c r="E209" s="194">
        <f>[2]Summary!E208</f>
        <v>6.5</v>
      </c>
      <c r="F209" s="211">
        <f>[2]Summary!F208</f>
        <v>5</v>
      </c>
      <c r="G209" s="195">
        <f t="shared" si="3"/>
        <v>32.5</v>
      </c>
      <c r="H209" s="192" t="s">
        <v>5906</v>
      </c>
    </row>
    <row r="210" spans="1:8" s="8" customFormat="1">
      <c r="A210" s="27">
        <v>206</v>
      </c>
      <c r="B210" s="28" t="s">
        <v>4835</v>
      </c>
      <c r="C210" s="28" t="s">
        <v>4836</v>
      </c>
      <c r="D210" s="29" t="s">
        <v>1584</v>
      </c>
      <c r="E210" s="196">
        <f>[2]Summary!E209</f>
        <v>7</v>
      </c>
      <c r="F210" s="212">
        <f>[2]Summary!F209</f>
        <v>19</v>
      </c>
      <c r="G210" s="30">
        <f t="shared" si="3"/>
        <v>133</v>
      </c>
      <c r="H210" s="28" t="s">
        <v>5906</v>
      </c>
    </row>
    <row r="211" spans="1:8" s="8" customFormat="1">
      <c r="A211" s="191">
        <v>207</v>
      </c>
      <c r="B211" s="192" t="s">
        <v>4837</v>
      </c>
      <c r="C211" s="192" t="s">
        <v>4838</v>
      </c>
      <c r="D211" s="193" t="s">
        <v>1584</v>
      </c>
      <c r="E211" s="194">
        <f>[2]Summary!E210</f>
        <v>9</v>
      </c>
      <c r="F211" s="211">
        <f>[2]Summary!F210</f>
        <v>3</v>
      </c>
      <c r="G211" s="195">
        <f t="shared" si="3"/>
        <v>27</v>
      </c>
      <c r="H211" s="192" t="s">
        <v>5906</v>
      </c>
    </row>
    <row r="212" spans="1:8" s="8" customFormat="1">
      <c r="A212" s="27">
        <v>208</v>
      </c>
      <c r="B212" s="28" t="s">
        <v>4839</v>
      </c>
      <c r="C212" s="28" t="s">
        <v>4840</v>
      </c>
      <c r="D212" s="29" t="s">
        <v>1584</v>
      </c>
      <c r="E212" s="196">
        <f>[2]Summary!E211</f>
        <v>11</v>
      </c>
      <c r="F212" s="212">
        <f>[2]Summary!F211</f>
        <v>2</v>
      </c>
      <c r="G212" s="30">
        <f t="shared" si="3"/>
        <v>22</v>
      </c>
      <c r="H212" s="28" t="s">
        <v>5906</v>
      </c>
    </row>
    <row r="213" spans="1:8" s="8" customFormat="1">
      <c r="A213" s="191">
        <v>209</v>
      </c>
      <c r="B213" s="192" t="s">
        <v>4841</v>
      </c>
      <c r="C213" s="192" t="s">
        <v>4842</v>
      </c>
      <c r="D213" s="193" t="s">
        <v>1584</v>
      </c>
      <c r="E213" s="194">
        <f>[2]Summary!E212</f>
        <v>2.5</v>
      </c>
      <c r="F213" s="211">
        <f>[2]Summary!F212</f>
        <v>0</v>
      </c>
      <c r="G213" s="195">
        <f t="shared" si="3"/>
        <v>0</v>
      </c>
      <c r="H213" s="192" t="s">
        <v>5889</v>
      </c>
    </row>
    <row r="214" spans="1:8" s="8" customFormat="1">
      <c r="A214" s="27">
        <v>210</v>
      </c>
      <c r="B214" s="28" t="s">
        <v>4843</v>
      </c>
      <c r="C214" s="28" t="s">
        <v>4844</v>
      </c>
      <c r="D214" s="29" t="s">
        <v>1584</v>
      </c>
      <c r="E214" s="196">
        <f>[2]Summary!E213</f>
        <v>3</v>
      </c>
      <c r="F214" s="212">
        <f>[2]Summary!F213</f>
        <v>1</v>
      </c>
      <c r="G214" s="30">
        <f t="shared" si="3"/>
        <v>3</v>
      </c>
      <c r="H214" s="28" t="s">
        <v>5889</v>
      </c>
    </row>
    <row r="215" spans="1:8" s="8" customFormat="1">
      <c r="A215" s="191">
        <v>211</v>
      </c>
      <c r="B215" s="192" t="s">
        <v>4845</v>
      </c>
      <c r="C215" s="192" t="s">
        <v>4846</v>
      </c>
      <c r="D215" s="193" t="s">
        <v>1601</v>
      </c>
      <c r="E215" s="194">
        <f>[2]Summary!E214</f>
        <v>6.5</v>
      </c>
      <c r="F215" s="211">
        <f>[2]Summary!F214</f>
        <v>0</v>
      </c>
      <c r="G215" s="195">
        <f t="shared" si="3"/>
        <v>0</v>
      </c>
      <c r="H215" s="192" t="s">
        <v>5891</v>
      </c>
    </row>
    <row r="216" spans="1:8" s="8" customFormat="1">
      <c r="A216" s="27">
        <v>212</v>
      </c>
      <c r="B216" s="28" t="s">
        <v>4847</v>
      </c>
      <c r="C216" s="28" t="s">
        <v>4848</v>
      </c>
      <c r="D216" s="29" t="s">
        <v>1601</v>
      </c>
      <c r="E216" s="196">
        <f>[2]Summary!E215</f>
        <v>2</v>
      </c>
      <c r="F216" s="212">
        <f>[2]Summary!F215</f>
        <v>0</v>
      </c>
      <c r="G216" s="30">
        <f t="shared" si="3"/>
        <v>0</v>
      </c>
      <c r="H216" s="28" t="s">
        <v>5891</v>
      </c>
    </row>
    <row r="217" spans="1:8" s="8" customFormat="1">
      <c r="A217" s="191">
        <v>213</v>
      </c>
      <c r="B217" s="192" t="s">
        <v>4849</v>
      </c>
      <c r="C217" s="192" t="s">
        <v>4850</v>
      </c>
      <c r="D217" s="193" t="s">
        <v>1601</v>
      </c>
      <c r="E217" s="194">
        <f>[2]Summary!E216</f>
        <v>3.4</v>
      </c>
      <c r="F217" s="211">
        <f>[2]Summary!F216</f>
        <v>0</v>
      </c>
      <c r="G217" s="195">
        <f t="shared" si="3"/>
        <v>0</v>
      </c>
      <c r="H217" s="192" t="s">
        <v>5891</v>
      </c>
    </row>
    <row r="218" spans="1:8" s="8" customFormat="1">
      <c r="A218" s="27">
        <v>214</v>
      </c>
      <c r="B218" s="28" t="s">
        <v>4851</v>
      </c>
      <c r="C218" s="28" t="s">
        <v>4852</v>
      </c>
      <c r="D218" s="29" t="s">
        <v>1602</v>
      </c>
      <c r="E218" s="196">
        <f>[2]Summary!E217</f>
        <v>2</v>
      </c>
      <c r="F218" s="212">
        <f>[2]Summary!F217</f>
        <v>7</v>
      </c>
      <c r="G218" s="30">
        <f t="shared" si="3"/>
        <v>14</v>
      </c>
      <c r="H218" s="28" t="s">
        <v>5892</v>
      </c>
    </row>
    <row r="219" spans="1:8" s="8" customFormat="1">
      <c r="A219" s="191">
        <v>215</v>
      </c>
      <c r="B219" s="192" t="s">
        <v>4693</v>
      </c>
      <c r="C219" s="192" t="s">
        <v>4853</v>
      </c>
      <c r="D219" s="193" t="s">
        <v>1584</v>
      </c>
      <c r="E219" s="194">
        <f>[2]Summary!E218</f>
        <v>0.34</v>
      </c>
      <c r="F219" s="211">
        <f>[2]Summary!F218</f>
        <v>0</v>
      </c>
      <c r="G219" s="195">
        <f t="shared" si="3"/>
        <v>0</v>
      </c>
      <c r="H219" s="192" t="s">
        <v>5892</v>
      </c>
    </row>
    <row r="220" spans="1:8" s="8" customFormat="1">
      <c r="A220" s="27">
        <v>216</v>
      </c>
      <c r="B220" s="28" t="s">
        <v>4854</v>
      </c>
      <c r="C220" s="28" t="s">
        <v>4855</v>
      </c>
      <c r="D220" s="29" t="s">
        <v>1584</v>
      </c>
      <c r="E220" s="196">
        <f>[2]Summary!E219</f>
        <v>10.199999999999999</v>
      </c>
      <c r="F220" s="212">
        <f>[2]Summary!F219</f>
        <v>0</v>
      </c>
      <c r="G220" s="30">
        <f t="shared" si="3"/>
        <v>0</v>
      </c>
      <c r="H220" s="28" t="s">
        <v>5889</v>
      </c>
    </row>
    <row r="221" spans="1:8" s="8" customFormat="1">
      <c r="A221" s="191">
        <v>217</v>
      </c>
      <c r="B221" s="192" t="s">
        <v>4854</v>
      </c>
      <c r="C221" s="192" t="s">
        <v>4856</v>
      </c>
      <c r="D221" s="193" t="s">
        <v>1584</v>
      </c>
      <c r="E221" s="194">
        <f>[2]Summary!E220</f>
        <v>9.9</v>
      </c>
      <c r="F221" s="211">
        <f>[2]Summary!F220</f>
        <v>0</v>
      </c>
      <c r="G221" s="195">
        <f t="shared" si="3"/>
        <v>0</v>
      </c>
      <c r="H221" s="192" t="s">
        <v>5889</v>
      </c>
    </row>
    <row r="222" spans="1:8" s="8" customFormat="1">
      <c r="A222" s="27">
        <v>218</v>
      </c>
      <c r="B222" s="28" t="s">
        <v>4857</v>
      </c>
      <c r="C222" s="28" t="s">
        <v>4858</v>
      </c>
      <c r="D222" s="29" t="s">
        <v>4479</v>
      </c>
      <c r="E222" s="196">
        <f>[2]Summary!E221</f>
        <v>4</v>
      </c>
      <c r="F222" s="212">
        <f>[2]Summary!F221</f>
        <v>0.8</v>
      </c>
      <c r="G222" s="30">
        <f t="shared" si="3"/>
        <v>3.2</v>
      </c>
      <c r="H222" s="28" t="s">
        <v>5897</v>
      </c>
    </row>
    <row r="223" spans="1:8" s="8" customFormat="1">
      <c r="A223" s="191">
        <v>219</v>
      </c>
      <c r="B223" s="192" t="s">
        <v>4859</v>
      </c>
      <c r="C223" s="192" t="s">
        <v>4860</v>
      </c>
      <c r="D223" s="193" t="s">
        <v>4479</v>
      </c>
      <c r="E223" s="194">
        <f>[2]Summary!E222</f>
        <v>3.41</v>
      </c>
      <c r="F223" s="211">
        <f>[2]Summary!F222</f>
        <v>1.72</v>
      </c>
      <c r="G223" s="195">
        <f t="shared" si="3"/>
        <v>5.8651999999999997</v>
      </c>
      <c r="H223" s="192" t="s">
        <v>5897</v>
      </c>
    </row>
    <row r="224" spans="1:8" s="8" customFormat="1">
      <c r="A224" s="27">
        <v>220</v>
      </c>
      <c r="B224" s="28" t="s">
        <v>4861</v>
      </c>
      <c r="C224" s="28" t="s">
        <v>4862</v>
      </c>
      <c r="D224" s="29" t="s">
        <v>1584</v>
      </c>
      <c r="E224" s="196">
        <f>[2]Summary!E223</f>
        <v>1</v>
      </c>
      <c r="F224" s="212">
        <f>[2]Summary!F223</f>
        <v>1</v>
      </c>
      <c r="G224" s="30">
        <f t="shared" si="3"/>
        <v>1</v>
      </c>
      <c r="H224" s="28" t="s">
        <v>5889</v>
      </c>
    </row>
    <row r="225" spans="1:8" s="8" customFormat="1">
      <c r="A225" s="191">
        <v>221</v>
      </c>
      <c r="B225" s="192" t="s">
        <v>4863</v>
      </c>
      <c r="C225" s="192" t="s">
        <v>4864</v>
      </c>
      <c r="D225" s="193" t="s">
        <v>1584</v>
      </c>
      <c r="E225" s="194">
        <f>[2]Summary!E224</f>
        <v>1.66</v>
      </c>
      <c r="F225" s="211">
        <f>[2]Summary!F224</f>
        <v>1</v>
      </c>
      <c r="G225" s="195">
        <f t="shared" si="3"/>
        <v>1.66</v>
      </c>
      <c r="H225" s="192" t="s">
        <v>5889</v>
      </c>
    </row>
    <row r="226" spans="1:8" s="8" customFormat="1">
      <c r="A226" s="27">
        <v>222</v>
      </c>
      <c r="B226" s="28" t="s">
        <v>4865</v>
      </c>
      <c r="C226" s="28" t="s">
        <v>4866</v>
      </c>
      <c r="D226" s="29" t="s">
        <v>1584</v>
      </c>
      <c r="E226" s="196">
        <f>[2]Summary!E225</f>
        <v>1.65</v>
      </c>
      <c r="F226" s="212">
        <f>[2]Summary!F225</f>
        <v>20</v>
      </c>
      <c r="G226" s="30">
        <f t="shared" si="3"/>
        <v>33</v>
      </c>
      <c r="H226" s="28" t="s">
        <v>5907</v>
      </c>
    </row>
    <row r="227" spans="1:8" s="8" customFormat="1">
      <c r="A227" s="191">
        <v>223</v>
      </c>
      <c r="B227" s="192" t="s">
        <v>4867</v>
      </c>
      <c r="C227" s="192" t="s">
        <v>4868</v>
      </c>
      <c r="D227" s="193" t="s">
        <v>1584</v>
      </c>
      <c r="E227" s="194">
        <f>[2]Summary!E226</f>
        <v>2.75</v>
      </c>
      <c r="F227" s="211">
        <f>[2]Summary!F226</f>
        <v>34</v>
      </c>
      <c r="G227" s="195">
        <f t="shared" si="3"/>
        <v>93.5</v>
      </c>
      <c r="H227" s="192" t="s">
        <v>5907</v>
      </c>
    </row>
    <row r="228" spans="1:8" s="8" customFormat="1">
      <c r="A228" s="27">
        <v>224</v>
      </c>
      <c r="B228" s="28" t="s">
        <v>4869</v>
      </c>
      <c r="C228" s="28" t="s">
        <v>4870</v>
      </c>
      <c r="D228" s="29" t="s">
        <v>1584</v>
      </c>
      <c r="E228" s="196">
        <f>[2]Summary!E227</f>
        <v>3.25</v>
      </c>
      <c r="F228" s="212">
        <f>[2]Summary!F227</f>
        <v>22</v>
      </c>
      <c r="G228" s="30">
        <f t="shared" si="3"/>
        <v>71.5</v>
      </c>
      <c r="H228" s="28" t="s">
        <v>5907</v>
      </c>
    </row>
    <row r="229" spans="1:8" s="8" customFormat="1">
      <c r="A229" s="191">
        <v>225</v>
      </c>
      <c r="B229" s="192" t="s">
        <v>4871</v>
      </c>
      <c r="C229" s="192" t="s">
        <v>4872</v>
      </c>
      <c r="D229" s="193" t="s">
        <v>1584</v>
      </c>
      <c r="E229" s="194">
        <f>[2]Summary!E228</f>
        <v>5.5</v>
      </c>
      <c r="F229" s="211">
        <f>[2]Summary!F228</f>
        <v>5</v>
      </c>
      <c r="G229" s="195">
        <f t="shared" si="3"/>
        <v>27.5</v>
      </c>
      <c r="H229" s="192" t="s">
        <v>5907</v>
      </c>
    </row>
    <row r="230" spans="1:8" s="8" customFormat="1">
      <c r="A230" s="27">
        <v>226</v>
      </c>
      <c r="B230" s="28" t="s">
        <v>4873</v>
      </c>
      <c r="C230" s="28" t="s">
        <v>4874</v>
      </c>
      <c r="D230" s="29" t="s">
        <v>1584</v>
      </c>
      <c r="E230" s="196">
        <f>[2]Summary!E229</f>
        <v>3.4</v>
      </c>
      <c r="F230" s="212">
        <f>[2]Summary!F229</f>
        <v>4</v>
      </c>
      <c r="G230" s="30">
        <f t="shared" si="3"/>
        <v>13.6</v>
      </c>
      <c r="H230" s="28" t="s">
        <v>5907</v>
      </c>
    </row>
    <row r="231" spans="1:8" s="8" customFormat="1">
      <c r="A231" s="191">
        <v>227</v>
      </c>
      <c r="B231" s="192" t="s">
        <v>4875</v>
      </c>
      <c r="C231" s="192" t="s">
        <v>4876</v>
      </c>
      <c r="D231" s="193" t="s">
        <v>1584</v>
      </c>
      <c r="E231" s="194">
        <f>[2]Summary!E230</f>
        <v>12.5</v>
      </c>
      <c r="F231" s="211">
        <f>[2]Summary!F230</f>
        <v>1</v>
      </c>
      <c r="G231" s="195">
        <f t="shared" si="3"/>
        <v>12.5</v>
      </c>
      <c r="H231" s="192" t="s">
        <v>5907</v>
      </c>
    </row>
    <row r="232" spans="1:8" s="8" customFormat="1">
      <c r="A232" s="27">
        <v>228</v>
      </c>
      <c r="B232" s="28" t="s">
        <v>4877</v>
      </c>
      <c r="C232" s="28" t="s">
        <v>4878</v>
      </c>
      <c r="D232" s="29" t="s">
        <v>1584</v>
      </c>
      <c r="E232" s="196">
        <f>[2]Summary!E231</f>
        <v>0.3</v>
      </c>
      <c r="F232" s="212">
        <f>[2]Summary!F231</f>
        <v>94</v>
      </c>
      <c r="G232" s="30">
        <f t="shared" si="3"/>
        <v>28.2</v>
      </c>
      <c r="H232" s="28" t="s">
        <v>5907</v>
      </c>
    </row>
    <row r="233" spans="1:8" s="8" customFormat="1">
      <c r="A233" s="191">
        <v>229</v>
      </c>
      <c r="B233" s="192" t="s">
        <v>4879</v>
      </c>
      <c r="C233" s="192" t="s">
        <v>4880</v>
      </c>
      <c r="D233" s="193" t="s">
        <v>1584</v>
      </c>
      <c r="E233" s="194">
        <f>[2]Summary!E232</f>
        <v>0.55000000000000004</v>
      </c>
      <c r="F233" s="211">
        <f>[2]Summary!F232</f>
        <v>0</v>
      </c>
      <c r="G233" s="195">
        <f t="shared" si="3"/>
        <v>0</v>
      </c>
      <c r="H233" s="192" t="s">
        <v>5907</v>
      </c>
    </row>
    <row r="234" spans="1:8" s="8" customFormat="1">
      <c r="A234" s="27">
        <v>230</v>
      </c>
      <c r="B234" s="28" t="s">
        <v>4881</v>
      </c>
      <c r="C234" s="28" t="s">
        <v>4882</v>
      </c>
      <c r="D234" s="29" t="s">
        <v>1584</v>
      </c>
      <c r="E234" s="196">
        <f>[2]Summary!E233</f>
        <v>0.4</v>
      </c>
      <c r="F234" s="212">
        <f>[2]Summary!F233</f>
        <v>85</v>
      </c>
      <c r="G234" s="30">
        <f t="shared" si="3"/>
        <v>34</v>
      </c>
      <c r="H234" s="28" t="s">
        <v>5907</v>
      </c>
    </row>
    <row r="235" spans="1:8" s="8" customFormat="1">
      <c r="A235" s="191">
        <v>231</v>
      </c>
      <c r="B235" s="192" t="s">
        <v>4883</v>
      </c>
      <c r="C235" s="192" t="s">
        <v>4884</v>
      </c>
      <c r="D235" s="193" t="s">
        <v>1584</v>
      </c>
      <c r="E235" s="194">
        <f>[2]Summary!E234</f>
        <v>0.35</v>
      </c>
      <c r="F235" s="211">
        <f>[2]Summary!F234</f>
        <v>90</v>
      </c>
      <c r="G235" s="195">
        <f t="shared" si="3"/>
        <v>31.499999999999996</v>
      </c>
      <c r="H235" s="192" t="s">
        <v>5907</v>
      </c>
    </row>
    <row r="236" spans="1:8" s="8" customFormat="1">
      <c r="A236" s="27">
        <v>232</v>
      </c>
      <c r="B236" s="28" t="s">
        <v>4885</v>
      </c>
      <c r="C236" s="28" t="s">
        <v>4886</v>
      </c>
      <c r="D236" s="29" t="s">
        <v>1584</v>
      </c>
      <c r="E236" s="196">
        <f>[2]Summary!E235</f>
        <v>0.5</v>
      </c>
      <c r="F236" s="212">
        <f>[2]Summary!F235</f>
        <v>49</v>
      </c>
      <c r="G236" s="30">
        <f t="shared" si="3"/>
        <v>24.5</v>
      </c>
      <c r="H236" s="28" t="s">
        <v>5907</v>
      </c>
    </row>
    <row r="237" spans="1:8" s="8" customFormat="1">
      <c r="A237" s="191">
        <v>233</v>
      </c>
      <c r="B237" s="192" t="s">
        <v>4887</v>
      </c>
      <c r="C237" s="192" t="s">
        <v>4888</v>
      </c>
      <c r="D237" s="193" t="s">
        <v>1584</v>
      </c>
      <c r="E237" s="194">
        <f>[2]Summary!E236</f>
        <v>0.45</v>
      </c>
      <c r="F237" s="211">
        <f>[2]Summary!F236</f>
        <v>82</v>
      </c>
      <c r="G237" s="195">
        <f t="shared" si="3"/>
        <v>36.9</v>
      </c>
      <c r="H237" s="192" t="s">
        <v>5907</v>
      </c>
    </row>
    <row r="238" spans="1:8" s="8" customFormat="1">
      <c r="A238" s="27">
        <v>234</v>
      </c>
      <c r="B238" s="28" t="s">
        <v>4889</v>
      </c>
      <c r="C238" s="28" t="s">
        <v>4890</v>
      </c>
      <c r="D238" s="29" t="s">
        <v>1584</v>
      </c>
      <c r="E238" s="196">
        <f>[2]Summary!E237</f>
        <v>0.45</v>
      </c>
      <c r="F238" s="212">
        <f>[2]Summary!F237</f>
        <v>115</v>
      </c>
      <c r="G238" s="30">
        <f t="shared" si="3"/>
        <v>51.75</v>
      </c>
      <c r="H238" s="28" t="s">
        <v>5907</v>
      </c>
    </row>
    <row r="239" spans="1:8" s="8" customFormat="1">
      <c r="A239" s="191">
        <v>235</v>
      </c>
      <c r="B239" s="192" t="s">
        <v>4891</v>
      </c>
      <c r="C239" s="192" t="s">
        <v>4892</v>
      </c>
      <c r="D239" s="193" t="s">
        <v>1584</v>
      </c>
      <c r="E239" s="194">
        <f>[2]Summary!E238</f>
        <v>1.1000000000000001</v>
      </c>
      <c r="F239" s="211">
        <f>[2]Summary!F238</f>
        <v>46</v>
      </c>
      <c r="G239" s="195">
        <f t="shared" si="3"/>
        <v>50.6</v>
      </c>
      <c r="H239" s="192" t="s">
        <v>5907</v>
      </c>
    </row>
    <row r="240" spans="1:8" s="8" customFormat="1">
      <c r="A240" s="27">
        <v>236</v>
      </c>
      <c r="B240" s="28" t="s">
        <v>4893</v>
      </c>
      <c r="C240" s="28" t="s">
        <v>4894</v>
      </c>
      <c r="D240" s="29" t="s">
        <v>1584</v>
      </c>
      <c r="E240" s="196">
        <f>[2]Summary!E239</f>
        <v>550</v>
      </c>
      <c r="F240" s="212">
        <f>[2]Summary!F239</f>
        <v>2</v>
      </c>
      <c r="G240" s="30">
        <f t="shared" si="3"/>
        <v>1100</v>
      </c>
      <c r="H240" s="28" t="s">
        <v>5889</v>
      </c>
    </row>
    <row r="241" spans="1:8" s="8" customFormat="1">
      <c r="A241" s="191">
        <v>237</v>
      </c>
      <c r="B241" s="192" t="s">
        <v>4895</v>
      </c>
      <c r="C241" s="192" t="s">
        <v>4896</v>
      </c>
      <c r="D241" s="193" t="s">
        <v>1600</v>
      </c>
      <c r="E241" s="194">
        <f>[2]Summary!E240</f>
        <v>3</v>
      </c>
      <c r="F241" s="211">
        <f>[2]Summary!F240</f>
        <v>3</v>
      </c>
      <c r="G241" s="195">
        <f t="shared" si="3"/>
        <v>9</v>
      </c>
      <c r="H241" s="192" t="s">
        <v>5889</v>
      </c>
    </row>
    <row r="242" spans="1:8" s="8" customFormat="1">
      <c r="A242" s="27">
        <v>238</v>
      </c>
      <c r="B242" s="28" t="s">
        <v>4897</v>
      </c>
      <c r="C242" s="28" t="s">
        <v>4898</v>
      </c>
      <c r="D242" s="29" t="s">
        <v>1584</v>
      </c>
      <c r="E242" s="196">
        <f>[2]Summary!E241</f>
        <v>20</v>
      </c>
      <c r="F242" s="212">
        <f>[2]Summary!F241</f>
        <v>1</v>
      </c>
      <c r="G242" s="30">
        <f t="shared" si="3"/>
        <v>20</v>
      </c>
      <c r="H242" s="28" t="s">
        <v>5908</v>
      </c>
    </row>
    <row r="243" spans="1:8" s="8" customFormat="1">
      <c r="A243" s="191">
        <v>239</v>
      </c>
      <c r="B243" s="192" t="s">
        <v>4899</v>
      </c>
      <c r="C243" s="192" t="s">
        <v>4900</v>
      </c>
      <c r="D243" s="193" t="s">
        <v>1584</v>
      </c>
      <c r="E243" s="194">
        <f>[2]Summary!E242</f>
        <v>65</v>
      </c>
      <c r="F243" s="211">
        <f>[2]Summary!F242</f>
        <v>3</v>
      </c>
      <c r="G243" s="195">
        <f t="shared" si="3"/>
        <v>195</v>
      </c>
      <c r="H243" s="192" t="s">
        <v>5908</v>
      </c>
    </row>
    <row r="244" spans="1:8" s="8" customFormat="1">
      <c r="A244" s="27">
        <v>240</v>
      </c>
      <c r="B244" s="28" t="s">
        <v>4901</v>
      </c>
      <c r="C244" s="28" t="s">
        <v>4902</v>
      </c>
      <c r="D244" s="29" t="s">
        <v>1584</v>
      </c>
      <c r="E244" s="196">
        <f>[2]Summary!E243</f>
        <v>50</v>
      </c>
      <c r="F244" s="212">
        <f>[2]Summary!F243</f>
        <v>0</v>
      </c>
      <c r="G244" s="30">
        <f t="shared" si="3"/>
        <v>0</v>
      </c>
      <c r="H244" s="28" t="s">
        <v>5908</v>
      </c>
    </row>
    <row r="245" spans="1:8" s="8" customFormat="1">
      <c r="A245" s="191">
        <v>241</v>
      </c>
      <c r="B245" s="192" t="s">
        <v>4903</v>
      </c>
      <c r="C245" s="192" t="s">
        <v>4904</v>
      </c>
      <c r="D245" s="193" t="s">
        <v>1584</v>
      </c>
      <c r="E245" s="194">
        <f>[2]Summary!E244</f>
        <v>45</v>
      </c>
      <c r="F245" s="211">
        <f>[2]Summary!F244</f>
        <v>0</v>
      </c>
      <c r="G245" s="195">
        <f t="shared" si="3"/>
        <v>0</v>
      </c>
      <c r="H245" s="192" t="s">
        <v>5908</v>
      </c>
    </row>
    <row r="246" spans="1:8" s="8" customFormat="1">
      <c r="A246" s="27">
        <v>242</v>
      </c>
      <c r="B246" s="28" t="s">
        <v>4905</v>
      </c>
      <c r="C246" s="28" t="s">
        <v>4906</v>
      </c>
      <c r="D246" s="29" t="s">
        <v>1584</v>
      </c>
      <c r="E246" s="196">
        <f>[2]Summary!E245</f>
        <v>15</v>
      </c>
      <c r="F246" s="212">
        <f>[2]Summary!F245</f>
        <v>1</v>
      </c>
      <c r="G246" s="30">
        <f t="shared" si="3"/>
        <v>15</v>
      </c>
      <c r="H246" s="28" t="s">
        <v>5909</v>
      </c>
    </row>
    <row r="247" spans="1:8" s="8" customFormat="1">
      <c r="A247" s="191">
        <v>243</v>
      </c>
      <c r="B247" s="192" t="s">
        <v>4907</v>
      </c>
      <c r="C247" s="192" t="s">
        <v>4908</v>
      </c>
      <c r="D247" s="193" t="s">
        <v>1584</v>
      </c>
      <c r="E247" s="194">
        <f>[2]Summary!E246</f>
        <v>6.1</v>
      </c>
      <c r="F247" s="211">
        <f>[2]Summary!F246</f>
        <v>0</v>
      </c>
      <c r="G247" s="195">
        <f t="shared" si="3"/>
        <v>0</v>
      </c>
      <c r="H247" s="192" t="s">
        <v>5897</v>
      </c>
    </row>
    <row r="248" spans="1:8" s="8" customFormat="1">
      <c r="A248" s="27">
        <v>244</v>
      </c>
      <c r="B248" s="28" t="s">
        <v>4909</v>
      </c>
      <c r="C248" s="28" t="s">
        <v>4910</v>
      </c>
      <c r="D248" s="29" t="s">
        <v>1584</v>
      </c>
      <c r="E248" s="196">
        <f>[2]Summary!E247</f>
        <v>4</v>
      </c>
      <c r="F248" s="212">
        <f>[2]Summary!F247</f>
        <v>2</v>
      </c>
      <c r="G248" s="30">
        <f t="shared" si="3"/>
        <v>8</v>
      </c>
      <c r="H248" s="28" t="s">
        <v>5892</v>
      </c>
    </row>
    <row r="249" spans="1:8" s="8" customFormat="1">
      <c r="A249" s="191">
        <v>245</v>
      </c>
      <c r="B249" s="192" t="s">
        <v>4911</v>
      </c>
      <c r="C249" s="192" t="s">
        <v>4912</v>
      </c>
      <c r="D249" s="193" t="s">
        <v>1584</v>
      </c>
      <c r="E249" s="194">
        <f>[2]Summary!E248</f>
        <v>7</v>
      </c>
      <c r="F249" s="211">
        <f>[2]Summary!F248</f>
        <v>9</v>
      </c>
      <c r="G249" s="195">
        <f t="shared" si="3"/>
        <v>63</v>
      </c>
      <c r="H249" s="192" t="s">
        <v>5892</v>
      </c>
    </row>
    <row r="250" spans="1:8" s="8" customFormat="1">
      <c r="A250" s="27">
        <v>246</v>
      </c>
      <c r="B250" s="28" t="s">
        <v>4913</v>
      </c>
      <c r="C250" s="28" t="s">
        <v>4914</v>
      </c>
      <c r="D250" s="29" t="s">
        <v>1584</v>
      </c>
      <c r="E250" s="196">
        <f>[2]Summary!E249</f>
        <v>2</v>
      </c>
      <c r="F250" s="212">
        <f>[2]Summary!F249</f>
        <v>0</v>
      </c>
      <c r="G250" s="30">
        <f t="shared" si="3"/>
        <v>0</v>
      </c>
      <c r="H250" s="28" t="s">
        <v>5901</v>
      </c>
    </row>
    <row r="251" spans="1:8" s="8" customFormat="1">
      <c r="A251" s="191">
        <v>247</v>
      </c>
      <c r="B251" s="192" t="s">
        <v>4915</v>
      </c>
      <c r="C251" s="192" t="s">
        <v>4916</v>
      </c>
      <c r="D251" s="193" t="s">
        <v>1584</v>
      </c>
      <c r="E251" s="194">
        <f>[2]Summary!E250</f>
        <v>1.5</v>
      </c>
      <c r="F251" s="211">
        <f>[2]Summary!F250</f>
        <v>18</v>
      </c>
      <c r="G251" s="195">
        <f t="shared" si="3"/>
        <v>27</v>
      </c>
      <c r="H251" s="192" t="s">
        <v>5901</v>
      </c>
    </row>
    <row r="252" spans="1:8" s="8" customFormat="1">
      <c r="A252" s="27">
        <v>248</v>
      </c>
      <c r="B252" s="28" t="s">
        <v>4917</v>
      </c>
      <c r="C252" s="28" t="s">
        <v>4918</v>
      </c>
      <c r="D252" s="29" t="s">
        <v>1584</v>
      </c>
      <c r="E252" s="196">
        <f>[2]Summary!E251</f>
        <v>100</v>
      </c>
      <c r="F252" s="212">
        <f>[2]Summary!F251</f>
        <v>1</v>
      </c>
      <c r="G252" s="30">
        <f t="shared" si="3"/>
        <v>100</v>
      </c>
      <c r="H252" s="28" t="s">
        <v>5901</v>
      </c>
    </row>
    <row r="253" spans="1:8" s="8" customFormat="1">
      <c r="A253" s="191">
        <v>249</v>
      </c>
      <c r="B253" s="192" t="s">
        <v>4919</v>
      </c>
      <c r="C253" s="192" t="s">
        <v>4920</v>
      </c>
      <c r="D253" s="193" t="s">
        <v>1584</v>
      </c>
      <c r="E253" s="194">
        <f>[2]Summary!E252</f>
        <v>100</v>
      </c>
      <c r="F253" s="211">
        <f>[2]Summary!F252</f>
        <v>0</v>
      </c>
      <c r="G253" s="195">
        <f t="shared" si="3"/>
        <v>0</v>
      </c>
      <c r="H253" s="192" t="s">
        <v>5901</v>
      </c>
    </row>
    <row r="254" spans="1:8" s="8" customFormat="1">
      <c r="A254" s="27">
        <v>250</v>
      </c>
      <c r="B254" s="28" t="s">
        <v>4921</v>
      </c>
      <c r="C254" s="28" t="s">
        <v>4922</v>
      </c>
      <c r="D254" s="29" t="s">
        <v>1584</v>
      </c>
      <c r="E254" s="196">
        <f>[2]Summary!E253</f>
        <v>1.5</v>
      </c>
      <c r="F254" s="212">
        <f>[2]Summary!F253</f>
        <v>6</v>
      </c>
      <c r="G254" s="30">
        <f t="shared" si="3"/>
        <v>9</v>
      </c>
      <c r="H254" s="28" t="s">
        <v>5889</v>
      </c>
    </row>
    <row r="255" spans="1:8" s="8" customFormat="1">
      <c r="A255" s="191">
        <v>251</v>
      </c>
      <c r="B255" s="192" t="s">
        <v>4923</v>
      </c>
      <c r="C255" s="192" t="s">
        <v>4924</v>
      </c>
      <c r="D255" s="193" t="s">
        <v>1584</v>
      </c>
      <c r="E255" s="194">
        <f>[2]Summary!E254</f>
        <v>14</v>
      </c>
      <c r="F255" s="211">
        <f>[2]Summary!F254</f>
        <v>0</v>
      </c>
      <c r="G255" s="195">
        <f t="shared" si="3"/>
        <v>0</v>
      </c>
      <c r="H255" s="192" t="s">
        <v>5889</v>
      </c>
    </row>
    <row r="256" spans="1:8" s="8" customFormat="1">
      <c r="A256" s="27">
        <v>252</v>
      </c>
      <c r="B256" s="28" t="s">
        <v>4925</v>
      </c>
      <c r="C256" s="28" t="s">
        <v>4926</v>
      </c>
      <c r="D256" s="29" t="s">
        <v>1584</v>
      </c>
      <c r="E256" s="196">
        <f>[2]Summary!E255</f>
        <v>20</v>
      </c>
      <c r="F256" s="212">
        <f>[2]Summary!F255</f>
        <v>0</v>
      </c>
      <c r="G256" s="30">
        <f t="shared" si="3"/>
        <v>0</v>
      </c>
      <c r="H256" s="28" t="s">
        <v>5889</v>
      </c>
    </row>
    <row r="257" spans="1:8" s="8" customFormat="1">
      <c r="A257" s="191">
        <v>253</v>
      </c>
      <c r="B257" s="192" t="s">
        <v>4927</v>
      </c>
      <c r="C257" s="192" t="s">
        <v>4928</v>
      </c>
      <c r="D257" s="193" t="s">
        <v>1584</v>
      </c>
      <c r="E257" s="194">
        <f>[2]Summary!E256</f>
        <v>33</v>
      </c>
      <c r="F257" s="211">
        <f>[2]Summary!F256</f>
        <v>0</v>
      </c>
      <c r="G257" s="195">
        <f t="shared" si="3"/>
        <v>0</v>
      </c>
      <c r="H257" s="192" t="s">
        <v>5889</v>
      </c>
    </row>
    <row r="258" spans="1:8" s="8" customFormat="1">
      <c r="A258" s="27">
        <v>254</v>
      </c>
      <c r="B258" s="28" t="s">
        <v>4929</v>
      </c>
      <c r="C258" s="28" t="s">
        <v>4930</v>
      </c>
      <c r="D258" s="29" t="s">
        <v>1584</v>
      </c>
      <c r="E258" s="196">
        <f>[2]Summary!E257</f>
        <v>7.5</v>
      </c>
      <c r="F258" s="212">
        <f>[2]Summary!F257</f>
        <v>29</v>
      </c>
      <c r="G258" s="30">
        <f t="shared" si="3"/>
        <v>217.5</v>
      </c>
      <c r="H258" s="28" t="s">
        <v>5897</v>
      </c>
    </row>
    <row r="259" spans="1:8" s="8" customFormat="1">
      <c r="A259" s="191">
        <v>255</v>
      </c>
      <c r="B259" s="192" t="s">
        <v>4931</v>
      </c>
      <c r="C259" s="192" t="s">
        <v>4932</v>
      </c>
      <c r="D259" s="193" t="s">
        <v>1584</v>
      </c>
      <c r="E259" s="194">
        <f>[2]Summary!E258</f>
        <v>2</v>
      </c>
      <c r="F259" s="211">
        <f>[2]Summary!F258</f>
        <v>0</v>
      </c>
      <c r="G259" s="195">
        <f t="shared" si="3"/>
        <v>0</v>
      </c>
      <c r="H259" s="192" t="s">
        <v>5889</v>
      </c>
    </row>
    <row r="260" spans="1:8" s="8" customFormat="1">
      <c r="A260" s="27">
        <v>256</v>
      </c>
      <c r="B260" s="28" t="s">
        <v>4933</v>
      </c>
      <c r="C260" s="28" t="s">
        <v>4934</v>
      </c>
      <c r="D260" s="29" t="s">
        <v>1584</v>
      </c>
      <c r="E260" s="196">
        <f>[2]Summary!E259</f>
        <v>25</v>
      </c>
      <c r="F260" s="212">
        <f>[2]Summary!F259</f>
        <v>19.66</v>
      </c>
      <c r="G260" s="30">
        <f t="shared" si="3"/>
        <v>491.5</v>
      </c>
      <c r="H260" s="28" t="s">
        <v>5897</v>
      </c>
    </row>
    <row r="261" spans="1:8" s="8" customFormat="1">
      <c r="A261" s="191">
        <v>257</v>
      </c>
      <c r="B261" s="192" t="s">
        <v>4935</v>
      </c>
      <c r="C261" s="192" t="s">
        <v>4936</v>
      </c>
      <c r="D261" s="193" t="s">
        <v>4479</v>
      </c>
      <c r="E261" s="194">
        <f>[2]Summary!E260</f>
        <v>2</v>
      </c>
      <c r="F261" s="211">
        <f>[2]Summary!F260</f>
        <v>2</v>
      </c>
      <c r="G261" s="195">
        <f t="shared" ref="G261:G324" si="4">F261*E261</f>
        <v>4</v>
      </c>
      <c r="H261" s="192" t="s">
        <v>5891</v>
      </c>
    </row>
    <row r="262" spans="1:8" s="8" customFormat="1">
      <c r="A262" s="27">
        <v>258</v>
      </c>
      <c r="B262" s="28" t="s">
        <v>4937</v>
      </c>
      <c r="C262" s="28" t="s">
        <v>4938</v>
      </c>
      <c r="D262" s="29" t="s">
        <v>1584</v>
      </c>
      <c r="E262" s="196">
        <f>[2]Summary!E261</f>
        <v>5.4</v>
      </c>
      <c r="F262" s="212">
        <f>[2]Summary!F261</f>
        <v>1</v>
      </c>
      <c r="G262" s="30">
        <f t="shared" si="4"/>
        <v>5.4</v>
      </c>
      <c r="H262" s="28" t="s">
        <v>5889</v>
      </c>
    </row>
    <row r="263" spans="1:8" s="8" customFormat="1">
      <c r="A263" s="191">
        <v>259</v>
      </c>
      <c r="B263" s="192" t="s">
        <v>4939</v>
      </c>
      <c r="C263" s="192" t="s">
        <v>4940</v>
      </c>
      <c r="D263" s="193" t="s">
        <v>1601</v>
      </c>
      <c r="E263" s="194">
        <f>[2]Summary!E262</f>
        <v>1.5</v>
      </c>
      <c r="F263" s="211">
        <f>[2]Summary!F262</f>
        <v>0</v>
      </c>
      <c r="G263" s="195">
        <f t="shared" si="4"/>
        <v>0</v>
      </c>
      <c r="H263" s="192" t="s">
        <v>5891</v>
      </c>
    </row>
    <row r="264" spans="1:8" s="8" customFormat="1">
      <c r="A264" s="27">
        <v>260</v>
      </c>
      <c r="B264" s="28" t="s">
        <v>4941</v>
      </c>
      <c r="C264" s="28" t="s">
        <v>4942</v>
      </c>
      <c r="D264" s="29" t="s">
        <v>1601</v>
      </c>
      <c r="E264" s="196">
        <f>[2]Summary!E263</f>
        <v>1.3</v>
      </c>
      <c r="F264" s="212">
        <f>[2]Summary!F263</f>
        <v>0</v>
      </c>
      <c r="G264" s="30">
        <f t="shared" si="4"/>
        <v>0</v>
      </c>
      <c r="H264" s="28" t="s">
        <v>5891</v>
      </c>
    </row>
    <row r="265" spans="1:8" s="8" customFormat="1">
      <c r="A265" s="191">
        <v>261</v>
      </c>
      <c r="B265" s="192" t="s">
        <v>4943</v>
      </c>
      <c r="C265" s="192" t="s">
        <v>4944</v>
      </c>
      <c r="D265" s="193" t="s">
        <v>1601</v>
      </c>
      <c r="E265" s="194">
        <f>[2]Summary!E264</f>
        <v>1.5</v>
      </c>
      <c r="F265" s="211">
        <f>[2]Summary!F264</f>
        <v>0</v>
      </c>
      <c r="G265" s="195">
        <f t="shared" si="4"/>
        <v>0</v>
      </c>
      <c r="H265" s="192" t="s">
        <v>5891</v>
      </c>
    </row>
    <row r="266" spans="1:8" s="8" customFormat="1">
      <c r="A266" s="27">
        <v>262</v>
      </c>
      <c r="B266" s="28" t="s">
        <v>4945</v>
      </c>
      <c r="C266" s="28" t="s">
        <v>4946</v>
      </c>
      <c r="D266" s="29" t="s">
        <v>1601</v>
      </c>
      <c r="E266" s="196">
        <f>[2]Summary!E265</f>
        <v>1.4</v>
      </c>
      <c r="F266" s="212">
        <f>[2]Summary!F265</f>
        <v>0</v>
      </c>
      <c r="G266" s="30">
        <f t="shared" si="4"/>
        <v>0</v>
      </c>
      <c r="H266" s="28" t="s">
        <v>5891</v>
      </c>
    </row>
    <row r="267" spans="1:8" s="8" customFormat="1">
      <c r="A267" s="191">
        <v>263</v>
      </c>
      <c r="B267" s="192" t="s">
        <v>4947</v>
      </c>
      <c r="C267" s="192" t="s">
        <v>4948</v>
      </c>
      <c r="D267" s="193" t="s">
        <v>1601</v>
      </c>
      <c r="E267" s="194">
        <f>[2]Summary!E266</f>
        <v>1.5</v>
      </c>
      <c r="F267" s="211">
        <f>[2]Summary!F266</f>
        <v>0</v>
      </c>
      <c r="G267" s="195">
        <f t="shared" si="4"/>
        <v>0</v>
      </c>
      <c r="H267" s="192" t="s">
        <v>5891</v>
      </c>
    </row>
    <row r="268" spans="1:8" s="8" customFormat="1">
      <c r="A268" s="27">
        <v>264</v>
      </c>
      <c r="B268" s="28" t="s">
        <v>4949</v>
      </c>
      <c r="C268" s="28" t="s">
        <v>4950</v>
      </c>
      <c r="D268" s="29" t="s">
        <v>1601</v>
      </c>
      <c r="E268" s="196">
        <f>[2]Summary!E267</f>
        <v>1.5</v>
      </c>
      <c r="F268" s="212">
        <f>[2]Summary!F267</f>
        <v>0</v>
      </c>
      <c r="G268" s="30">
        <f t="shared" si="4"/>
        <v>0</v>
      </c>
      <c r="H268" s="28" t="s">
        <v>5891</v>
      </c>
    </row>
    <row r="269" spans="1:8" s="8" customFormat="1">
      <c r="A269" s="191">
        <v>265</v>
      </c>
      <c r="B269" s="192" t="s">
        <v>4951</v>
      </c>
      <c r="C269" s="192" t="s">
        <v>4952</v>
      </c>
      <c r="D269" s="193" t="s">
        <v>1601</v>
      </c>
      <c r="E269" s="194">
        <f>[2]Summary!E268</f>
        <v>2.04</v>
      </c>
      <c r="F269" s="211">
        <f>[2]Summary!F268</f>
        <v>0</v>
      </c>
      <c r="G269" s="195">
        <f t="shared" si="4"/>
        <v>0</v>
      </c>
      <c r="H269" s="192" t="s">
        <v>5891</v>
      </c>
    </row>
    <row r="270" spans="1:8" s="8" customFormat="1">
      <c r="A270" s="27">
        <v>266</v>
      </c>
      <c r="B270" s="28" t="s">
        <v>4953</v>
      </c>
      <c r="C270" s="28" t="s">
        <v>4954</v>
      </c>
      <c r="D270" s="29" t="s">
        <v>1601</v>
      </c>
      <c r="E270" s="196">
        <f>[2]Summary!E269</f>
        <v>1.75</v>
      </c>
      <c r="F270" s="212">
        <f>[2]Summary!F269</f>
        <v>0</v>
      </c>
      <c r="G270" s="30">
        <f t="shared" si="4"/>
        <v>0</v>
      </c>
      <c r="H270" s="28" t="s">
        <v>5891</v>
      </c>
    </row>
    <row r="271" spans="1:8" s="8" customFormat="1">
      <c r="A271" s="191">
        <v>267</v>
      </c>
      <c r="B271" s="192" t="s">
        <v>4955</v>
      </c>
      <c r="C271" s="192" t="s">
        <v>4956</v>
      </c>
      <c r="D271" s="193" t="s">
        <v>1584</v>
      </c>
      <c r="E271" s="194">
        <f>[2]Summary!E270</f>
        <v>0.3</v>
      </c>
      <c r="F271" s="211">
        <f>[2]Summary!F270</f>
        <v>65</v>
      </c>
      <c r="G271" s="195">
        <f t="shared" si="4"/>
        <v>19.5</v>
      </c>
      <c r="H271" s="192" t="s">
        <v>5889</v>
      </c>
    </row>
    <row r="272" spans="1:8" s="8" customFormat="1">
      <c r="A272" s="27">
        <v>268</v>
      </c>
      <c r="B272" s="28" t="s">
        <v>4957</v>
      </c>
      <c r="C272" s="28" t="s">
        <v>4958</v>
      </c>
      <c r="D272" s="29" t="s">
        <v>1584</v>
      </c>
      <c r="E272" s="196">
        <f>[2]Summary!E271</f>
        <v>6.5</v>
      </c>
      <c r="F272" s="212">
        <f>[2]Summary!F271</f>
        <v>0</v>
      </c>
      <c r="G272" s="30">
        <f t="shared" si="4"/>
        <v>0</v>
      </c>
      <c r="H272" s="28" t="s">
        <v>5889</v>
      </c>
    </row>
    <row r="273" spans="1:8" s="8" customFormat="1">
      <c r="A273" s="191">
        <v>269</v>
      </c>
      <c r="B273" s="192" t="s">
        <v>4959</v>
      </c>
      <c r="C273" s="192" t="s">
        <v>4960</v>
      </c>
      <c r="D273" s="193" t="s">
        <v>1584</v>
      </c>
      <c r="E273" s="194">
        <f>[2]Summary!E272</f>
        <v>3.5</v>
      </c>
      <c r="F273" s="211">
        <f>[2]Summary!F272</f>
        <v>300</v>
      </c>
      <c r="G273" s="195">
        <f t="shared" si="4"/>
        <v>1050</v>
      </c>
      <c r="H273" s="192" t="s">
        <v>5910</v>
      </c>
    </row>
    <row r="274" spans="1:8" s="8" customFormat="1">
      <c r="A274" s="27">
        <v>270</v>
      </c>
      <c r="B274" s="28" t="s">
        <v>4961</v>
      </c>
      <c r="C274" s="28" t="s">
        <v>4962</v>
      </c>
      <c r="D274" s="29" t="s">
        <v>1584</v>
      </c>
      <c r="E274" s="196">
        <f>[2]Summary!E273</f>
        <v>7.5</v>
      </c>
      <c r="F274" s="212">
        <f>[2]Summary!F273</f>
        <v>0</v>
      </c>
      <c r="G274" s="30">
        <f t="shared" si="4"/>
        <v>0</v>
      </c>
      <c r="H274" s="28" t="s">
        <v>5910</v>
      </c>
    </row>
    <row r="275" spans="1:8" s="8" customFormat="1">
      <c r="A275" s="191">
        <v>271</v>
      </c>
      <c r="B275" s="192" t="s">
        <v>4963</v>
      </c>
      <c r="C275" s="192" t="s">
        <v>4964</v>
      </c>
      <c r="D275" s="193" t="s">
        <v>1584</v>
      </c>
      <c r="E275" s="194">
        <f>[2]Summary!E274</f>
        <v>0.27</v>
      </c>
      <c r="F275" s="211">
        <f>[2]Summary!F274</f>
        <v>0</v>
      </c>
      <c r="G275" s="195">
        <f t="shared" si="4"/>
        <v>0</v>
      </c>
      <c r="H275" s="192" t="s">
        <v>5910</v>
      </c>
    </row>
    <row r="276" spans="1:8" s="8" customFormat="1">
      <c r="A276" s="27">
        <v>272</v>
      </c>
      <c r="B276" s="28" t="s">
        <v>5771</v>
      </c>
      <c r="C276" s="28" t="s">
        <v>5772</v>
      </c>
      <c r="D276" s="29" t="s">
        <v>1584</v>
      </c>
      <c r="E276" s="196">
        <f>[2]Summary!E275</f>
        <v>0.9</v>
      </c>
      <c r="F276" s="212">
        <f>[2]Summary!F275</f>
        <v>429</v>
      </c>
      <c r="G276" s="30">
        <f t="shared" si="4"/>
        <v>386.1</v>
      </c>
      <c r="H276" s="28" t="s">
        <v>5910</v>
      </c>
    </row>
    <row r="277" spans="1:8" s="8" customFormat="1">
      <c r="A277" s="191">
        <v>273</v>
      </c>
      <c r="B277" s="192" t="s">
        <v>4965</v>
      </c>
      <c r="C277" s="192" t="s">
        <v>4966</v>
      </c>
      <c r="D277" s="193" t="s">
        <v>1584</v>
      </c>
      <c r="E277" s="194">
        <f>[2]Summary!E276</f>
        <v>0.21</v>
      </c>
      <c r="F277" s="211">
        <f>[2]Summary!F276</f>
        <v>3032</v>
      </c>
      <c r="G277" s="195">
        <f t="shared" si="4"/>
        <v>636.72</v>
      </c>
      <c r="H277" s="192" t="s">
        <v>5910</v>
      </c>
    </row>
    <row r="278" spans="1:8" s="8" customFormat="1">
      <c r="A278" s="27">
        <v>274</v>
      </c>
      <c r="B278" s="28" t="s">
        <v>4967</v>
      </c>
      <c r="C278" s="28" t="s">
        <v>4968</v>
      </c>
      <c r="D278" s="29" t="s">
        <v>1584</v>
      </c>
      <c r="E278" s="196">
        <f>[2]Summary!E277</f>
        <v>0.25</v>
      </c>
      <c r="F278" s="212">
        <f>[2]Summary!F277</f>
        <v>8</v>
      </c>
      <c r="G278" s="30">
        <f t="shared" si="4"/>
        <v>2</v>
      </c>
      <c r="H278" s="28" t="s">
        <v>5910</v>
      </c>
    </row>
    <row r="279" spans="1:8" s="8" customFormat="1">
      <c r="A279" s="191">
        <v>275</v>
      </c>
      <c r="B279" s="192" t="s">
        <v>4969</v>
      </c>
      <c r="C279" s="192" t="s">
        <v>4970</v>
      </c>
      <c r="D279" s="193" t="s">
        <v>1584</v>
      </c>
      <c r="E279" s="194">
        <f>[2]Summary!E278</f>
        <v>0.9</v>
      </c>
      <c r="F279" s="211">
        <f>[2]Summary!F278</f>
        <v>1861</v>
      </c>
      <c r="G279" s="195">
        <f t="shared" si="4"/>
        <v>1674.9</v>
      </c>
      <c r="H279" s="192" t="s">
        <v>5910</v>
      </c>
    </row>
    <row r="280" spans="1:8" s="8" customFormat="1">
      <c r="A280" s="27">
        <v>276</v>
      </c>
      <c r="B280" s="28" t="s">
        <v>4971</v>
      </c>
      <c r="C280" s="28" t="s">
        <v>4972</v>
      </c>
      <c r="D280" s="29" t="s">
        <v>1584</v>
      </c>
      <c r="E280" s="196">
        <f>[2]Summary!E279</f>
        <v>0.48</v>
      </c>
      <c r="F280" s="212">
        <f>[2]Summary!F279</f>
        <v>2058</v>
      </c>
      <c r="G280" s="30">
        <f t="shared" si="4"/>
        <v>987.83999999999992</v>
      </c>
      <c r="H280" s="28" t="s">
        <v>5910</v>
      </c>
    </row>
    <row r="281" spans="1:8" s="8" customFormat="1">
      <c r="A281" s="191">
        <v>277</v>
      </c>
      <c r="B281" s="192" t="s">
        <v>4973</v>
      </c>
      <c r="C281" s="192" t="s">
        <v>4974</v>
      </c>
      <c r="D281" s="193" t="s">
        <v>1584</v>
      </c>
      <c r="E281" s="194">
        <f>[2]Summary!E280</f>
        <v>0.67</v>
      </c>
      <c r="F281" s="211">
        <f>[2]Summary!F280</f>
        <v>1071</v>
      </c>
      <c r="G281" s="195">
        <f t="shared" si="4"/>
        <v>717.57</v>
      </c>
      <c r="H281" s="192" t="s">
        <v>5910</v>
      </c>
    </row>
    <row r="282" spans="1:8" s="8" customFormat="1">
      <c r="A282" s="27">
        <v>278</v>
      </c>
      <c r="B282" s="28" t="s">
        <v>4975</v>
      </c>
      <c r="C282" s="28" t="s">
        <v>4976</v>
      </c>
      <c r="D282" s="29" t="s">
        <v>1584</v>
      </c>
      <c r="E282" s="196">
        <f>[2]Summary!E281</f>
        <v>1.1000000000000001</v>
      </c>
      <c r="F282" s="212">
        <f>[2]Summary!F281</f>
        <v>980</v>
      </c>
      <c r="G282" s="30">
        <f t="shared" si="4"/>
        <v>1078</v>
      </c>
      <c r="H282" s="28" t="s">
        <v>5910</v>
      </c>
    </row>
    <row r="283" spans="1:8" s="8" customFormat="1">
      <c r="A283" s="191">
        <v>279</v>
      </c>
      <c r="B283" s="192" t="s">
        <v>4977</v>
      </c>
      <c r="C283" s="192" t="s">
        <v>4978</v>
      </c>
      <c r="D283" s="193" t="s">
        <v>1584</v>
      </c>
      <c r="E283" s="194">
        <f>[2]Summary!E282</f>
        <v>0.2</v>
      </c>
      <c r="F283" s="211">
        <f>[2]Summary!F282</f>
        <v>0</v>
      </c>
      <c r="G283" s="195">
        <f t="shared" si="4"/>
        <v>0</v>
      </c>
      <c r="H283" s="192" t="s">
        <v>5910</v>
      </c>
    </row>
    <row r="284" spans="1:8" s="8" customFormat="1">
      <c r="A284" s="27">
        <v>280</v>
      </c>
      <c r="B284" s="28" t="s">
        <v>4979</v>
      </c>
      <c r="C284" s="28" t="s">
        <v>4980</v>
      </c>
      <c r="D284" s="29" t="s">
        <v>1584</v>
      </c>
      <c r="E284" s="196">
        <f>[2]Summary!E283</f>
        <v>1</v>
      </c>
      <c r="F284" s="212">
        <f>[2]Summary!F283</f>
        <v>0</v>
      </c>
      <c r="G284" s="30">
        <f t="shared" si="4"/>
        <v>0</v>
      </c>
      <c r="H284" s="28" t="s">
        <v>5910</v>
      </c>
    </row>
    <row r="285" spans="1:8" s="8" customFormat="1">
      <c r="A285" s="191">
        <v>281</v>
      </c>
      <c r="B285" s="192" t="s">
        <v>4981</v>
      </c>
      <c r="C285" s="192" t="s">
        <v>4982</v>
      </c>
      <c r="D285" s="193" t="s">
        <v>1584</v>
      </c>
      <c r="E285" s="194">
        <f>[2]Summary!E284</f>
        <v>0.15</v>
      </c>
      <c r="F285" s="211">
        <f>[2]Summary!F284</f>
        <v>0</v>
      </c>
      <c r="G285" s="195">
        <f t="shared" si="4"/>
        <v>0</v>
      </c>
      <c r="H285" s="192" t="s">
        <v>5910</v>
      </c>
    </row>
    <row r="286" spans="1:8" s="8" customFormat="1">
      <c r="A286" s="27">
        <v>282</v>
      </c>
      <c r="B286" s="28" t="s">
        <v>4983</v>
      </c>
      <c r="C286" s="28" t="s">
        <v>4984</v>
      </c>
      <c r="D286" s="29" t="s">
        <v>1584</v>
      </c>
      <c r="E286" s="196">
        <f>[2]Summary!E285</f>
        <v>0.11</v>
      </c>
      <c r="F286" s="212">
        <f>[2]Summary!F285</f>
        <v>0</v>
      </c>
      <c r="G286" s="30">
        <f t="shared" si="4"/>
        <v>0</v>
      </c>
      <c r="H286" s="28" t="s">
        <v>5910</v>
      </c>
    </row>
    <row r="287" spans="1:8" s="8" customFormat="1">
      <c r="A287" s="191">
        <v>283</v>
      </c>
      <c r="B287" s="192" t="s">
        <v>4985</v>
      </c>
      <c r="C287" s="192" t="s">
        <v>4986</v>
      </c>
      <c r="D287" s="193" t="s">
        <v>1584</v>
      </c>
      <c r="E287" s="194">
        <f>[2]Summary!E286</f>
        <v>0.35</v>
      </c>
      <c r="F287" s="211">
        <f>[2]Summary!F286</f>
        <v>0</v>
      </c>
      <c r="G287" s="195">
        <f t="shared" si="4"/>
        <v>0</v>
      </c>
      <c r="H287" s="192" t="s">
        <v>5910</v>
      </c>
    </row>
    <row r="288" spans="1:8" s="8" customFormat="1">
      <c r="A288" s="27">
        <v>284</v>
      </c>
      <c r="B288" s="28" t="s">
        <v>4987</v>
      </c>
      <c r="C288" s="28" t="s">
        <v>4988</v>
      </c>
      <c r="D288" s="29" t="s">
        <v>1584</v>
      </c>
      <c r="E288" s="196">
        <f>[2]Summary!E287</f>
        <v>0.35</v>
      </c>
      <c r="F288" s="212">
        <f>[2]Summary!F287</f>
        <v>0</v>
      </c>
      <c r="G288" s="30">
        <f t="shared" si="4"/>
        <v>0</v>
      </c>
      <c r="H288" s="28" t="s">
        <v>5910</v>
      </c>
    </row>
    <row r="289" spans="1:8" s="8" customFormat="1">
      <c r="A289" s="191">
        <v>285</v>
      </c>
      <c r="B289" s="192" t="s">
        <v>4989</v>
      </c>
      <c r="C289" s="192" t="s">
        <v>4990</v>
      </c>
      <c r="D289" s="193" t="s">
        <v>1584</v>
      </c>
      <c r="E289" s="194">
        <f>[2]Summary!E288</f>
        <v>0.35</v>
      </c>
      <c r="F289" s="211">
        <f>[2]Summary!F288</f>
        <v>36</v>
      </c>
      <c r="G289" s="195">
        <f t="shared" si="4"/>
        <v>12.6</v>
      </c>
      <c r="H289" s="192" t="s">
        <v>5910</v>
      </c>
    </row>
    <row r="290" spans="1:8" s="8" customFormat="1">
      <c r="A290" s="27">
        <v>286</v>
      </c>
      <c r="B290" s="28" t="s">
        <v>4991</v>
      </c>
      <c r="C290" s="28" t="s">
        <v>4992</v>
      </c>
      <c r="D290" s="29" t="s">
        <v>1584</v>
      </c>
      <c r="E290" s="196">
        <f>[2]Summary!E289</f>
        <v>0.9</v>
      </c>
      <c r="F290" s="212">
        <f>[2]Summary!F289</f>
        <v>4</v>
      </c>
      <c r="G290" s="30">
        <f t="shared" si="4"/>
        <v>3.6</v>
      </c>
      <c r="H290" s="28" t="s">
        <v>5910</v>
      </c>
    </row>
    <row r="291" spans="1:8" s="8" customFormat="1">
      <c r="A291" s="191">
        <v>287</v>
      </c>
      <c r="B291" s="192" t="s">
        <v>4993</v>
      </c>
      <c r="C291" s="192" t="s">
        <v>4994</v>
      </c>
      <c r="D291" s="193" t="s">
        <v>1584</v>
      </c>
      <c r="E291" s="194">
        <f>[2]Summary!E290</f>
        <v>0.5</v>
      </c>
      <c r="F291" s="211">
        <f>[2]Summary!F290</f>
        <v>107</v>
      </c>
      <c r="G291" s="195">
        <f t="shared" si="4"/>
        <v>53.5</v>
      </c>
      <c r="H291" s="192" t="s">
        <v>5910</v>
      </c>
    </row>
    <row r="292" spans="1:8" s="8" customFormat="1">
      <c r="A292" s="27">
        <v>288</v>
      </c>
      <c r="B292" s="28" t="s">
        <v>4995</v>
      </c>
      <c r="C292" s="28" t="s">
        <v>4996</v>
      </c>
      <c r="D292" s="29" t="s">
        <v>1584</v>
      </c>
      <c r="E292" s="196">
        <f>[2]Summary!E291</f>
        <v>0.6</v>
      </c>
      <c r="F292" s="212">
        <f>[2]Summary!F291</f>
        <v>38</v>
      </c>
      <c r="G292" s="30">
        <f t="shared" si="4"/>
        <v>22.8</v>
      </c>
      <c r="H292" s="28" t="s">
        <v>5910</v>
      </c>
    </row>
    <row r="293" spans="1:8" s="8" customFormat="1">
      <c r="A293" s="191">
        <v>289</v>
      </c>
      <c r="B293" s="192" t="s">
        <v>4997</v>
      </c>
      <c r="C293" s="192" t="s">
        <v>4998</v>
      </c>
      <c r="D293" s="193" t="s">
        <v>1584</v>
      </c>
      <c r="E293" s="194">
        <f>[2]Summary!E292</f>
        <v>2</v>
      </c>
      <c r="F293" s="211">
        <f>[2]Summary!F292</f>
        <v>0</v>
      </c>
      <c r="G293" s="195">
        <f t="shared" si="4"/>
        <v>0</v>
      </c>
      <c r="H293" s="192" t="s">
        <v>5899</v>
      </c>
    </row>
    <row r="294" spans="1:8" s="8" customFormat="1">
      <c r="A294" s="27">
        <v>290</v>
      </c>
      <c r="B294" s="28" t="s">
        <v>4999</v>
      </c>
      <c r="C294" s="28" t="s">
        <v>5000</v>
      </c>
      <c r="D294" s="29" t="s">
        <v>1584</v>
      </c>
      <c r="E294" s="196">
        <f>[2]Summary!E293</f>
        <v>1</v>
      </c>
      <c r="F294" s="212">
        <f>[2]Summary!F293</f>
        <v>0</v>
      </c>
      <c r="G294" s="30">
        <f t="shared" si="4"/>
        <v>0</v>
      </c>
      <c r="H294" s="28" t="s">
        <v>5899</v>
      </c>
    </row>
    <row r="295" spans="1:8" s="8" customFormat="1">
      <c r="A295" s="191">
        <v>291</v>
      </c>
      <c r="B295" s="192" t="s">
        <v>5001</v>
      </c>
      <c r="C295" s="192" t="s">
        <v>5002</v>
      </c>
      <c r="D295" s="193" t="s">
        <v>1584</v>
      </c>
      <c r="E295" s="194">
        <f>[2]Summary!E294</f>
        <v>1.5</v>
      </c>
      <c r="F295" s="211">
        <f>[2]Summary!F294</f>
        <v>0</v>
      </c>
      <c r="G295" s="195">
        <f t="shared" si="4"/>
        <v>0</v>
      </c>
      <c r="H295" s="192" t="s">
        <v>5899</v>
      </c>
    </row>
    <row r="296" spans="1:8" s="8" customFormat="1">
      <c r="A296" s="27">
        <v>292</v>
      </c>
      <c r="B296" s="28" t="s">
        <v>5003</v>
      </c>
      <c r="C296" s="28" t="s">
        <v>5004</v>
      </c>
      <c r="D296" s="29" t="s">
        <v>1584</v>
      </c>
      <c r="E296" s="196">
        <f>[2]Summary!E295</f>
        <v>2</v>
      </c>
      <c r="F296" s="212">
        <f>[2]Summary!F295</f>
        <v>0</v>
      </c>
      <c r="G296" s="30">
        <f t="shared" si="4"/>
        <v>0</v>
      </c>
      <c r="H296" s="28" t="s">
        <v>5899</v>
      </c>
    </row>
    <row r="297" spans="1:8" s="8" customFormat="1">
      <c r="A297" s="191">
        <v>293</v>
      </c>
      <c r="B297" s="192" t="s">
        <v>5005</v>
      </c>
      <c r="C297" s="192" t="s">
        <v>5006</v>
      </c>
      <c r="D297" s="193" t="s">
        <v>1584</v>
      </c>
      <c r="E297" s="194">
        <f>[2]Summary!E296</f>
        <v>0.2</v>
      </c>
      <c r="F297" s="211">
        <f>[2]Summary!F296</f>
        <v>0</v>
      </c>
      <c r="G297" s="195">
        <f t="shared" si="4"/>
        <v>0</v>
      </c>
      <c r="H297" s="192" t="s">
        <v>5899</v>
      </c>
    </row>
    <row r="298" spans="1:8" s="8" customFormat="1">
      <c r="A298" s="27">
        <v>294</v>
      </c>
      <c r="B298" s="28" t="s">
        <v>5007</v>
      </c>
      <c r="C298" s="28" t="s">
        <v>5008</v>
      </c>
      <c r="D298" s="29" t="s">
        <v>1584</v>
      </c>
      <c r="E298" s="196">
        <f>[2]Summary!E297</f>
        <v>0.16800000000000001</v>
      </c>
      <c r="F298" s="212">
        <f>[2]Summary!F297</f>
        <v>0</v>
      </c>
      <c r="G298" s="30">
        <f t="shared" si="4"/>
        <v>0</v>
      </c>
      <c r="H298" s="28" t="s">
        <v>5899</v>
      </c>
    </row>
    <row r="299" spans="1:8" s="8" customFormat="1">
      <c r="A299" s="191">
        <v>295</v>
      </c>
      <c r="B299" s="192" t="s">
        <v>5009</v>
      </c>
      <c r="C299" s="192" t="s">
        <v>5010</v>
      </c>
      <c r="D299" s="193" t="s">
        <v>1584</v>
      </c>
      <c r="E299" s="194">
        <f>[2]Summary!E298</f>
        <v>0.16800000000000001</v>
      </c>
      <c r="F299" s="211">
        <f>[2]Summary!F298</f>
        <v>0</v>
      </c>
      <c r="G299" s="195">
        <f t="shared" si="4"/>
        <v>0</v>
      </c>
      <c r="H299" s="192" t="s">
        <v>5899</v>
      </c>
    </row>
    <row r="300" spans="1:8" s="8" customFormat="1">
      <c r="A300" s="27">
        <v>296</v>
      </c>
      <c r="B300" s="28" t="s">
        <v>5011</v>
      </c>
      <c r="C300" s="28" t="s">
        <v>5012</v>
      </c>
      <c r="D300" s="29" t="s">
        <v>1584</v>
      </c>
      <c r="E300" s="196">
        <f>[2]Summary!E299</f>
        <v>0.2</v>
      </c>
      <c r="F300" s="212">
        <f>[2]Summary!F299</f>
        <v>0</v>
      </c>
      <c r="G300" s="30">
        <f t="shared" si="4"/>
        <v>0</v>
      </c>
      <c r="H300" s="28" t="s">
        <v>5899</v>
      </c>
    </row>
    <row r="301" spans="1:8" s="8" customFormat="1">
      <c r="A301" s="191">
        <v>297</v>
      </c>
      <c r="B301" s="192" t="s">
        <v>5013</v>
      </c>
      <c r="C301" s="192" t="s">
        <v>5014</v>
      </c>
      <c r="D301" s="193" t="s">
        <v>1584</v>
      </c>
      <c r="E301" s="194">
        <f>[2]Summary!E300</f>
        <v>1.1000000000000001</v>
      </c>
      <c r="F301" s="211">
        <f>[2]Summary!F300</f>
        <v>0</v>
      </c>
      <c r="G301" s="195">
        <f t="shared" si="4"/>
        <v>0</v>
      </c>
      <c r="H301" s="192" t="s">
        <v>5899</v>
      </c>
    </row>
    <row r="302" spans="1:8" s="8" customFormat="1">
      <c r="A302" s="27">
        <v>298</v>
      </c>
      <c r="B302" s="28" t="s">
        <v>5015</v>
      </c>
      <c r="C302" s="28" t="s">
        <v>5016</v>
      </c>
      <c r="D302" s="29" t="s">
        <v>1584</v>
      </c>
      <c r="E302" s="196">
        <f>[2]Summary!E301</f>
        <v>1.01</v>
      </c>
      <c r="F302" s="212">
        <f>[2]Summary!F301</f>
        <v>0</v>
      </c>
      <c r="G302" s="30">
        <f t="shared" si="4"/>
        <v>0</v>
      </c>
      <c r="H302" s="28" t="s">
        <v>5899</v>
      </c>
    </row>
    <row r="303" spans="1:8" s="8" customFormat="1">
      <c r="A303" s="191">
        <v>299</v>
      </c>
      <c r="B303" s="192" t="s">
        <v>5017</v>
      </c>
      <c r="C303" s="192" t="s">
        <v>5018</v>
      </c>
      <c r="D303" s="193" t="s">
        <v>1584</v>
      </c>
      <c r="E303" s="194">
        <f>[2]Summary!E302</f>
        <v>1.5</v>
      </c>
      <c r="F303" s="211">
        <f>[2]Summary!F302</f>
        <v>0</v>
      </c>
      <c r="G303" s="195">
        <f t="shared" si="4"/>
        <v>0</v>
      </c>
      <c r="H303" s="192" t="s">
        <v>5899</v>
      </c>
    </row>
    <row r="304" spans="1:8" s="8" customFormat="1">
      <c r="A304" s="27">
        <v>300</v>
      </c>
      <c r="B304" s="28" t="s">
        <v>5019</v>
      </c>
      <c r="C304" s="28" t="s">
        <v>5020</v>
      </c>
      <c r="D304" s="29" t="s">
        <v>1584</v>
      </c>
      <c r="E304" s="196">
        <f>[2]Summary!E303</f>
        <v>5.3</v>
      </c>
      <c r="F304" s="212">
        <f>[2]Summary!F303</f>
        <v>0</v>
      </c>
      <c r="G304" s="30">
        <f t="shared" si="4"/>
        <v>0</v>
      </c>
      <c r="H304" s="28" t="s">
        <v>5889</v>
      </c>
    </row>
    <row r="305" spans="1:8" s="8" customFormat="1">
      <c r="A305" s="191">
        <v>301</v>
      </c>
      <c r="B305" s="192" t="s">
        <v>5021</v>
      </c>
      <c r="C305" s="192" t="s">
        <v>5022</v>
      </c>
      <c r="D305" s="193" t="s">
        <v>1584</v>
      </c>
      <c r="E305" s="194">
        <f>[2]Summary!E304</f>
        <v>7</v>
      </c>
      <c r="F305" s="211">
        <f>[2]Summary!F304</f>
        <v>9</v>
      </c>
      <c r="G305" s="195">
        <f t="shared" si="4"/>
        <v>63</v>
      </c>
      <c r="H305" s="192" t="s">
        <v>5889</v>
      </c>
    </row>
    <row r="306" spans="1:8" s="8" customFormat="1">
      <c r="A306" s="27">
        <v>302</v>
      </c>
      <c r="B306" s="28" t="s">
        <v>5023</v>
      </c>
      <c r="C306" s="28" t="s">
        <v>5024</v>
      </c>
      <c r="D306" s="29" t="s">
        <v>1603</v>
      </c>
      <c r="E306" s="196">
        <f>[2]Summary!E305</f>
        <v>1</v>
      </c>
      <c r="F306" s="212">
        <f>[2]Summary!F305</f>
        <v>39</v>
      </c>
      <c r="G306" s="30">
        <f t="shared" si="4"/>
        <v>39</v>
      </c>
      <c r="H306" s="28" t="s">
        <v>5891</v>
      </c>
    </row>
    <row r="307" spans="1:8" s="8" customFormat="1">
      <c r="A307" s="191">
        <v>303</v>
      </c>
      <c r="B307" s="192" t="s">
        <v>5025</v>
      </c>
      <c r="C307" s="192" t="s">
        <v>5026</v>
      </c>
      <c r="D307" s="193" t="s">
        <v>1584</v>
      </c>
      <c r="E307" s="194">
        <f>[2]Summary!E306</f>
        <v>5</v>
      </c>
      <c r="F307" s="211">
        <f>[2]Summary!F306</f>
        <v>0</v>
      </c>
      <c r="G307" s="195">
        <f t="shared" si="4"/>
        <v>0</v>
      </c>
      <c r="H307" s="192" t="s">
        <v>5889</v>
      </c>
    </row>
    <row r="308" spans="1:8" s="8" customFormat="1">
      <c r="A308" s="27">
        <v>304</v>
      </c>
      <c r="B308" s="28" t="s">
        <v>5027</v>
      </c>
      <c r="C308" s="28" t="s">
        <v>5028</v>
      </c>
      <c r="D308" s="29" t="s">
        <v>1584</v>
      </c>
      <c r="E308" s="196">
        <f>[2]Summary!E307</f>
        <v>20</v>
      </c>
      <c r="F308" s="212">
        <f>[2]Summary!F307</f>
        <v>0</v>
      </c>
      <c r="G308" s="30">
        <f t="shared" si="4"/>
        <v>0</v>
      </c>
      <c r="H308" s="28" t="s">
        <v>5889</v>
      </c>
    </row>
    <row r="309" spans="1:8" s="8" customFormat="1">
      <c r="A309" s="191">
        <v>305</v>
      </c>
      <c r="B309" s="192" t="s">
        <v>4716</v>
      </c>
      <c r="C309" s="192" t="s">
        <v>5029</v>
      </c>
      <c r="D309" s="193" t="s">
        <v>1584</v>
      </c>
      <c r="E309" s="194">
        <f>[2]Summary!E308</f>
        <v>1</v>
      </c>
      <c r="F309" s="211">
        <f>[2]Summary!F308</f>
        <v>2</v>
      </c>
      <c r="G309" s="195">
        <f t="shared" si="4"/>
        <v>2</v>
      </c>
      <c r="H309" s="192" t="s">
        <v>5905</v>
      </c>
    </row>
    <row r="310" spans="1:8" s="8" customFormat="1">
      <c r="A310" s="27">
        <v>306</v>
      </c>
      <c r="B310" s="28" t="s">
        <v>5030</v>
      </c>
      <c r="C310" s="28" t="s">
        <v>5031</v>
      </c>
      <c r="D310" s="29" t="s">
        <v>1584</v>
      </c>
      <c r="E310" s="196">
        <f>[2]Summary!E309</f>
        <v>0.8</v>
      </c>
      <c r="F310" s="212">
        <f>[2]Summary!F309</f>
        <v>4</v>
      </c>
      <c r="G310" s="30">
        <f t="shared" si="4"/>
        <v>3.2</v>
      </c>
      <c r="H310" s="28" t="s">
        <v>5905</v>
      </c>
    </row>
    <row r="311" spans="1:8" s="8" customFormat="1">
      <c r="A311" s="191">
        <v>307</v>
      </c>
      <c r="B311" s="192" t="s">
        <v>5032</v>
      </c>
      <c r="C311" s="192" t="s">
        <v>5033</v>
      </c>
      <c r="D311" s="193" t="s">
        <v>1584</v>
      </c>
      <c r="E311" s="194">
        <f>[2]Summary!E310</f>
        <v>3.5</v>
      </c>
      <c r="F311" s="211">
        <f>[2]Summary!F310</f>
        <v>0</v>
      </c>
      <c r="G311" s="195">
        <f t="shared" si="4"/>
        <v>0</v>
      </c>
      <c r="H311" s="192" t="s">
        <v>5889</v>
      </c>
    </row>
    <row r="312" spans="1:8" s="8" customFormat="1">
      <c r="A312" s="27">
        <v>308</v>
      </c>
      <c r="B312" s="28" t="s">
        <v>5034</v>
      </c>
      <c r="C312" s="28" t="s">
        <v>5035</v>
      </c>
      <c r="D312" s="29" t="s">
        <v>1584</v>
      </c>
      <c r="E312" s="196">
        <f>[2]Summary!E311</f>
        <v>1.67</v>
      </c>
      <c r="F312" s="212">
        <f>[2]Summary!F311</f>
        <v>4</v>
      </c>
      <c r="G312" s="30">
        <f t="shared" si="4"/>
        <v>6.68</v>
      </c>
      <c r="H312" s="28" t="s">
        <v>5889</v>
      </c>
    </row>
    <row r="313" spans="1:8" s="8" customFormat="1">
      <c r="A313" s="191">
        <v>309</v>
      </c>
      <c r="B313" s="192" t="s">
        <v>5036</v>
      </c>
      <c r="C313" s="192" t="s">
        <v>5037</v>
      </c>
      <c r="D313" s="193" t="s">
        <v>1584</v>
      </c>
      <c r="E313" s="194">
        <f>[2]Summary!E312</f>
        <v>0.4</v>
      </c>
      <c r="F313" s="211">
        <f>[2]Summary!F312</f>
        <v>0</v>
      </c>
      <c r="G313" s="195">
        <f t="shared" si="4"/>
        <v>0</v>
      </c>
      <c r="H313" s="192" t="s">
        <v>5889</v>
      </c>
    </row>
    <row r="314" spans="1:8" s="8" customFormat="1">
      <c r="A314" s="27">
        <v>310</v>
      </c>
      <c r="B314" s="28" t="s">
        <v>5038</v>
      </c>
      <c r="C314" s="28" t="s">
        <v>5039</v>
      </c>
      <c r="D314" s="29" t="s">
        <v>1584</v>
      </c>
      <c r="E314" s="196">
        <f>[2]Summary!E313</f>
        <v>5</v>
      </c>
      <c r="F314" s="212">
        <f>[2]Summary!F313</f>
        <v>0</v>
      </c>
      <c r="G314" s="30">
        <f t="shared" si="4"/>
        <v>0</v>
      </c>
      <c r="H314" s="28" t="s">
        <v>5889</v>
      </c>
    </row>
    <row r="315" spans="1:8" s="8" customFormat="1">
      <c r="A315" s="191">
        <v>311</v>
      </c>
      <c r="B315" s="192" t="s">
        <v>5040</v>
      </c>
      <c r="C315" s="192" t="s">
        <v>5041</v>
      </c>
      <c r="D315" s="193" t="s">
        <v>1584</v>
      </c>
      <c r="E315" s="194">
        <f>[2]Summary!E314</f>
        <v>14.2</v>
      </c>
      <c r="F315" s="211">
        <f>[2]Summary!F314</f>
        <v>9</v>
      </c>
      <c r="G315" s="195">
        <f t="shared" si="4"/>
        <v>127.8</v>
      </c>
      <c r="H315" s="192" t="s">
        <v>5889</v>
      </c>
    </row>
    <row r="316" spans="1:8" s="8" customFormat="1">
      <c r="A316" s="27">
        <v>312</v>
      </c>
      <c r="B316" s="28" t="s">
        <v>5042</v>
      </c>
      <c r="C316" s="28" t="s">
        <v>5043</v>
      </c>
      <c r="D316" s="29" t="s">
        <v>1584</v>
      </c>
      <c r="E316" s="196">
        <f>[2]Summary!E315</f>
        <v>2.5</v>
      </c>
      <c r="F316" s="212">
        <f>[2]Summary!F315</f>
        <v>33</v>
      </c>
      <c r="G316" s="30">
        <f t="shared" si="4"/>
        <v>82.5</v>
      </c>
      <c r="H316" s="28" t="s">
        <v>5889</v>
      </c>
    </row>
    <row r="317" spans="1:8" s="8" customFormat="1">
      <c r="A317" s="191">
        <v>313</v>
      </c>
      <c r="B317" s="192" t="s">
        <v>5044</v>
      </c>
      <c r="C317" s="192" t="s">
        <v>5045</v>
      </c>
      <c r="D317" s="193" t="s">
        <v>1584</v>
      </c>
      <c r="E317" s="194">
        <f>[2]Summary!E316</f>
        <v>0.7</v>
      </c>
      <c r="F317" s="211">
        <f>[2]Summary!F316</f>
        <v>36</v>
      </c>
      <c r="G317" s="195">
        <f t="shared" si="4"/>
        <v>25.2</v>
      </c>
      <c r="H317" s="192" t="s">
        <v>5901</v>
      </c>
    </row>
    <row r="318" spans="1:8" s="8" customFormat="1">
      <c r="A318" s="27">
        <v>314</v>
      </c>
      <c r="B318" s="28" t="s">
        <v>5046</v>
      </c>
      <c r="C318" s="28" t="s">
        <v>5047</v>
      </c>
      <c r="D318" s="29" t="s">
        <v>1584</v>
      </c>
      <c r="E318" s="196">
        <f>[2]Summary!E317</f>
        <v>10</v>
      </c>
      <c r="F318" s="212">
        <f>[2]Summary!F317</f>
        <v>6</v>
      </c>
      <c r="G318" s="30">
        <f t="shared" si="4"/>
        <v>60</v>
      </c>
      <c r="H318" s="28" t="s">
        <v>5909</v>
      </c>
    </row>
    <row r="319" spans="1:8" s="8" customFormat="1">
      <c r="A319" s="191">
        <v>315</v>
      </c>
      <c r="B319" s="192" t="s">
        <v>5048</v>
      </c>
      <c r="C319" s="192" t="s">
        <v>5049</v>
      </c>
      <c r="D319" s="193" t="s">
        <v>1584</v>
      </c>
      <c r="E319" s="194">
        <f>[2]Summary!E318</f>
        <v>50</v>
      </c>
      <c r="F319" s="211">
        <f>[2]Summary!F318</f>
        <v>0</v>
      </c>
      <c r="G319" s="195">
        <f t="shared" si="4"/>
        <v>0</v>
      </c>
      <c r="H319" s="192" t="s">
        <v>5909</v>
      </c>
    </row>
    <row r="320" spans="1:8" s="8" customFormat="1">
      <c r="A320" s="27">
        <v>316</v>
      </c>
      <c r="B320" s="28" t="s">
        <v>5050</v>
      </c>
      <c r="C320" s="28" t="s">
        <v>5051</v>
      </c>
      <c r="D320" s="29" t="s">
        <v>1584</v>
      </c>
      <c r="E320" s="196">
        <f>[2]Summary!E319</f>
        <v>3.5</v>
      </c>
      <c r="F320" s="212">
        <f>[2]Summary!F319</f>
        <v>0</v>
      </c>
      <c r="G320" s="30">
        <f t="shared" si="4"/>
        <v>0</v>
      </c>
      <c r="H320" s="28" t="s">
        <v>5909</v>
      </c>
    </row>
    <row r="321" spans="1:8" s="8" customFormat="1">
      <c r="A321" s="191">
        <v>317</v>
      </c>
      <c r="B321" s="192" t="s">
        <v>5052</v>
      </c>
      <c r="C321" s="192" t="s">
        <v>5053</v>
      </c>
      <c r="D321" s="193" t="s">
        <v>1584</v>
      </c>
      <c r="E321" s="194">
        <f>[2]Summary!E320</f>
        <v>7</v>
      </c>
      <c r="F321" s="211">
        <f>[2]Summary!F320</f>
        <v>3</v>
      </c>
      <c r="G321" s="195">
        <f t="shared" si="4"/>
        <v>21</v>
      </c>
      <c r="H321" s="192" t="s">
        <v>5909</v>
      </c>
    </row>
    <row r="322" spans="1:8" s="8" customFormat="1">
      <c r="A322" s="27">
        <v>318</v>
      </c>
      <c r="B322" s="28" t="s">
        <v>5054</v>
      </c>
      <c r="C322" s="28" t="s">
        <v>5055</v>
      </c>
      <c r="D322" s="29" t="s">
        <v>1584</v>
      </c>
      <c r="E322" s="196">
        <f>[2]Summary!E321</f>
        <v>50</v>
      </c>
      <c r="F322" s="212">
        <f>[2]Summary!F321</f>
        <v>0</v>
      </c>
      <c r="G322" s="30">
        <f t="shared" si="4"/>
        <v>0</v>
      </c>
      <c r="H322" s="28" t="s">
        <v>5909</v>
      </c>
    </row>
    <row r="323" spans="1:8" s="8" customFormat="1">
      <c r="A323" s="191">
        <v>319</v>
      </c>
      <c r="B323" s="192" t="s">
        <v>5056</v>
      </c>
      <c r="C323" s="192" t="s">
        <v>5057</v>
      </c>
      <c r="D323" s="193" t="s">
        <v>1584</v>
      </c>
      <c r="E323" s="194">
        <f>[2]Summary!E322</f>
        <v>0.75</v>
      </c>
      <c r="F323" s="211">
        <f>[2]Summary!F322</f>
        <v>0</v>
      </c>
      <c r="G323" s="195">
        <f t="shared" si="4"/>
        <v>0</v>
      </c>
      <c r="H323" s="192" t="s">
        <v>5911</v>
      </c>
    </row>
    <row r="324" spans="1:8" s="8" customFormat="1">
      <c r="A324" s="27">
        <v>320</v>
      </c>
      <c r="B324" s="28" t="s">
        <v>5058</v>
      </c>
      <c r="C324" s="28" t="s">
        <v>5059</v>
      </c>
      <c r="D324" s="29" t="s">
        <v>1584</v>
      </c>
      <c r="E324" s="196">
        <f>[2]Summary!E323</f>
        <v>2.56</v>
      </c>
      <c r="F324" s="212">
        <f>[2]Summary!F323</f>
        <v>0</v>
      </c>
      <c r="G324" s="30">
        <f t="shared" si="4"/>
        <v>0</v>
      </c>
      <c r="H324" s="28" t="s">
        <v>5911</v>
      </c>
    </row>
    <row r="325" spans="1:8" s="8" customFormat="1">
      <c r="A325" s="191">
        <v>321</v>
      </c>
      <c r="B325" s="192" t="s">
        <v>5060</v>
      </c>
      <c r="C325" s="192" t="s">
        <v>5061</v>
      </c>
      <c r="D325" s="193" t="s">
        <v>4476</v>
      </c>
      <c r="E325" s="194">
        <f>[2]Summary!E324</f>
        <v>1.25</v>
      </c>
      <c r="F325" s="211">
        <f>[2]Summary!F324</f>
        <v>0</v>
      </c>
      <c r="G325" s="195">
        <f t="shared" ref="G325:G388" si="5">F325*E325</f>
        <v>0</v>
      </c>
      <c r="H325" s="192" t="s">
        <v>5899</v>
      </c>
    </row>
    <row r="326" spans="1:8" s="8" customFormat="1">
      <c r="A326" s="27">
        <v>322</v>
      </c>
      <c r="B326" s="28" t="s">
        <v>5062</v>
      </c>
      <c r="C326" s="28" t="s">
        <v>5063</v>
      </c>
      <c r="D326" s="29" t="s">
        <v>131</v>
      </c>
      <c r="E326" s="196">
        <f>[2]Summary!E325</f>
        <v>180</v>
      </c>
      <c r="F326" s="212">
        <f>[2]Summary!F325</f>
        <v>1</v>
      </c>
      <c r="G326" s="30">
        <f t="shared" si="5"/>
        <v>180</v>
      </c>
      <c r="H326" s="28" t="s">
        <v>5899</v>
      </c>
    </row>
    <row r="327" spans="1:8" s="8" customFormat="1">
      <c r="A327" s="191">
        <v>323</v>
      </c>
      <c r="B327" s="192" t="s">
        <v>5064</v>
      </c>
      <c r="C327" s="192" t="s">
        <v>5065</v>
      </c>
      <c r="D327" s="193" t="s">
        <v>4476</v>
      </c>
      <c r="E327" s="194">
        <f>[2]Summary!E326</f>
        <v>260</v>
      </c>
      <c r="F327" s="211">
        <f>[2]Summary!F326</f>
        <v>0</v>
      </c>
      <c r="G327" s="195">
        <f t="shared" si="5"/>
        <v>0</v>
      </c>
      <c r="H327" s="192" t="s">
        <v>5899</v>
      </c>
    </row>
    <row r="328" spans="1:8" s="8" customFormat="1">
      <c r="A328" s="27">
        <v>324</v>
      </c>
      <c r="B328" s="28" t="s">
        <v>5066</v>
      </c>
      <c r="C328" s="28" t="s">
        <v>5067</v>
      </c>
      <c r="D328" s="29" t="s">
        <v>4476</v>
      </c>
      <c r="E328" s="196">
        <f>[2]Summary!E327</f>
        <v>0.4</v>
      </c>
      <c r="F328" s="212">
        <f>[2]Summary!F327</f>
        <v>0</v>
      </c>
      <c r="G328" s="30">
        <f t="shared" si="5"/>
        <v>0</v>
      </c>
      <c r="H328" s="28" t="s">
        <v>5899</v>
      </c>
    </row>
    <row r="329" spans="1:8" s="8" customFormat="1">
      <c r="A329" s="191">
        <v>325</v>
      </c>
      <c r="B329" s="192" t="s">
        <v>5068</v>
      </c>
      <c r="C329" s="192" t="s">
        <v>5069</v>
      </c>
      <c r="D329" s="193" t="s">
        <v>4476</v>
      </c>
      <c r="E329" s="194">
        <f>[2]Summary!E328</f>
        <v>0.63400000000000001</v>
      </c>
      <c r="F329" s="211">
        <f>[2]Summary!F328</f>
        <v>150</v>
      </c>
      <c r="G329" s="195">
        <f t="shared" si="5"/>
        <v>95.1</v>
      </c>
      <c r="H329" s="192" t="s">
        <v>5899</v>
      </c>
    </row>
    <row r="330" spans="1:8" s="8" customFormat="1">
      <c r="A330" s="27">
        <v>326</v>
      </c>
      <c r="B330" s="28" t="s">
        <v>5070</v>
      </c>
      <c r="C330" s="28" t="s">
        <v>5071</v>
      </c>
      <c r="D330" s="29" t="s">
        <v>1584</v>
      </c>
      <c r="E330" s="196">
        <f>[2]Summary!E329</f>
        <v>1.1000000000000001</v>
      </c>
      <c r="F330" s="212">
        <f>[2]Summary!F329</f>
        <v>0</v>
      </c>
      <c r="G330" s="30">
        <f t="shared" si="5"/>
        <v>0</v>
      </c>
      <c r="H330" s="28" t="s">
        <v>5899</v>
      </c>
    </row>
    <row r="331" spans="1:8" s="8" customFormat="1">
      <c r="A331" s="191">
        <v>327</v>
      </c>
      <c r="B331" s="192" t="s">
        <v>5072</v>
      </c>
      <c r="C331" s="192" t="s">
        <v>5073</v>
      </c>
      <c r="D331" s="193" t="s">
        <v>1584</v>
      </c>
      <c r="E331" s="194">
        <f>[2]Summary!E330</f>
        <v>1</v>
      </c>
      <c r="F331" s="211">
        <f>[2]Summary!F330</f>
        <v>0</v>
      </c>
      <c r="G331" s="195">
        <f t="shared" si="5"/>
        <v>0</v>
      </c>
      <c r="H331" s="192" t="s">
        <v>5899</v>
      </c>
    </row>
    <row r="332" spans="1:8" s="8" customFormat="1">
      <c r="A332" s="27">
        <v>328</v>
      </c>
      <c r="B332" s="28" t="s">
        <v>5074</v>
      </c>
      <c r="C332" s="28" t="s">
        <v>5075</v>
      </c>
      <c r="D332" s="29" t="s">
        <v>1584</v>
      </c>
      <c r="E332" s="196">
        <f>[2]Summary!E331</f>
        <v>1.3</v>
      </c>
      <c r="F332" s="212">
        <f>[2]Summary!F331</f>
        <v>0</v>
      </c>
      <c r="G332" s="30">
        <f t="shared" si="5"/>
        <v>0</v>
      </c>
      <c r="H332" s="28" t="s">
        <v>5899</v>
      </c>
    </row>
    <row r="333" spans="1:8" s="8" customFormat="1">
      <c r="A333" s="191">
        <v>329</v>
      </c>
      <c r="B333" s="192" t="s">
        <v>5076</v>
      </c>
      <c r="C333" s="192" t="s">
        <v>5077</v>
      </c>
      <c r="D333" s="193" t="s">
        <v>1584</v>
      </c>
      <c r="E333" s="194">
        <f>[2]Summary!E332</f>
        <v>2</v>
      </c>
      <c r="F333" s="211">
        <f>[2]Summary!F332</f>
        <v>0</v>
      </c>
      <c r="G333" s="195">
        <f t="shared" si="5"/>
        <v>0</v>
      </c>
      <c r="H333" s="192" t="s">
        <v>5899</v>
      </c>
    </row>
    <row r="334" spans="1:8" s="8" customFormat="1">
      <c r="A334" s="27">
        <v>330</v>
      </c>
      <c r="B334" s="28" t="s">
        <v>5078</v>
      </c>
      <c r="C334" s="28" t="s">
        <v>5079</v>
      </c>
      <c r="D334" s="29" t="s">
        <v>1584</v>
      </c>
      <c r="E334" s="196">
        <f>[2]Summary!E333</f>
        <v>2</v>
      </c>
      <c r="F334" s="212">
        <f>[2]Summary!F333</f>
        <v>18</v>
      </c>
      <c r="G334" s="30">
        <f t="shared" si="5"/>
        <v>36</v>
      </c>
      <c r="H334" s="28" t="s">
        <v>5899</v>
      </c>
    </row>
    <row r="335" spans="1:8" s="8" customFormat="1">
      <c r="A335" s="191">
        <v>331</v>
      </c>
      <c r="B335" s="192" t="s">
        <v>5080</v>
      </c>
      <c r="C335" s="192" t="s">
        <v>5081</v>
      </c>
      <c r="D335" s="193" t="s">
        <v>1584</v>
      </c>
      <c r="E335" s="194">
        <f>[2]Summary!E334</f>
        <v>2</v>
      </c>
      <c r="F335" s="211">
        <f>[2]Summary!F334</f>
        <v>2</v>
      </c>
      <c r="G335" s="195">
        <f t="shared" si="5"/>
        <v>4</v>
      </c>
      <c r="H335" s="192" t="s">
        <v>5899</v>
      </c>
    </row>
    <row r="336" spans="1:8" s="8" customFormat="1">
      <c r="A336" s="27">
        <v>332</v>
      </c>
      <c r="B336" s="28" t="s">
        <v>5082</v>
      </c>
      <c r="C336" s="28" t="s">
        <v>5083</v>
      </c>
      <c r="D336" s="29" t="s">
        <v>1584</v>
      </c>
      <c r="E336" s="196">
        <f>[2]Summary!E335</f>
        <v>3.5</v>
      </c>
      <c r="F336" s="212">
        <f>[2]Summary!F335</f>
        <v>49</v>
      </c>
      <c r="G336" s="30">
        <f t="shared" si="5"/>
        <v>171.5</v>
      </c>
      <c r="H336" s="28" t="s">
        <v>5899</v>
      </c>
    </row>
    <row r="337" spans="1:8" s="8" customFormat="1">
      <c r="A337" s="191">
        <v>333</v>
      </c>
      <c r="B337" s="192" t="s">
        <v>5084</v>
      </c>
      <c r="C337" s="192" t="s">
        <v>5085</v>
      </c>
      <c r="D337" s="193" t="s">
        <v>1584</v>
      </c>
      <c r="E337" s="194">
        <f>[2]Summary!E336</f>
        <v>14</v>
      </c>
      <c r="F337" s="211">
        <f>[2]Summary!F336</f>
        <v>2</v>
      </c>
      <c r="G337" s="195">
        <f t="shared" si="5"/>
        <v>28</v>
      </c>
      <c r="H337" s="192" t="s">
        <v>5899</v>
      </c>
    </row>
    <row r="338" spans="1:8" s="8" customFormat="1">
      <c r="A338" s="27">
        <v>334</v>
      </c>
      <c r="B338" s="28" t="s">
        <v>5086</v>
      </c>
      <c r="C338" s="28" t="s">
        <v>5087</v>
      </c>
      <c r="D338" s="29" t="s">
        <v>1584</v>
      </c>
      <c r="E338" s="196">
        <f>[2]Summary!E337</f>
        <v>3</v>
      </c>
      <c r="F338" s="212">
        <f>[2]Summary!F337</f>
        <v>0</v>
      </c>
      <c r="G338" s="30">
        <f t="shared" si="5"/>
        <v>0</v>
      </c>
      <c r="H338" s="28" t="s">
        <v>5906</v>
      </c>
    </row>
    <row r="339" spans="1:8" s="8" customFormat="1">
      <c r="A339" s="191">
        <v>335</v>
      </c>
      <c r="B339" s="192" t="s">
        <v>5088</v>
      </c>
      <c r="C339" s="192" t="s">
        <v>5089</v>
      </c>
      <c r="D339" s="193" t="s">
        <v>1603</v>
      </c>
      <c r="E339" s="194">
        <f>[2]Summary!E338</f>
        <v>10</v>
      </c>
      <c r="F339" s="211">
        <f>[2]Summary!F338</f>
        <v>1.66</v>
      </c>
      <c r="G339" s="195">
        <f t="shared" si="5"/>
        <v>16.599999999999998</v>
      </c>
      <c r="H339" s="192" t="s">
        <v>5906</v>
      </c>
    </row>
    <row r="340" spans="1:8" s="8" customFormat="1">
      <c r="A340" s="27">
        <v>336</v>
      </c>
      <c r="B340" s="28" t="s">
        <v>5090</v>
      </c>
      <c r="C340" s="28" t="s">
        <v>5091</v>
      </c>
      <c r="D340" s="29" t="s">
        <v>1584</v>
      </c>
      <c r="E340" s="196">
        <f>[2]Summary!E339</f>
        <v>8.5</v>
      </c>
      <c r="F340" s="212">
        <f>[2]Summary!F339</f>
        <v>0</v>
      </c>
      <c r="G340" s="30">
        <f t="shared" si="5"/>
        <v>0</v>
      </c>
      <c r="H340" s="28" t="s">
        <v>5912</v>
      </c>
    </row>
    <row r="341" spans="1:8" s="8" customFormat="1">
      <c r="A341" s="191">
        <v>337</v>
      </c>
      <c r="B341" s="192" t="s">
        <v>5092</v>
      </c>
      <c r="C341" s="192" t="s">
        <v>5093</v>
      </c>
      <c r="D341" s="193" t="s">
        <v>1584</v>
      </c>
      <c r="E341" s="194">
        <f>[2]Summary!E340</f>
        <v>2.5</v>
      </c>
      <c r="F341" s="211">
        <f>[2]Summary!F340</f>
        <v>5</v>
      </c>
      <c r="G341" s="195">
        <f t="shared" si="5"/>
        <v>12.5</v>
      </c>
      <c r="H341" s="192" t="s">
        <v>5912</v>
      </c>
    </row>
    <row r="342" spans="1:8" s="8" customFormat="1">
      <c r="A342" s="27">
        <v>338</v>
      </c>
      <c r="B342" s="28" t="s">
        <v>5092</v>
      </c>
      <c r="C342" s="28" t="s">
        <v>5094</v>
      </c>
      <c r="D342" s="29" t="s">
        <v>1584</v>
      </c>
      <c r="E342" s="196">
        <f>[2]Summary!E341</f>
        <v>14.583299999999999</v>
      </c>
      <c r="F342" s="212">
        <f>[2]Summary!F341</f>
        <v>0</v>
      </c>
      <c r="G342" s="30">
        <f t="shared" si="5"/>
        <v>0</v>
      </c>
      <c r="H342" s="28" t="s">
        <v>5912</v>
      </c>
    </row>
    <row r="343" spans="1:8" s="8" customFormat="1">
      <c r="A343" s="191">
        <v>339</v>
      </c>
      <c r="B343" s="192" t="s">
        <v>5095</v>
      </c>
      <c r="C343" s="192" t="s">
        <v>5096</v>
      </c>
      <c r="D343" s="193" t="s">
        <v>1584</v>
      </c>
      <c r="E343" s="194">
        <f>[2]Summary!E342</f>
        <v>8</v>
      </c>
      <c r="F343" s="211">
        <f>[2]Summary!F342</f>
        <v>0</v>
      </c>
      <c r="G343" s="195">
        <f t="shared" si="5"/>
        <v>0</v>
      </c>
      <c r="H343" s="192" t="s">
        <v>5912</v>
      </c>
    </row>
    <row r="344" spans="1:8" s="8" customFormat="1">
      <c r="A344" s="27">
        <v>340</v>
      </c>
      <c r="B344" s="28" t="s">
        <v>5097</v>
      </c>
      <c r="C344" s="28" t="s">
        <v>5098</v>
      </c>
      <c r="D344" s="29" t="s">
        <v>1584</v>
      </c>
      <c r="E344" s="196">
        <f>[2]Summary!E343</f>
        <v>1</v>
      </c>
      <c r="F344" s="212">
        <f>[2]Summary!F343</f>
        <v>9</v>
      </c>
      <c r="G344" s="30">
        <f t="shared" si="5"/>
        <v>9</v>
      </c>
      <c r="H344" s="28" t="s">
        <v>5912</v>
      </c>
    </row>
    <row r="345" spans="1:8" s="8" customFormat="1">
      <c r="A345" s="191">
        <v>341</v>
      </c>
      <c r="B345" s="192" t="s">
        <v>5099</v>
      </c>
      <c r="C345" s="192" t="s">
        <v>5100</v>
      </c>
      <c r="D345" s="193" t="s">
        <v>1584</v>
      </c>
      <c r="E345" s="194">
        <f>[2]Summary!E344</f>
        <v>5</v>
      </c>
      <c r="F345" s="211">
        <f>[2]Summary!F344</f>
        <v>2</v>
      </c>
      <c r="G345" s="195">
        <f t="shared" si="5"/>
        <v>10</v>
      </c>
      <c r="H345" s="192" t="s">
        <v>5912</v>
      </c>
    </row>
    <row r="346" spans="1:8" s="8" customFormat="1">
      <c r="A346" s="27">
        <v>342</v>
      </c>
      <c r="B346" s="28" t="s">
        <v>5101</v>
      </c>
      <c r="C346" s="28" t="s">
        <v>5102</v>
      </c>
      <c r="D346" s="29" t="s">
        <v>1584</v>
      </c>
      <c r="E346" s="196">
        <f>[2]Summary!E345</f>
        <v>2</v>
      </c>
      <c r="F346" s="212">
        <f>[2]Summary!F345</f>
        <v>4</v>
      </c>
      <c r="G346" s="30">
        <f t="shared" si="5"/>
        <v>8</v>
      </c>
      <c r="H346" s="28" t="s">
        <v>5912</v>
      </c>
    </row>
    <row r="347" spans="1:8" s="8" customFormat="1">
      <c r="A347" s="191">
        <v>343</v>
      </c>
      <c r="B347" s="192" t="s">
        <v>5103</v>
      </c>
      <c r="C347" s="192" t="s">
        <v>5104</v>
      </c>
      <c r="D347" s="193" t="s">
        <v>1584</v>
      </c>
      <c r="E347" s="194">
        <f>[2]Summary!E346</f>
        <v>3</v>
      </c>
      <c r="F347" s="211">
        <f>[2]Summary!F346</f>
        <v>12</v>
      </c>
      <c r="G347" s="195">
        <f t="shared" si="5"/>
        <v>36</v>
      </c>
      <c r="H347" s="192" t="s">
        <v>5912</v>
      </c>
    </row>
    <row r="348" spans="1:8" s="8" customFormat="1">
      <c r="A348" s="27">
        <v>344</v>
      </c>
      <c r="B348" s="28" t="s">
        <v>5105</v>
      </c>
      <c r="C348" s="28" t="s">
        <v>5106</v>
      </c>
      <c r="D348" s="29" t="s">
        <v>1584</v>
      </c>
      <c r="E348" s="196">
        <f>[2]Summary!E347</f>
        <v>8</v>
      </c>
      <c r="F348" s="212">
        <f>[2]Summary!F347</f>
        <v>0</v>
      </c>
      <c r="G348" s="30">
        <f t="shared" si="5"/>
        <v>0</v>
      </c>
      <c r="H348" s="28" t="s">
        <v>5912</v>
      </c>
    </row>
    <row r="349" spans="1:8" s="8" customFormat="1">
      <c r="A349" s="191">
        <v>345</v>
      </c>
      <c r="B349" s="192" t="s">
        <v>5107</v>
      </c>
      <c r="C349" s="192" t="s">
        <v>5108</v>
      </c>
      <c r="D349" s="193" t="s">
        <v>1584</v>
      </c>
      <c r="E349" s="194">
        <f>[2]Summary!E348</f>
        <v>1.5</v>
      </c>
      <c r="F349" s="211">
        <f>[2]Summary!F348</f>
        <v>0</v>
      </c>
      <c r="G349" s="195">
        <f t="shared" si="5"/>
        <v>0</v>
      </c>
      <c r="H349" s="192" t="s">
        <v>5911</v>
      </c>
    </row>
    <row r="350" spans="1:8" s="8" customFormat="1">
      <c r="A350" s="27">
        <v>346</v>
      </c>
      <c r="B350" s="28" t="s">
        <v>5109</v>
      </c>
      <c r="C350" s="28" t="s">
        <v>5110</v>
      </c>
      <c r="D350" s="29" t="s">
        <v>1584</v>
      </c>
      <c r="E350" s="196">
        <f>[2]Summary!E349</f>
        <v>2</v>
      </c>
      <c r="F350" s="212">
        <f>[2]Summary!F349</f>
        <v>8</v>
      </c>
      <c r="G350" s="30">
        <f t="shared" si="5"/>
        <v>16</v>
      </c>
      <c r="H350" s="28" t="s">
        <v>5911</v>
      </c>
    </row>
    <row r="351" spans="1:8" s="8" customFormat="1">
      <c r="A351" s="191">
        <v>347</v>
      </c>
      <c r="B351" s="192" t="s">
        <v>5111</v>
      </c>
      <c r="C351" s="192" t="s">
        <v>5112</v>
      </c>
      <c r="D351" s="193" t="s">
        <v>1584</v>
      </c>
      <c r="E351" s="194">
        <f>[2]Summary!E350</f>
        <v>0.75</v>
      </c>
      <c r="F351" s="211">
        <f>[2]Summary!F350</f>
        <v>0</v>
      </c>
      <c r="G351" s="195">
        <f t="shared" si="5"/>
        <v>0</v>
      </c>
      <c r="H351" s="192" t="s">
        <v>5911</v>
      </c>
    </row>
    <row r="352" spans="1:8" s="8" customFormat="1">
      <c r="A352" s="27">
        <v>348</v>
      </c>
      <c r="B352" s="28" t="s">
        <v>5113</v>
      </c>
      <c r="C352" s="28" t="s">
        <v>5114</v>
      </c>
      <c r="D352" s="29" t="s">
        <v>1584</v>
      </c>
      <c r="E352" s="196">
        <f>[2]Summary!E351</f>
        <v>1.35</v>
      </c>
      <c r="F352" s="212">
        <f>[2]Summary!F351</f>
        <v>0</v>
      </c>
      <c r="G352" s="30">
        <f t="shared" si="5"/>
        <v>0</v>
      </c>
      <c r="H352" s="28" t="s">
        <v>5911</v>
      </c>
    </row>
    <row r="353" spans="1:8" s="8" customFormat="1">
      <c r="A353" s="191">
        <v>349</v>
      </c>
      <c r="B353" s="192" t="s">
        <v>5115</v>
      </c>
      <c r="C353" s="192" t="s">
        <v>5116</v>
      </c>
      <c r="D353" s="193" t="s">
        <v>1584</v>
      </c>
      <c r="E353" s="194">
        <f>[2]Summary!E352</f>
        <v>1.19</v>
      </c>
      <c r="F353" s="211">
        <f>[2]Summary!F352</f>
        <v>0</v>
      </c>
      <c r="G353" s="195">
        <f t="shared" si="5"/>
        <v>0</v>
      </c>
      <c r="H353" s="192" t="s">
        <v>5911</v>
      </c>
    </row>
    <row r="354" spans="1:8" s="8" customFormat="1">
      <c r="A354" s="27">
        <v>350</v>
      </c>
      <c r="B354" s="28" t="s">
        <v>5117</v>
      </c>
      <c r="C354" s="28" t="s">
        <v>5118</v>
      </c>
      <c r="D354" s="29" t="s">
        <v>1584</v>
      </c>
      <c r="E354" s="196">
        <f>[2]Summary!E353</f>
        <v>2.2000000000000002</v>
      </c>
      <c r="F354" s="212">
        <f>[2]Summary!F353</f>
        <v>0</v>
      </c>
      <c r="G354" s="30">
        <f t="shared" si="5"/>
        <v>0</v>
      </c>
      <c r="H354" s="28" t="s">
        <v>5911</v>
      </c>
    </row>
    <row r="355" spans="1:8" s="8" customFormat="1">
      <c r="A355" s="191">
        <v>351</v>
      </c>
      <c r="B355" s="192" t="s">
        <v>5119</v>
      </c>
      <c r="C355" s="192" t="s">
        <v>5120</v>
      </c>
      <c r="D355" s="193" t="s">
        <v>1584</v>
      </c>
      <c r="E355" s="194">
        <f>[2]Summary!E354</f>
        <v>0.67500000000000004</v>
      </c>
      <c r="F355" s="211">
        <f>[2]Summary!F354</f>
        <v>0</v>
      </c>
      <c r="G355" s="195">
        <f t="shared" si="5"/>
        <v>0</v>
      </c>
      <c r="H355" s="192" t="s">
        <v>5911</v>
      </c>
    </row>
    <row r="356" spans="1:8" s="8" customFormat="1">
      <c r="A356" s="27">
        <v>352</v>
      </c>
      <c r="B356" s="28" t="s">
        <v>5121</v>
      </c>
      <c r="C356" s="28" t="s">
        <v>5122</v>
      </c>
      <c r="D356" s="29" t="s">
        <v>1584</v>
      </c>
      <c r="E356" s="196">
        <f>[2]Summary!E355</f>
        <v>3.2679999999999998</v>
      </c>
      <c r="F356" s="212">
        <f>[2]Summary!F355</f>
        <v>4</v>
      </c>
      <c r="G356" s="30">
        <f t="shared" si="5"/>
        <v>13.071999999999999</v>
      </c>
      <c r="H356" s="28" t="s">
        <v>5903</v>
      </c>
    </row>
    <row r="357" spans="1:8" s="8" customFormat="1">
      <c r="A357" s="191">
        <v>353</v>
      </c>
      <c r="B357" s="192" t="s">
        <v>5123</v>
      </c>
      <c r="C357" s="192" t="s">
        <v>5124</v>
      </c>
      <c r="D357" s="193" t="s">
        <v>1584</v>
      </c>
      <c r="E357" s="194">
        <f>[2]Summary!E356</f>
        <v>6</v>
      </c>
      <c r="F357" s="211">
        <f>[2]Summary!F356</f>
        <v>0</v>
      </c>
      <c r="G357" s="195">
        <f t="shared" si="5"/>
        <v>0</v>
      </c>
      <c r="H357" s="192" t="s">
        <v>5903</v>
      </c>
    </row>
    <row r="358" spans="1:8" s="8" customFormat="1">
      <c r="A358" s="27">
        <v>354</v>
      </c>
      <c r="B358" s="28" t="s">
        <v>5125</v>
      </c>
      <c r="C358" s="28" t="s">
        <v>5126</v>
      </c>
      <c r="D358" s="29" t="s">
        <v>1584</v>
      </c>
      <c r="E358" s="196">
        <f>[2]Summary!E357</f>
        <v>6.89</v>
      </c>
      <c r="F358" s="212">
        <f>[2]Summary!F357</f>
        <v>0</v>
      </c>
      <c r="G358" s="30">
        <f t="shared" si="5"/>
        <v>0</v>
      </c>
      <c r="H358" s="28" t="s">
        <v>5903</v>
      </c>
    </row>
    <row r="359" spans="1:8" s="8" customFormat="1">
      <c r="A359" s="191">
        <v>355</v>
      </c>
      <c r="B359" s="192" t="s">
        <v>5127</v>
      </c>
      <c r="C359" s="192" t="s">
        <v>5128</v>
      </c>
      <c r="D359" s="193" t="s">
        <v>1584</v>
      </c>
      <c r="E359" s="194">
        <f>[2]Summary!E358</f>
        <v>3.4</v>
      </c>
      <c r="F359" s="211">
        <f>[2]Summary!F358</f>
        <v>2</v>
      </c>
      <c r="G359" s="195">
        <f t="shared" si="5"/>
        <v>6.8</v>
      </c>
      <c r="H359" s="192" t="s">
        <v>5903</v>
      </c>
    </row>
    <row r="360" spans="1:8" s="8" customFormat="1">
      <c r="A360" s="27">
        <v>356</v>
      </c>
      <c r="B360" s="28" t="s">
        <v>5129</v>
      </c>
      <c r="C360" s="28" t="s">
        <v>5130</v>
      </c>
      <c r="D360" s="29" t="s">
        <v>1584</v>
      </c>
      <c r="E360" s="196">
        <f>[2]Summary!E359</f>
        <v>0.6</v>
      </c>
      <c r="F360" s="212">
        <f>[2]Summary!F359</f>
        <v>95</v>
      </c>
      <c r="G360" s="30">
        <f t="shared" si="5"/>
        <v>57</v>
      </c>
      <c r="H360" s="28" t="s">
        <v>5903</v>
      </c>
    </row>
    <row r="361" spans="1:8" s="8" customFormat="1">
      <c r="A361" s="191">
        <v>357</v>
      </c>
      <c r="B361" s="192" t="s">
        <v>5131</v>
      </c>
      <c r="C361" s="192" t="s">
        <v>5132</v>
      </c>
      <c r="D361" s="193" t="s">
        <v>1584</v>
      </c>
      <c r="E361" s="194">
        <f>[2]Summary!E360</f>
        <v>0.55000000000000004</v>
      </c>
      <c r="F361" s="211">
        <f>[2]Summary!F360</f>
        <v>21</v>
      </c>
      <c r="G361" s="195">
        <f t="shared" si="5"/>
        <v>11.55</v>
      </c>
      <c r="H361" s="192" t="s">
        <v>5903</v>
      </c>
    </row>
    <row r="362" spans="1:8" s="8" customFormat="1">
      <c r="A362" s="27">
        <v>358</v>
      </c>
      <c r="B362" s="28" t="s">
        <v>5133</v>
      </c>
      <c r="C362" s="28" t="s">
        <v>5134</v>
      </c>
      <c r="D362" s="29" t="s">
        <v>1584</v>
      </c>
      <c r="E362" s="196">
        <f>[2]Summary!E361</f>
        <v>0.2</v>
      </c>
      <c r="F362" s="212">
        <f>[2]Summary!F361</f>
        <v>85</v>
      </c>
      <c r="G362" s="30">
        <f t="shared" si="5"/>
        <v>17</v>
      </c>
      <c r="H362" s="28" t="s">
        <v>5903</v>
      </c>
    </row>
    <row r="363" spans="1:8" s="8" customFormat="1">
      <c r="A363" s="191">
        <v>359</v>
      </c>
      <c r="B363" s="192" t="s">
        <v>5135</v>
      </c>
      <c r="C363" s="192" t="s">
        <v>5136</v>
      </c>
      <c r="D363" s="193" t="s">
        <v>1584</v>
      </c>
      <c r="E363" s="194">
        <f>[2]Summary!E362</f>
        <v>0.34</v>
      </c>
      <c r="F363" s="211">
        <f>[2]Summary!F362</f>
        <v>278</v>
      </c>
      <c r="G363" s="195">
        <f t="shared" si="5"/>
        <v>94.52000000000001</v>
      </c>
      <c r="H363" s="192" t="s">
        <v>5903</v>
      </c>
    </row>
    <row r="364" spans="1:8" s="8" customFormat="1">
      <c r="A364" s="27">
        <v>360</v>
      </c>
      <c r="B364" s="28" t="s">
        <v>5137</v>
      </c>
      <c r="C364" s="28" t="s">
        <v>5138</v>
      </c>
      <c r="D364" s="29" t="s">
        <v>1584</v>
      </c>
      <c r="E364" s="196">
        <f>[2]Summary!E363</f>
        <v>0.35</v>
      </c>
      <c r="F364" s="212">
        <f>[2]Summary!F363</f>
        <v>178</v>
      </c>
      <c r="G364" s="30">
        <f t="shared" si="5"/>
        <v>62.3</v>
      </c>
      <c r="H364" s="28" t="s">
        <v>5903</v>
      </c>
    </row>
    <row r="365" spans="1:8" s="8" customFormat="1">
      <c r="A365" s="191">
        <v>361</v>
      </c>
      <c r="B365" s="192" t="s">
        <v>5139</v>
      </c>
      <c r="C365" s="192" t="s">
        <v>5140</v>
      </c>
      <c r="D365" s="193" t="s">
        <v>1584</v>
      </c>
      <c r="E365" s="194">
        <f>[2]Summary!E364</f>
        <v>1</v>
      </c>
      <c r="F365" s="211">
        <f>[2]Summary!F364</f>
        <v>0</v>
      </c>
      <c r="G365" s="195">
        <f t="shared" si="5"/>
        <v>0</v>
      </c>
      <c r="H365" s="192" t="s">
        <v>5903</v>
      </c>
    </row>
    <row r="366" spans="1:8" s="8" customFormat="1">
      <c r="A366" s="27">
        <v>362</v>
      </c>
      <c r="B366" s="28" t="s">
        <v>5141</v>
      </c>
      <c r="C366" s="28" t="s">
        <v>5142</v>
      </c>
      <c r="D366" s="29" t="s">
        <v>1584</v>
      </c>
      <c r="E366" s="196">
        <f>[2]Summary!E365</f>
        <v>4.75</v>
      </c>
      <c r="F366" s="212">
        <f>[2]Summary!F365</f>
        <v>4</v>
      </c>
      <c r="G366" s="30">
        <f t="shared" si="5"/>
        <v>19</v>
      </c>
      <c r="H366" s="28" t="s">
        <v>5892</v>
      </c>
    </row>
    <row r="367" spans="1:8" s="8" customFormat="1">
      <c r="A367" s="191">
        <v>363</v>
      </c>
      <c r="B367" s="192" t="s">
        <v>5143</v>
      </c>
      <c r="C367" s="192" t="s">
        <v>5144</v>
      </c>
      <c r="D367" s="193" t="s">
        <v>1584</v>
      </c>
      <c r="E367" s="194">
        <f>[2]Summary!E366</f>
        <v>4.75</v>
      </c>
      <c r="F367" s="211">
        <f>[2]Summary!F366</f>
        <v>4</v>
      </c>
      <c r="G367" s="195">
        <f t="shared" si="5"/>
        <v>19</v>
      </c>
      <c r="H367" s="192" t="s">
        <v>5901</v>
      </c>
    </row>
    <row r="368" spans="1:8" s="8" customFormat="1">
      <c r="A368" s="27">
        <v>364</v>
      </c>
      <c r="B368" s="28" t="s">
        <v>5145</v>
      </c>
      <c r="C368" s="28" t="s">
        <v>5146</v>
      </c>
      <c r="D368" s="29" t="s">
        <v>1584</v>
      </c>
      <c r="E368" s="196">
        <f>[2]Summary!E367</f>
        <v>4.75</v>
      </c>
      <c r="F368" s="212">
        <f>[2]Summary!F367</f>
        <v>37</v>
      </c>
      <c r="G368" s="30">
        <f t="shared" si="5"/>
        <v>175.75</v>
      </c>
      <c r="H368" s="28" t="s">
        <v>5892</v>
      </c>
    </row>
    <row r="369" spans="1:8" s="8" customFormat="1">
      <c r="A369" s="191">
        <v>365</v>
      </c>
      <c r="B369" s="192" t="s">
        <v>5147</v>
      </c>
      <c r="C369" s="192" t="s">
        <v>5148</v>
      </c>
      <c r="D369" s="193" t="s">
        <v>1584</v>
      </c>
      <c r="E369" s="194">
        <f>[2]Summary!E368</f>
        <v>0.5</v>
      </c>
      <c r="F369" s="211">
        <f>[2]Summary!F368</f>
        <v>15</v>
      </c>
      <c r="G369" s="195">
        <f t="shared" si="5"/>
        <v>7.5</v>
      </c>
      <c r="H369" s="192" t="s">
        <v>5903</v>
      </c>
    </row>
    <row r="370" spans="1:8" s="8" customFormat="1">
      <c r="A370" s="27">
        <v>366</v>
      </c>
      <c r="B370" s="28" t="s">
        <v>5149</v>
      </c>
      <c r="C370" s="28" t="s">
        <v>5150</v>
      </c>
      <c r="D370" s="29" t="s">
        <v>1584</v>
      </c>
      <c r="E370" s="196">
        <f>[2]Summary!E369</f>
        <v>10</v>
      </c>
      <c r="F370" s="212">
        <f>[2]Summary!F369</f>
        <v>0</v>
      </c>
      <c r="G370" s="30">
        <f t="shared" si="5"/>
        <v>0</v>
      </c>
      <c r="H370" s="28" t="s">
        <v>5903</v>
      </c>
    </row>
    <row r="371" spans="1:8" s="8" customFormat="1">
      <c r="A371" s="191">
        <v>367</v>
      </c>
      <c r="B371" s="192" t="s">
        <v>5151</v>
      </c>
      <c r="C371" s="192" t="s">
        <v>5152</v>
      </c>
      <c r="D371" s="193" t="s">
        <v>1601</v>
      </c>
      <c r="E371" s="194">
        <f>[2]Summary!E370</f>
        <v>1.4</v>
      </c>
      <c r="F371" s="211">
        <f>[2]Summary!F370</f>
        <v>25</v>
      </c>
      <c r="G371" s="195">
        <f t="shared" si="5"/>
        <v>35</v>
      </c>
      <c r="H371" s="192" t="s">
        <v>5891</v>
      </c>
    </row>
    <row r="372" spans="1:8" s="8" customFormat="1">
      <c r="A372" s="27">
        <v>368</v>
      </c>
      <c r="B372" s="28" t="s">
        <v>5153</v>
      </c>
      <c r="C372" s="28" t="s">
        <v>5154</v>
      </c>
      <c r="D372" s="29" t="s">
        <v>1601</v>
      </c>
      <c r="E372" s="196">
        <f>[2]Summary!E371</f>
        <v>2</v>
      </c>
      <c r="F372" s="212">
        <f>[2]Summary!F371</f>
        <v>0</v>
      </c>
      <c r="G372" s="30">
        <f t="shared" si="5"/>
        <v>0</v>
      </c>
      <c r="H372" s="28" t="s">
        <v>5891</v>
      </c>
    </row>
    <row r="373" spans="1:8" s="8" customFormat="1">
      <c r="A373" s="191">
        <v>369</v>
      </c>
      <c r="B373" s="192" t="s">
        <v>5155</v>
      </c>
      <c r="C373" s="192" t="s">
        <v>5156</v>
      </c>
      <c r="D373" s="193" t="s">
        <v>1601</v>
      </c>
      <c r="E373" s="194">
        <f>[2]Summary!E372</f>
        <v>1.5</v>
      </c>
      <c r="F373" s="211">
        <f>[2]Summary!F372</f>
        <v>0</v>
      </c>
      <c r="G373" s="195">
        <f t="shared" si="5"/>
        <v>0</v>
      </c>
      <c r="H373" s="192" t="s">
        <v>5891</v>
      </c>
    </row>
    <row r="374" spans="1:8" s="8" customFormat="1">
      <c r="A374" s="27">
        <v>370</v>
      </c>
      <c r="B374" s="28" t="s">
        <v>5157</v>
      </c>
      <c r="C374" s="28" t="s">
        <v>5158</v>
      </c>
      <c r="D374" s="29" t="s">
        <v>1601</v>
      </c>
      <c r="E374" s="196">
        <f>[2]Summary!E373</f>
        <v>2</v>
      </c>
      <c r="F374" s="212">
        <f>[2]Summary!F373</f>
        <v>0</v>
      </c>
      <c r="G374" s="30">
        <f t="shared" si="5"/>
        <v>0</v>
      </c>
      <c r="H374" s="28" t="s">
        <v>5891</v>
      </c>
    </row>
    <row r="375" spans="1:8" s="8" customFormat="1">
      <c r="A375" s="191">
        <v>371</v>
      </c>
      <c r="B375" s="192" t="s">
        <v>5159</v>
      </c>
      <c r="C375" s="192" t="s">
        <v>5160</v>
      </c>
      <c r="D375" s="193" t="s">
        <v>1601</v>
      </c>
      <c r="E375" s="194">
        <f>[2]Summary!E374</f>
        <v>1.5</v>
      </c>
      <c r="F375" s="211">
        <f>[2]Summary!F374</f>
        <v>0</v>
      </c>
      <c r="G375" s="195">
        <f t="shared" si="5"/>
        <v>0</v>
      </c>
      <c r="H375" s="192" t="s">
        <v>5891</v>
      </c>
    </row>
    <row r="376" spans="1:8" s="8" customFormat="1">
      <c r="A376" s="27">
        <v>372</v>
      </c>
      <c r="B376" s="28" t="s">
        <v>5161</v>
      </c>
      <c r="C376" s="28" t="s">
        <v>5162</v>
      </c>
      <c r="D376" s="29" t="s">
        <v>1601</v>
      </c>
      <c r="E376" s="196">
        <f>[2]Summary!E375</f>
        <v>1.5</v>
      </c>
      <c r="F376" s="212">
        <f>[2]Summary!F375</f>
        <v>0</v>
      </c>
      <c r="G376" s="30">
        <f t="shared" si="5"/>
        <v>0</v>
      </c>
      <c r="H376" s="28" t="s">
        <v>5891</v>
      </c>
    </row>
    <row r="377" spans="1:8" s="8" customFormat="1">
      <c r="A377" s="191">
        <v>373</v>
      </c>
      <c r="B377" s="192" t="s">
        <v>5163</v>
      </c>
      <c r="C377" s="192" t="s">
        <v>5164</v>
      </c>
      <c r="D377" s="193" t="s">
        <v>1601</v>
      </c>
      <c r="E377" s="194">
        <f>[2]Summary!E376</f>
        <v>1.63</v>
      </c>
      <c r="F377" s="211">
        <f>[2]Summary!F376</f>
        <v>0</v>
      </c>
      <c r="G377" s="195">
        <f t="shared" si="5"/>
        <v>0</v>
      </c>
      <c r="H377" s="192" t="s">
        <v>5891</v>
      </c>
    </row>
    <row r="378" spans="1:8" s="8" customFormat="1">
      <c r="A378" s="27">
        <v>374</v>
      </c>
      <c r="B378" s="28" t="s">
        <v>5165</v>
      </c>
      <c r="C378" s="28" t="s">
        <v>5166</v>
      </c>
      <c r="D378" s="29" t="s">
        <v>1601</v>
      </c>
      <c r="E378" s="196">
        <f>[2]Summary!E377</f>
        <v>1.7</v>
      </c>
      <c r="F378" s="212">
        <f>[2]Summary!F377</f>
        <v>0</v>
      </c>
      <c r="G378" s="30">
        <f t="shared" si="5"/>
        <v>0</v>
      </c>
      <c r="H378" s="28" t="s">
        <v>5891</v>
      </c>
    </row>
    <row r="379" spans="1:8" s="8" customFormat="1">
      <c r="A379" s="191">
        <v>375</v>
      </c>
      <c r="B379" s="192" t="s">
        <v>5167</v>
      </c>
      <c r="C379" s="192" t="s">
        <v>5168</v>
      </c>
      <c r="D379" s="193" t="s">
        <v>1601</v>
      </c>
      <c r="E379" s="194">
        <f>[2]Summary!E378</f>
        <v>1.4</v>
      </c>
      <c r="F379" s="211">
        <f>[2]Summary!F378</f>
        <v>25</v>
      </c>
      <c r="G379" s="195">
        <f t="shared" si="5"/>
        <v>35</v>
      </c>
      <c r="H379" s="192" t="s">
        <v>5891</v>
      </c>
    </row>
    <row r="380" spans="1:8" s="8" customFormat="1">
      <c r="A380" s="27">
        <v>376</v>
      </c>
      <c r="B380" s="28" t="s">
        <v>5169</v>
      </c>
      <c r="C380" s="28" t="s">
        <v>5170</v>
      </c>
      <c r="D380" s="29" t="s">
        <v>1584</v>
      </c>
      <c r="E380" s="196">
        <f>[2]Summary!E379</f>
        <v>5</v>
      </c>
      <c r="F380" s="212">
        <f>[2]Summary!F379</f>
        <v>1</v>
      </c>
      <c r="G380" s="30">
        <f t="shared" si="5"/>
        <v>5</v>
      </c>
      <c r="H380" s="28" t="s">
        <v>5901</v>
      </c>
    </row>
    <row r="381" spans="1:8" s="8" customFormat="1">
      <c r="A381" s="191">
        <v>377</v>
      </c>
      <c r="B381" s="192" t="s">
        <v>5171</v>
      </c>
      <c r="C381" s="192" t="s">
        <v>5172</v>
      </c>
      <c r="D381" s="193" t="s">
        <v>4479</v>
      </c>
      <c r="E381" s="194">
        <f>[2]Summary!E380</f>
        <v>24</v>
      </c>
      <c r="F381" s="211">
        <f>[2]Summary!F380</f>
        <v>1</v>
      </c>
      <c r="G381" s="195">
        <f t="shared" si="5"/>
        <v>24</v>
      </c>
      <c r="H381" s="192" t="s">
        <v>5901</v>
      </c>
    </row>
    <row r="382" spans="1:8" s="8" customFormat="1">
      <c r="A382" s="27">
        <v>378</v>
      </c>
      <c r="B382" s="28" t="s">
        <v>5173</v>
      </c>
      <c r="C382" s="28" t="s">
        <v>5174</v>
      </c>
      <c r="D382" s="29" t="s">
        <v>4479</v>
      </c>
      <c r="E382" s="196">
        <f>[2]Summary!E381</f>
        <v>26</v>
      </c>
      <c r="F382" s="212">
        <f>[2]Summary!F381</f>
        <v>10</v>
      </c>
      <c r="G382" s="30">
        <f t="shared" si="5"/>
        <v>260</v>
      </c>
      <c r="H382" s="28" t="s">
        <v>5901</v>
      </c>
    </row>
    <row r="383" spans="1:8" s="8" customFormat="1">
      <c r="A383" s="191">
        <v>379</v>
      </c>
      <c r="B383" s="192" t="s">
        <v>5175</v>
      </c>
      <c r="C383" s="192" t="s">
        <v>5176</v>
      </c>
      <c r="D383" s="193" t="s">
        <v>4479</v>
      </c>
      <c r="E383" s="194">
        <f>[2]Summary!E382</f>
        <v>2.37</v>
      </c>
      <c r="F383" s="211">
        <f>[2]Summary!F382</f>
        <v>39</v>
      </c>
      <c r="G383" s="195">
        <f t="shared" si="5"/>
        <v>92.43</v>
      </c>
      <c r="H383" s="192" t="s">
        <v>5901</v>
      </c>
    </row>
    <row r="384" spans="1:8" s="8" customFormat="1">
      <c r="A384" s="27">
        <v>380</v>
      </c>
      <c r="B384" s="28" t="s">
        <v>5177</v>
      </c>
      <c r="C384" s="28" t="s">
        <v>5178</v>
      </c>
      <c r="D384" s="29" t="s">
        <v>4479</v>
      </c>
      <c r="E384" s="196">
        <f>[2]Summary!E383</f>
        <v>4.625</v>
      </c>
      <c r="F384" s="212">
        <f>[2]Summary!F383</f>
        <v>49</v>
      </c>
      <c r="G384" s="30">
        <f t="shared" si="5"/>
        <v>226.625</v>
      </c>
      <c r="H384" s="28" t="s">
        <v>5901</v>
      </c>
    </row>
    <row r="385" spans="1:8" s="8" customFormat="1">
      <c r="A385" s="191">
        <v>381</v>
      </c>
      <c r="B385" s="192" t="s">
        <v>5179</v>
      </c>
      <c r="C385" s="192" t="s">
        <v>5180</v>
      </c>
      <c r="D385" s="193" t="s">
        <v>4479</v>
      </c>
      <c r="E385" s="194">
        <f>[2]Summary!E384</f>
        <v>5</v>
      </c>
      <c r="F385" s="211">
        <f>[2]Summary!F384</f>
        <v>10</v>
      </c>
      <c r="G385" s="195">
        <f t="shared" si="5"/>
        <v>50</v>
      </c>
      <c r="H385" s="192" t="s">
        <v>5901</v>
      </c>
    </row>
    <row r="386" spans="1:8" s="8" customFormat="1">
      <c r="A386" s="27">
        <v>382</v>
      </c>
      <c r="B386" s="28" t="s">
        <v>5181</v>
      </c>
      <c r="C386" s="28" t="s">
        <v>5182</v>
      </c>
      <c r="D386" s="29" t="s">
        <v>1584</v>
      </c>
      <c r="E386" s="196">
        <f>[2]Summary!E385</f>
        <v>30</v>
      </c>
      <c r="F386" s="212">
        <f>[2]Summary!F385</f>
        <v>0</v>
      </c>
      <c r="G386" s="30">
        <f t="shared" si="5"/>
        <v>0</v>
      </c>
      <c r="H386" s="28" t="s">
        <v>5889</v>
      </c>
    </row>
    <row r="387" spans="1:8" s="8" customFormat="1">
      <c r="A387" s="191">
        <v>383</v>
      </c>
      <c r="B387" s="192" t="s">
        <v>5183</v>
      </c>
      <c r="C387" s="192" t="s">
        <v>5184</v>
      </c>
      <c r="D387" s="193" t="s">
        <v>4479</v>
      </c>
      <c r="E387" s="194">
        <f>[2]Summary!E386</f>
        <v>4.5</v>
      </c>
      <c r="F387" s="211">
        <f>[2]Summary!F386</f>
        <v>17.5</v>
      </c>
      <c r="G387" s="195">
        <f t="shared" si="5"/>
        <v>78.75</v>
      </c>
      <c r="H387" s="192" t="s">
        <v>5891</v>
      </c>
    </row>
    <row r="388" spans="1:8" s="8" customFormat="1">
      <c r="A388" s="27">
        <v>384</v>
      </c>
      <c r="B388" s="28" t="s">
        <v>5185</v>
      </c>
      <c r="C388" s="28" t="s">
        <v>5186</v>
      </c>
      <c r="D388" s="29" t="s">
        <v>131</v>
      </c>
      <c r="E388" s="196">
        <f>[2]Summary!E387</f>
        <v>1.75</v>
      </c>
      <c r="F388" s="212">
        <f>[2]Summary!F387</f>
        <v>0</v>
      </c>
      <c r="G388" s="30">
        <f t="shared" si="5"/>
        <v>0</v>
      </c>
      <c r="H388" s="28" t="s">
        <v>5897</v>
      </c>
    </row>
    <row r="389" spans="1:8" s="8" customFormat="1">
      <c r="A389" s="191">
        <v>385</v>
      </c>
      <c r="B389" s="192" t="s">
        <v>5187</v>
      </c>
      <c r="C389" s="192" t="s">
        <v>5188</v>
      </c>
      <c r="D389" s="193" t="s">
        <v>1584</v>
      </c>
      <c r="E389" s="194">
        <f>[2]Summary!E388</f>
        <v>2.5</v>
      </c>
      <c r="F389" s="211">
        <f>[2]Summary!F388</f>
        <v>0</v>
      </c>
      <c r="G389" s="195">
        <f t="shared" ref="G389:G405" si="6">F389*E389</f>
        <v>0</v>
      </c>
      <c r="H389" s="192" t="s">
        <v>5889</v>
      </c>
    </row>
    <row r="390" spans="1:8" s="8" customFormat="1">
      <c r="A390" s="27">
        <v>386</v>
      </c>
      <c r="B390" s="28" t="s">
        <v>5189</v>
      </c>
      <c r="C390" s="28" t="s">
        <v>5190</v>
      </c>
      <c r="D390" s="29" t="s">
        <v>1584</v>
      </c>
      <c r="E390" s="196">
        <f>[2]Summary!E389</f>
        <v>20</v>
      </c>
      <c r="F390" s="212">
        <f>[2]Summary!F389</f>
        <v>18</v>
      </c>
      <c r="G390" s="30">
        <f t="shared" si="6"/>
        <v>360</v>
      </c>
      <c r="H390" s="28" t="s">
        <v>5891</v>
      </c>
    </row>
    <row r="391" spans="1:8" s="8" customFormat="1">
      <c r="A391" s="191">
        <v>387</v>
      </c>
      <c r="B391" s="192" t="s">
        <v>5191</v>
      </c>
      <c r="C391" s="192" t="s">
        <v>5192</v>
      </c>
      <c r="D391" s="193" t="s">
        <v>1584</v>
      </c>
      <c r="E391" s="194">
        <f>[2]Summary!E390</f>
        <v>7</v>
      </c>
      <c r="F391" s="211">
        <f>[2]Summary!F390</f>
        <v>7</v>
      </c>
      <c r="G391" s="195">
        <f t="shared" si="6"/>
        <v>49</v>
      </c>
      <c r="H391" s="192" t="s">
        <v>5891</v>
      </c>
    </row>
    <row r="392" spans="1:8" s="8" customFormat="1">
      <c r="A392" s="27">
        <v>388</v>
      </c>
      <c r="B392" s="28" t="s">
        <v>5193</v>
      </c>
      <c r="C392" s="28" t="s">
        <v>5192</v>
      </c>
      <c r="D392" s="29" t="s">
        <v>1584</v>
      </c>
      <c r="E392" s="196">
        <f>[2]Summary!E391</f>
        <v>7</v>
      </c>
      <c r="F392" s="212">
        <f>[2]Summary!F391</f>
        <v>0</v>
      </c>
      <c r="G392" s="30">
        <f t="shared" si="6"/>
        <v>0</v>
      </c>
      <c r="H392" s="28" t="s">
        <v>5891</v>
      </c>
    </row>
    <row r="393" spans="1:8" s="8" customFormat="1">
      <c r="A393" s="191">
        <v>389</v>
      </c>
      <c r="B393" s="192" t="s">
        <v>5194</v>
      </c>
      <c r="C393" s="192" t="s">
        <v>5195</v>
      </c>
      <c r="D393" s="193" t="s">
        <v>1584</v>
      </c>
      <c r="E393" s="194">
        <f>[2]Summary!E392</f>
        <v>2</v>
      </c>
      <c r="F393" s="211">
        <f>[2]Summary!F392</f>
        <v>0</v>
      </c>
      <c r="G393" s="195">
        <f t="shared" si="6"/>
        <v>0</v>
      </c>
      <c r="H393" s="192" t="s">
        <v>5891</v>
      </c>
    </row>
    <row r="394" spans="1:8" s="8" customFormat="1">
      <c r="A394" s="27">
        <v>390</v>
      </c>
      <c r="B394" s="28" t="s">
        <v>5196</v>
      </c>
      <c r="C394" s="28" t="s">
        <v>5197</v>
      </c>
      <c r="D394" s="29" t="s">
        <v>1584</v>
      </c>
      <c r="E394" s="196">
        <f>[2]Summary!E393</f>
        <v>5</v>
      </c>
      <c r="F394" s="212">
        <f>[2]Summary!F393</f>
        <v>0</v>
      </c>
      <c r="G394" s="30">
        <f t="shared" si="6"/>
        <v>0</v>
      </c>
      <c r="H394" s="28" t="s">
        <v>5891</v>
      </c>
    </row>
    <row r="395" spans="1:8" s="8" customFormat="1">
      <c r="A395" s="191">
        <v>391</v>
      </c>
      <c r="B395" s="192" t="s">
        <v>5198</v>
      </c>
      <c r="C395" s="192" t="s">
        <v>5199</v>
      </c>
      <c r="D395" s="193" t="s">
        <v>1584</v>
      </c>
      <c r="E395" s="194">
        <f>[2]Summary!E394</f>
        <v>6</v>
      </c>
      <c r="F395" s="211">
        <f>[2]Summary!F394</f>
        <v>0</v>
      </c>
      <c r="G395" s="195">
        <f t="shared" si="6"/>
        <v>0</v>
      </c>
      <c r="H395" s="192" t="s">
        <v>5891</v>
      </c>
    </row>
    <row r="396" spans="1:8" s="8" customFormat="1">
      <c r="A396" s="27">
        <v>392</v>
      </c>
      <c r="B396" s="28" t="s">
        <v>5200</v>
      </c>
      <c r="C396" s="28" t="s">
        <v>5201</v>
      </c>
      <c r="D396" s="29" t="s">
        <v>1584</v>
      </c>
      <c r="E396" s="196">
        <f>[2]Summary!E395</f>
        <v>1</v>
      </c>
      <c r="F396" s="212">
        <f>[2]Summary!F395</f>
        <v>0</v>
      </c>
      <c r="G396" s="30">
        <f t="shared" si="6"/>
        <v>0</v>
      </c>
      <c r="H396" s="28" t="s">
        <v>5891</v>
      </c>
    </row>
    <row r="397" spans="1:8" s="8" customFormat="1">
      <c r="A397" s="191">
        <v>393</v>
      </c>
      <c r="B397" s="192" t="s">
        <v>5202</v>
      </c>
      <c r="C397" s="192" t="s">
        <v>5203</v>
      </c>
      <c r="D397" s="193" t="s">
        <v>1584</v>
      </c>
      <c r="E397" s="194">
        <f>[2]Summary!E396</f>
        <v>2</v>
      </c>
      <c r="F397" s="211">
        <f>[2]Summary!F396</f>
        <v>2</v>
      </c>
      <c r="G397" s="195">
        <f t="shared" si="6"/>
        <v>4</v>
      </c>
      <c r="H397" s="192" t="s">
        <v>5891</v>
      </c>
    </row>
    <row r="398" spans="1:8" s="8" customFormat="1">
      <c r="A398" s="27">
        <v>394</v>
      </c>
      <c r="B398" s="28" t="s">
        <v>5204</v>
      </c>
      <c r="C398" s="28" t="s">
        <v>5205</v>
      </c>
      <c r="D398" s="29" t="s">
        <v>1584</v>
      </c>
      <c r="E398" s="196">
        <f>[2]Summary!E397</f>
        <v>1</v>
      </c>
      <c r="F398" s="212">
        <f>[2]Summary!F397</f>
        <v>2</v>
      </c>
      <c r="G398" s="30">
        <f t="shared" si="6"/>
        <v>2</v>
      </c>
      <c r="H398" s="28" t="s">
        <v>5891</v>
      </c>
    </row>
    <row r="399" spans="1:8" s="8" customFormat="1">
      <c r="A399" s="191">
        <v>395</v>
      </c>
      <c r="B399" s="192" t="s">
        <v>5206</v>
      </c>
      <c r="C399" s="192" t="s">
        <v>5207</v>
      </c>
      <c r="D399" s="193" t="s">
        <v>1584</v>
      </c>
      <c r="E399" s="194">
        <f>[2]Summary!E398</f>
        <v>2</v>
      </c>
      <c r="F399" s="211">
        <f>[2]Summary!F398</f>
        <v>52</v>
      </c>
      <c r="G399" s="195">
        <f t="shared" si="6"/>
        <v>104</v>
      </c>
      <c r="H399" s="192" t="s">
        <v>5891</v>
      </c>
    </row>
    <row r="400" spans="1:8" s="8" customFormat="1">
      <c r="A400" s="27">
        <v>396</v>
      </c>
      <c r="B400" s="28" t="s">
        <v>5705</v>
      </c>
      <c r="C400" s="28" t="s">
        <v>5706</v>
      </c>
      <c r="D400" s="29" t="s">
        <v>4479</v>
      </c>
      <c r="E400" s="196">
        <f>[2]Summary!E399</f>
        <v>5.2</v>
      </c>
      <c r="F400" s="212">
        <f>[2]Summary!F399</f>
        <v>335</v>
      </c>
      <c r="G400" s="30">
        <f t="shared" si="6"/>
        <v>1742</v>
      </c>
      <c r="H400" s="28" t="s">
        <v>5898</v>
      </c>
    </row>
    <row r="401" spans="1:8" s="8" customFormat="1">
      <c r="A401" s="191">
        <v>397</v>
      </c>
      <c r="B401" s="192" t="s">
        <v>5707</v>
      </c>
      <c r="C401" s="192" t="s">
        <v>5708</v>
      </c>
      <c r="D401" s="193" t="s">
        <v>4479</v>
      </c>
      <c r="E401" s="194">
        <f>[2]Summary!E400</f>
        <v>5.2</v>
      </c>
      <c r="F401" s="211">
        <f>[2]Summary!F400</f>
        <v>19</v>
      </c>
      <c r="G401" s="195">
        <f t="shared" si="6"/>
        <v>98.8</v>
      </c>
      <c r="H401" s="192" t="s">
        <v>5891</v>
      </c>
    </row>
    <row r="402" spans="1:8" s="8" customFormat="1">
      <c r="A402" s="27">
        <v>398</v>
      </c>
      <c r="B402" s="28" t="s">
        <v>5709</v>
      </c>
      <c r="C402" s="28" t="s">
        <v>5710</v>
      </c>
      <c r="D402" s="29" t="s">
        <v>4479</v>
      </c>
      <c r="E402" s="196">
        <f>[2]Summary!E401</f>
        <v>5.2</v>
      </c>
      <c r="F402" s="212">
        <f>[2]Summary!F401</f>
        <v>68</v>
      </c>
      <c r="G402" s="30">
        <f t="shared" si="6"/>
        <v>353.6</v>
      </c>
      <c r="H402" s="28" t="s">
        <v>5891</v>
      </c>
    </row>
    <row r="403" spans="1:8" s="8" customFormat="1">
      <c r="A403" s="191">
        <v>399</v>
      </c>
      <c r="B403" s="192" t="s">
        <v>5711</v>
      </c>
      <c r="C403" s="192" t="s">
        <v>5712</v>
      </c>
      <c r="D403" s="193" t="s">
        <v>4479</v>
      </c>
      <c r="E403" s="194">
        <f>[2]Summary!E402</f>
        <v>5.2</v>
      </c>
      <c r="F403" s="211">
        <f>[2]Summary!F402</f>
        <v>41</v>
      </c>
      <c r="G403" s="195">
        <f t="shared" si="6"/>
        <v>213.20000000000002</v>
      </c>
      <c r="H403" s="192" t="s">
        <v>5898</v>
      </c>
    </row>
    <row r="404" spans="1:8" s="8" customFormat="1">
      <c r="A404" s="27">
        <v>400</v>
      </c>
      <c r="B404" s="28" t="s">
        <v>5713</v>
      </c>
      <c r="C404" s="28" t="s">
        <v>5714</v>
      </c>
      <c r="D404" s="29" t="s">
        <v>4479</v>
      </c>
      <c r="E404" s="196">
        <f>[2]Summary!E403</f>
        <v>5.2</v>
      </c>
      <c r="F404" s="212">
        <f>[2]Summary!F403</f>
        <v>39</v>
      </c>
      <c r="G404" s="30">
        <f t="shared" si="6"/>
        <v>202.8</v>
      </c>
      <c r="H404" s="28" t="s">
        <v>5898</v>
      </c>
    </row>
    <row r="405" spans="1:8" s="8" customFormat="1">
      <c r="A405" s="191">
        <v>401</v>
      </c>
      <c r="B405" s="192" t="s">
        <v>5715</v>
      </c>
      <c r="C405" s="192" t="s">
        <v>5716</v>
      </c>
      <c r="D405" s="193" t="s">
        <v>4479</v>
      </c>
      <c r="E405" s="194">
        <f>[2]Summary!E404</f>
        <v>5.2</v>
      </c>
      <c r="F405" s="211">
        <f>[2]Summary!F404</f>
        <v>3</v>
      </c>
      <c r="G405" s="195">
        <f t="shared" si="6"/>
        <v>15.600000000000001</v>
      </c>
      <c r="H405" s="192" t="s">
        <v>5898</v>
      </c>
    </row>
    <row r="407" spans="1:8" ht="32.25" customHeight="1">
      <c r="A407" s="272" t="s">
        <v>7</v>
      </c>
      <c r="B407" s="273"/>
      <c r="C407" s="273"/>
      <c r="D407" s="273"/>
      <c r="E407" s="274"/>
      <c r="F407" s="227">
        <f>SUM(F5:F405)</f>
        <v>19671.689999999999</v>
      </c>
      <c r="G407" s="197">
        <f>SUM(G5:G405)</f>
        <v>42574.228499999997</v>
      </c>
    </row>
    <row r="409" spans="1:8">
      <c r="G409" s="35" t="s">
        <v>1604</v>
      </c>
    </row>
    <row r="417" spans="3:3">
      <c r="C417" s="32" t="s">
        <v>1604</v>
      </c>
    </row>
  </sheetData>
  <autoFilter ref="A4:H405" xr:uid="{00000000-0001-0000-0000-000000000000}"/>
  <mergeCells count="3">
    <mergeCell ref="A407:E407"/>
    <mergeCell ref="A3:H3"/>
    <mergeCell ref="A2:H2"/>
  </mergeCells>
  <conditionalFormatting sqref="A5:H405">
    <cfRule type="expression" dxfId="14" priority="1">
      <formula>AND(#REF!&lt;&gt;"",OR(ISNUMBER(SEARCH(#REF!,$A5:$F5,1))))</formula>
    </cfRule>
  </conditionalFormatting>
  <conditionalFormatting sqref="G407">
    <cfRule type="expression" dxfId="13" priority="41">
      <formula>AND(#REF!&lt;&gt;"",OR(ISNUMBER(SEARCH(#REF!,$A407:$F407,1))))</formula>
    </cfRule>
  </conditionalFormatting>
  <pageMargins left="0.21" right="0.19" top="0.16" bottom="0.16" header="0.17" footer="0.3"/>
  <pageSetup paperSize="9" scale="44"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B2D5-FE97-4B98-BAF2-2FD2479707F7}">
  <sheetPr codeName="Sheet3">
    <pageSetUpPr fitToPage="1"/>
  </sheetPr>
  <dimension ref="A1:I801"/>
  <sheetViews>
    <sheetView zoomScale="85" zoomScaleNormal="85" workbookViewId="0">
      <selection activeCell="A2" sqref="A2:I2"/>
    </sheetView>
  </sheetViews>
  <sheetFormatPr defaultColWidth="9.140625" defaultRowHeight="39.75" customHeight="1"/>
  <cols>
    <col min="1" max="1" width="7.85546875" style="49" customWidth="1"/>
    <col min="2" max="2" width="36.28515625" style="49" customWidth="1"/>
    <col min="3" max="3" width="48.42578125" style="49" customWidth="1"/>
    <col min="4" max="4" width="13.5703125" style="49" customWidth="1"/>
    <col min="5" max="5" width="18" style="49" customWidth="1"/>
    <col min="6" max="6" width="19.140625" style="49" customWidth="1"/>
    <col min="7" max="7" width="20.42578125" style="49" customWidth="1"/>
    <col min="8" max="8" width="25.42578125" style="49" customWidth="1"/>
    <col min="9" max="9" width="18.85546875" style="49" customWidth="1"/>
    <col min="10" max="16384" width="9.140625" style="49"/>
  </cols>
  <sheetData>
    <row r="1" spans="1:9" ht="136.5" customHeight="1"/>
    <row r="2" spans="1:9" s="36" customFormat="1" ht="39.75" customHeight="1">
      <c r="A2" s="269">
        <f ca="1">TODAY()</f>
        <v>46123</v>
      </c>
      <c r="B2" s="269"/>
      <c r="C2" s="269"/>
      <c r="D2" s="269"/>
      <c r="E2" s="269"/>
      <c r="F2" s="269"/>
      <c r="G2" s="269"/>
      <c r="H2" s="269"/>
      <c r="I2" s="269"/>
    </row>
    <row r="3" spans="1:9" s="36" customFormat="1" ht="53.25" customHeight="1">
      <c r="A3" s="277" t="s">
        <v>132</v>
      </c>
      <c r="B3" s="278"/>
      <c r="C3" s="278"/>
      <c r="D3" s="278"/>
      <c r="E3" s="278"/>
      <c r="F3" s="278"/>
      <c r="G3" s="278"/>
      <c r="H3" s="278"/>
      <c r="I3" s="278"/>
    </row>
    <row r="4" spans="1:9" s="36" customFormat="1" ht="51">
      <c r="A4" s="199" t="s">
        <v>0</v>
      </c>
      <c r="B4" s="37" t="s">
        <v>9</v>
      </c>
      <c r="C4" s="38" t="s">
        <v>10</v>
      </c>
      <c r="D4" s="200" t="s">
        <v>11</v>
      </c>
      <c r="E4" s="39" t="s">
        <v>12</v>
      </c>
      <c r="F4" s="40" t="s">
        <v>13</v>
      </c>
      <c r="G4" s="40" t="s">
        <v>14</v>
      </c>
      <c r="H4" s="40" t="s">
        <v>1605</v>
      </c>
      <c r="I4" s="40" t="s">
        <v>1551</v>
      </c>
    </row>
    <row r="5" spans="1:9" s="36" customFormat="1" ht="46.5">
      <c r="A5" s="177">
        <v>1</v>
      </c>
      <c r="B5" s="41" t="s">
        <v>5773</v>
      </c>
      <c r="C5" s="42" t="s">
        <v>5725</v>
      </c>
      <c r="D5" s="178" t="s">
        <v>135</v>
      </c>
      <c r="E5" s="43">
        <f>[3]Summary!E4</f>
        <v>0</v>
      </c>
      <c r="F5" s="179">
        <f>[3]Summary!F4</f>
        <v>19</v>
      </c>
      <c r="G5" s="44">
        <f t="shared" ref="G5:G68" si="0">F5*E5</f>
        <v>0</v>
      </c>
      <c r="H5" s="44" t="s">
        <v>5387</v>
      </c>
      <c r="I5" s="41"/>
    </row>
    <row r="6" spans="1:9" ht="23.25">
      <c r="A6" s="201">
        <v>2</v>
      </c>
      <c r="B6" s="45" t="s">
        <v>133</v>
      </c>
      <c r="C6" s="1" t="s">
        <v>134</v>
      </c>
      <c r="D6" s="46" t="s">
        <v>135</v>
      </c>
      <c r="E6" s="47">
        <f>[3]Summary!E5</f>
        <v>325</v>
      </c>
      <c r="F6" s="46">
        <f>[3]Summary!F5</f>
        <v>0</v>
      </c>
      <c r="G6" s="48">
        <f t="shared" si="0"/>
        <v>0</v>
      </c>
      <c r="H6" s="48" t="s">
        <v>5388</v>
      </c>
      <c r="I6" s="45"/>
    </row>
    <row r="7" spans="1:9" ht="46.5">
      <c r="A7" s="177">
        <v>3</v>
      </c>
      <c r="B7" s="41" t="s">
        <v>136</v>
      </c>
      <c r="C7" s="42" t="s">
        <v>137</v>
      </c>
      <c r="D7" s="178" t="s">
        <v>135</v>
      </c>
      <c r="E7" s="43">
        <f>[3]Summary!E6</f>
        <v>0</v>
      </c>
      <c r="F7" s="179">
        <f>[3]Summary!F6</f>
        <v>2</v>
      </c>
      <c r="G7" s="44">
        <f t="shared" si="0"/>
        <v>0</v>
      </c>
      <c r="H7" s="44" t="s">
        <v>1606</v>
      </c>
      <c r="I7" s="41"/>
    </row>
    <row r="8" spans="1:9" ht="46.5">
      <c r="A8" s="201">
        <v>4</v>
      </c>
      <c r="B8" s="45" t="s">
        <v>138</v>
      </c>
      <c r="C8" s="1" t="s">
        <v>139</v>
      </c>
      <c r="D8" s="46" t="s">
        <v>135</v>
      </c>
      <c r="E8" s="47">
        <f>[3]Summary!E7</f>
        <v>7.25</v>
      </c>
      <c r="F8" s="46">
        <f>[3]Summary!F7</f>
        <v>0</v>
      </c>
      <c r="G8" s="48">
        <f t="shared" si="0"/>
        <v>0</v>
      </c>
      <c r="H8" s="48" t="s">
        <v>5389</v>
      </c>
      <c r="I8" s="45"/>
    </row>
    <row r="9" spans="1:9" ht="23.25">
      <c r="A9" s="177">
        <v>5</v>
      </c>
      <c r="B9" s="41" t="s">
        <v>140</v>
      </c>
      <c r="C9" s="42" t="s">
        <v>141</v>
      </c>
      <c r="D9" s="178" t="s">
        <v>135</v>
      </c>
      <c r="E9" s="43">
        <f>[3]Summary!E8</f>
        <v>12.5</v>
      </c>
      <c r="F9" s="179">
        <f>[3]Summary!F8</f>
        <v>0</v>
      </c>
      <c r="G9" s="44">
        <f t="shared" si="0"/>
        <v>0</v>
      </c>
      <c r="H9" s="44" t="s">
        <v>5390</v>
      </c>
      <c r="I9" s="41"/>
    </row>
    <row r="10" spans="1:9" ht="46.5">
      <c r="A10" s="201">
        <v>6</v>
      </c>
      <c r="B10" s="45" t="s">
        <v>142</v>
      </c>
      <c r="C10" s="1" t="s">
        <v>143</v>
      </c>
      <c r="D10" s="46" t="s">
        <v>135</v>
      </c>
      <c r="E10" s="47">
        <f>[3]Summary!E9</f>
        <v>30</v>
      </c>
      <c r="F10" s="46">
        <f>[3]Summary!F9</f>
        <v>0</v>
      </c>
      <c r="G10" s="48">
        <f t="shared" si="0"/>
        <v>0</v>
      </c>
      <c r="H10" s="48" t="s">
        <v>5390</v>
      </c>
      <c r="I10" s="45"/>
    </row>
    <row r="11" spans="1:9" ht="23.25">
      <c r="A11" s="177">
        <v>7</v>
      </c>
      <c r="B11" s="41" t="s">
        <v>144</v>
      </c>
      <c r="C11" s="42" t="s">
        <v>145</v>
      </c>
      <c r="D11" s="178" t="s">
        <v>135</v>
      </c>
      <c r="E11" s="43">
        <f>[3]Summary!E10</f>
        <v>42</v>
      </c>
      <c r="F11" s="179">
        <f>[3]Summary!F10</f>
        <v>0</v>
      </c>
      <c r="G11" s="44">
        <f t="shared" si="0"/>
        <v>0</v>
      </c>
      <c r="H11" s="44" t="s">
        <v>5390</v>
      </c>
      <c r="I11" s="41"/>
    </row>
    <row r="12" spans="1:9" ht="23.25">
      <c r="A12" s="201">
        <v>8</v>
      </c>
      <c r="B12" s="45" t="s">
        <v>146</v>
      </c>
      <c r="C12" s="1" t="s">
        <v>147</v>
      </c>
      <c r="D12" s="46" t="s">
        <v>135</v>
      </c>
      <c r="E12" s="47">
        <f>[3]Summary!E11</f>
        <v>40</v>
      </c>
      <c r="F12" s="46">
        <f>[3]Summary!F11</f>
        <v>0</v>
      </c>
      <c r="G12" s="48">
        <f t="shared" si="0"/>
        <v>0</v>
      </c>
      <c r="H12" s="48" t="s">
        <v>5391</v>
      </c>
      <c r="I12" s="45"/>
    </row>
    <row r="13" spans="1:9" ht="46.5">
      <c r="A13" s="177">
        <v>9</v>
      </c>
      <c r="B13" s="41" t="s">
        <v>148</v>
      </c>
      <c r="C13" s="42" t="s">
        <v>149</v>
      </c>
      <c r="D13" s="178" t="s">
        <v>135</v>
      </c>
      <c r="E13" s="43">
        <f>[3]Summary!E12</f>
        <v>1.375</v>
      </c>
      <c r="F13" s="179">
        <f>[3]Summary!F12</f>
        <v>0</v>
      </c>
      <c r="G13" s="44">
        <f t="shared" si="0"/>
        <v>0</v>
      </c>
      <c r="H13" s="44" t="s">
        <v>5392</v>
      </c>
      <c r="I13" s="41"/>
    </row>
    <row r="14" spans="1:9" ht="46.5">
      <c r="A14" s="201">
        <v>10</v>
      </c>
      <c r="B14" s="45" t="s">
        <v>150</v>
      </c>
      <c r="C14" s="1" t="s">
        <v>151</v>
      </c>
      <c r="D14" s="46" t="s">
        <v>135</v>
      </c>
      <c r="E14" s="47">
        <f>[3]Summary!E13</f>
        <v>1.5</v>
      </c>
      <c r="F14" s="46">
        <f>[3]Summary!F13</f>
        <v>0</v>
      </c>
      <c r="G14" s="48">
        <f t="shared" si="0"/>
        <v>0</v>
      </c>
      <c r="H14" s="48" t="s">
        <v>1606</v>
      </c>
      <c r="I14" s="45"/>
    </row>
    <row r="15" spans="1:9" ht="46.5">
      <c r="A15" s="177">
        <v>11</v>
      </c>
      <c r="B15" s="41" t="s">
        <v>152</v>
      </c>
      <c r="C15" s="42" t="s">
        <v>153</v>
      </c>
      <c r="D15" s="178" t="s">
        <v>135</v>
      </c>
      <c r="E15" s="43">
        <f>[3]Summary!E14</f>
        <v>1</v>
      </c>
      <c r="F15" s="179">
        <f>[3]Summary!F14</f>
        <v>6</v>
      </c>
      <c r="G15" s="44">
        <f t="shared" si="0"/>
        <v>6</v>
      </c>
      <c r="H15" s="44" t="s">
        <v>1606</v>
      </c>
      <c r="I15" s="41"/>
    </row>
    <row r="16" spans="1:9" ht="42">
      <c r="A16" s="201">
        <v>12</v>
      </c>
      <c r="B16" s="45" t="s">
        <v>154</v>
      </c>
      <c r="C16" s="1" t="s">
        <v>155</v>
      </c>
      <c r="D16" s="46" t="s">
        <v>135</v>
      </c>
      <c r="E16" s="47">
        <f>[3]Summary!E15</f>
        <v>1.25</v>
      </c>
      <c r="F16" s="46">
        <f>[3]Summary!F15</f>
        <v>49</v>
      </c>
      <c r="G16" s="48">
        <f t="shared" si="0"/>
        <v>61.25</v>
      </c>
      <c r="H16" s="48" t="s">
        <v>1606</v>
      </c>
      <c r="I16" s="45"/>
    </row>
    <row r="17" spans="1:9" ht="42">
      <c r="A17" s="177">
        <v>13</v>
      </c>
      <c r="B17" s="41" t="s">
        <v>156</v>
      </c>
      <c r="C17" s="42" t="s">
        <v>157</v>
      </c>
      <c r="D17" s="178" t="s">
        <v>135</v>
      </c>
      <c r="E17" s="43">
        <f>[3]Summary!E16</f>
        <v>2.25</v>
      </c>
      <c r="F17" s="179">
        <f>[3]Summary!F16</f>
        <v>44</v>
      </c>
      <c r="G17" s="44">
        <f t="shared" si="0"/>
        <v>99</v>
      </c>
      <c r="H17" s="44" t="s">
        <v>1606</v>
      </c>
      <c r="I17" s="41"/>
    </row>
    <row r="18" spans="1:9" ht="42">
      <c r="A18" s="201">
        <v>14</v>
      </c>
      <c r="B18" s="45" t="s">
        <v>158</v>
      </c>
      <c r="C18" s="1" t="s">
        <v>159</v>
      </c>
      <c r="D18" s="46" t="s">
        <v>135</v>
      </c>
      <c r="E18" s="47">
        <f>[3]Summary!E17</f>
        <v>1.75</v>
      </c>
      <c r="F18" s="46">
        <f>[3]Summary!F17</f>
        <v>46</v>
      </c>
      <c r="G18" s="48">
        <f t="shared" si="0"/>
        <v>80.5</v>
      </c>
      <c r="H18" s="48" t="s">
        <v>1606</v>
      </c>
      <c r="I18" s="45"/>
    </row>
    <row r="19" spans="1:9" ht="23.25">
      <c r="A19" s="177">
        <v>15</v>
      </c>
      <c r="B19" s="41" t="s">
        <v>160</v>
      </c>
      <c r="C19" s="42" t="s">
        <v>161</v>
      </c>
      <c r="D19" s="178" t="s">
        <v>135</v>
      </c>
      <c r="E19" s="43">
        <f>[3]Summary!E18</f>
        <v>30</v>
      </c>
      <c r="F19" s="179">
        <f>[3]Summary!F18</f>
        <v>17</v>
      </c>
      <c r="G19" s="44">
        <f t="shared" si="0"/>
        <v>510</v>
      </c>
      <c r="H19" s="44" t="s">
        <v>1612</v>
      </c>
      <c r="I19" s="41"/>
    </row>
    <row r="20" spans="1:9" ht="23.25">
      <c r="A20" s="201">
        <v>16</v>
      </c>
      <c r="B20" s="45" t="s">
        <v>162</v>
      </c>
      <c r="C20" s="1" t="s">
        <v>163</v>
      </c>
      <c r="D20" s="46" t="s">
        <v>135</v>
      </c>
      <c r="E20" s="47">
        <f>[3]Summary!E19</f>
        <v>2.25</v>
      </c>
      <c r="F20" s="46">
        <f>[3]Summary!F19</f>
        <v>43</v>
      </c>
      <c r="G20" s="48">
        <f t="shared" si="0"/>
        <v>96.75</v>
      </c>
      <c r="H20" s="48" t="s">
        <v>1612</v>
      </c>
      <c r="I20" s="45"/>
    </row>
    <row r="21" spans="1:9" ht="23.25">
      <c r="A21" s="177">
        <v>17</v>
      </c>
      <c r="B21" s="41" t="s">
        <v>164</v>
      </c>
      <c r="C21" s="42" t="s">
        <v>165</v>
      </c>
      <c r="D21" s="178" t="s">
        <v>135</v>
      </c>
      <c r="E21" s="43">
        <f>[3]Summary!E20</f>
        <v>27</v>
      </c>
      <c r="F21" s="179">
        <f>[3]Summary!F20</f>
        <v>0</v>
      </c>
      <c r="G21" s="44">
        <f t="shared" si="0"/>
        <v>0</v>
      </c>
      <c r="H21" s="44" t="s">
        <v>1612</v>
      </c>
      <c r="I21" s="41"/>
    </row>
    <row r="22" spans="1:9" ht="23.25">
      <c r="A22" s="201">
        <v>18</v>
      </c>
      <c r="B22" s="45" t="s">
        <v>166</v>
      </c>
      <c r="C22" s="1" t="s">
        <v>167</v>
      </c>
      <c r="D22" s="46" t="s">
        <v>135</v>
      </c>
      <c r="E22" s="47">
        <f>[3]Summary!E21</f>
        <v>22</v>
      </c>
      <c r="F22" s="46">
        <f>[3]Summary!F21</f>
        <v>0</v>
      </c>
      <c r="G22" s="48">
        <f t="shared" si="0"/>
        <v>0</v>
      </c>
      <c r="H22" s="48" t="s">
        <v>1612</v>
      </c>
      <c r="I22" s="45"/>
    </row>
    <row r="23" spans="1:9" ht="23.25">
      <c r="A23" s="177">
        <v>19</v>
      </c>
      <c r="B23" s="41" t="s">
        <v>168</v>
      </c>
      <c r="C23" s="42" t="s">
        <v>169</v>
      </c>
      <c r="D23" s="178" t="s">
        <v>135</v>
      </c>
      <c r="E23" s="43">
        <f>[3]Summary!E22</f>
        <v>0.42</v>
      </c>
      <c r="F23" s="179">
        <f>[3]Summary!F22</f>
        <v>0</v>
      </c>
      <c r="G23" s="44">
        <f t="shared" si="0"/>
        <v>0</v>
      </c>
      <c r="H23" s="44" t="s">
        <v>5390</v>
      </c>
      <c r="I23" s="41"/>
    </row>
    <row r="24" spans="1:9" ht="23.25">
      <c r="A24" s="201">
        <v>20</v>
      </c>
      <c r="B24" s="45" t="s">
        <v>170</v>
      </c>
      <c r="C24" s="1" t="s">
        <v>171</v>
      </c>
      <c r="D24" s="46" t="s">
        <v>135</v>
      </c>
      <c r="E24" s="47">
        <f>[3]Summary!E23</f>
        <v>6</v>
      </c>
      <c r="F24" s="46">
        <f>[3]Summary!F23</f>
        <v>0</v>
      </c>
      <c r="G24" s="48">
        <f t="shared" si="0"/>
        <v>0</v>
      </c>
      <c r="H24" s="48" t="s">
        <v>1612</v>
      </c>
      <c r="I24" s="45"/>
    </row>
    <row r="25" spans="1:9" ht="23.25">
      <c r="A25" s="177">
        <v>21</v>
      </c>
      <c r="B25" s="41" t="s">
        <v>172</v>
      </c>
      <c r="C25" s="42" t="s">
        <v>173</v>
      </c>
      <c r="D25" s="178" t="s">
        <v>135</v>
      </c>
      <c r="E25" s="43">
        <f>[3]Summary!E24</f>
        <v>3.54</v>
      </c>
      <c r="F25" s="179">
        <f>[3]Summary!F24</f>
        <v>0</v>
      </c>
      <c r="G25" s="44">
        <f t="shared" si="0"/>
        <v>0</v>
      </c>
      <c r="H25" s="44" t="s">
        <v>5390</v>
      </c>
      <c r="I25" s="41"/>
    </row>
    <row r="26" spans="1:9" ht="23.25">
      <c r="A26" s="201">
        <v>22</v>
      </c>
      <c r="B26" s="45" t="s">
        <v>174</v>
      </c>
      <c r="C26" s="1" t="s">
        <v>175</v>
      </c>
      <c r="D26" s="46" t="s">
        <v>135</v>
      </c>
      <c r="E26" s="47">
        <f>[3]Summary!E25</f>
        <v>35</v>
      </c>
      <c r="F26" s="46">
        <f>[3]Summary!F25</f>
        <v>0</v>
      </c>
      <c r="G26" s="48">
        <f t="shared" si="0"/>
        <v>0</v>
      </c>
      <c r="H26" s="48" t="s">
        <v>5390</v>
      </c>
      <c r="I26" s="45"/>
    </row>
    <row r="27" spans="1:9" ht="46.5">
      <c r="A27" s="177">
        <v>23</v>
      </c>
      <c r="B27" s="41" t="s">
        <v>176</v>
      </c>
      <c r="C27" s="42" t="s">
        <v>177</v>
      </c>
      <c r="D27" s="178" t="s">
        <v>135</v>
      </c>
      <c r="E27" s="43">
        <f>[3]Summary!E26</f>
        <v>55</v>
      </c>
      <c r="F27" s="179">
        <f>[3]Summary!F26</f>
        <v>0</v>
      </c>
      <c r="G27" s="44">
        <f t="shared" si="0"/>
        <v>0</v>
      </c>
      <c r="H27" s="44" t="s">
        <v>5393</v>
      </c>
      <c r="I27" s="41"/>
    </row>
    <row r="28" spans="1:9" ht="23.25">
      <c r="A28" s="201">
        <v>24</v>
      </c>
      <c r="B28" s="45" t="s">
        <v>178</v>
      </c>
      <c r="C28" s="1" t="s">
        <v>179</v>
      </c>
      <c r="D28" s="46" t="s">
        <v>180</v>
      </c>
      <c r="E28" s="47">
        <f>[3]Summary!E27</f>
        <v>15</v>
      </c>
      <c r="F28" s="46">
        <f>[3]Summary!F27</f>
        <v>37.659999999999997</v>
      </c>
      <c r="G28" s="48">
        <f t="shared" si="0"/>
        <v>564.9</v>
      </c>
      <c r="H28" s="48" t="s">
        <v>1616</v>
      </c>
      <c r="I28" s="45"/>
    </row>
    <row r="29" spans="1:9" ht="23.25">
      <c r="A29" s="177">
        <v>25</v>
      </c>
      <c r="B29" s="41" t="s">
        <v>181</v>
      </c>
      <c r="C29" s="42" t="s">
        <v>182</v>
      </c>
      <c r="D29" s="178" t="s">
        <v>180</v>
      </c>
      <c r="E29" s="43">
        <f>[3]Summary!E28</f>
        <v>24</v>
      </c>
      <c r="F29" s="179">
        <f>[3]Summary!F28</f>
        <v>0</v>
      </c>
      <c r="G29" s="44">
        <f t="shared" si="0"/>
        <v>0</v>
      </c>
      <c r="H29" s="44" t="s">
        <v>1617</v>
      </c>
      <c r="I29" s="41"/>
    </row>
    <row r="30" spans="1:9" ht="23.25">
      <c r="A30" s="201">
        <v>26</v>
      </c>
      <c r="B30" s="45" t="s">
        <v>183</v>
      </c>
      <c r="C30" s="1" t="s">
        <v>184</v>
      </c>
      <c r="D30" s="46" t="s">
        <v>185</v>
      </c>
      <c r="E30" s="47">
        <f>[3]Summary!E29</f>
        <v>2.4</v>
      </c>
      <c r="F30" s="46">
        <f>[3]Summary!F29</f>
        <v>0</v>
      </c>
      <c r="G30" s="48">
        <f t="shared" si="0"/>
        <v>0</v>
      </c>
      <c r="H30" s="48" t="s">
        <v>1617</v>
      </c>
      <c r="I30" s="45"/>
    </row>
    <row r="31" spans="1:9" ht="23.25">
      <c r="A31" s="177">
        <v>27</v>
      </c>
      <c r="B31" s="41" t="s">
        <v>186</v>
      </c>
      <c r="C31" s="42" t="s">
        <v>187</v>
      </c>
      <c r="D31" s="178" t="s">
        <v>185</v>
      </c>
      <c r="E31" s="43">
        <f>[3]Summary!E30</f>
        <v>26</v>
      </c>
      <c r="F31" s="179">
        <f>[3]Summary!F30</f>
        <v>0</v>
      </c>
      <c r="G31" s="44">
        <f t="shared" si="0"/>
        <v>0</v>
      </c>
      <c r="H31" s="44" t="s">
        <v>1617</v>
      </c>
      <c r="I31" s="41"/>
    </row>
    <row r="32" spans="1:9" ht="23.25">
      <c r="A32" s="201">
        <v>28</v>
      </c>
      <c r="B32" s="45" t="s">
        <v>188</v>
      </c>
      <c r="C32" s="1" t="s">
        <v>189</v>
      </c>
      <c r="D32" s="46" t="s">
        <v>185</v>
      </c>
      <c r="E32" s="47">
        <f>[3]Summary!E31</f>
        <v>5.75</v>
      </c>
      <c r="F32" s="46">
        <f>[3]Summary!F31</f>
        <v>0</v>
      </c>
      <c r="G32" s="48">
        <f t="shared" si="0"/>
        <v>0</v>
      </c>
      <c r="H32" s="48" t="s">
        <v>1617</v>
      </c>
      <c r="I32" s="45"/>
    </row>
    <row r="33" spans="1:9" ht="23.25">
      <c r="A33" s="177">
        <v>29</v>
      </c>
      <c r="B33" s="41" t="s">
        <v>190</v>
      </c>
      <c r="C33" s="42" t="s">
        <v>191</v>
      </c>
      <c r="D33" s="178" t="s">
        <v>185</v>
      </c>
      <c r="E33" s="43">
        <f>[3]Summary!E32</f>
        <v>1.5</v>
      </c>
      <c r="F33" s="179">
        <f>[3]Summary!F32</f>
        <v>0</v>
      </c>
      <c r="G33" s="44">
        <f t="shared" si="0"/>
        <v>0</v>
      </c>
      <c r="H33" s="44" t="s">
        <v>1617</v>
      </c>
      <c r="I33" s="41"/>
    </row>
    <row r="34" spans="1:9" ht="23.25">
      <c r="A34" s="201">
        <v>30</v>
      </c>
      <c r="B34" s="45" t="s">
        <v>192</v>
      </c>
      <c r="C34" s="1" t="s">
        <v>193</v>
      </c>
      <c r="D34" s="46" t="s">
        <v>185</v>
      </c>
      <c r="E34" s="47">
        <f>[3]Summary!E33</f>
        <v>0</v>
      </c>
      <c r="F34" s="46">
        <f>[3]Summary!F33</f>
        <v>0</v>
      </c>
      <c r="G34" s="48">
        <f t="shared" si="0"/>
        <v>0</v>
      </c>
      <c r="H34" s="48" t="s">
        <v>1617</v>
      </c>
      <c r="I34" s="45"/>
    </row>
    <row r="35" spans="1:9" ht="23.25">
      <c r="A35" s="177">
        <v>31</v>
      </c>
      <c r="B35" s="41" t="s">
        <v>194</v>
      </c>
      <c r="C35" s="42" t="s">
        <v>195</v>
      </c>
      <c r="D35" s="178" t="s">
        <v>185</v>
      </c>
      <c r="E35" s="43">
        <f>[3]Summary!E34</f>
        <v>0</v>
      </c>
      <c r="F35" s="179">
        <f>[3]Summary!F34</f>
        <v>0</v>
      </c>
      <c r="G35" s="44">
        <f t="shared" si="0"/>
        <v>0</v>
      </c>
      <c r="H35" s="44" t="s">
        <v>1617</v>
      </c>
      <c r="I35" s="41"/>
    </row>
    <row r="36" spans="1:9" ht="23.25">
      <c r="A36" s="201">
        <v>32</v>
      </c>
      <c r="B36" s="45" t="s">
        <v>196</v>
      </c>
      <c r="C36" s="1" t="s">
        <v>197</v>
      </c>
      <c r="D36" s="46" t="s">
        <v>185</v>
      </c>
      <c r="E36" s="47">
        <f>[3]Summary!E35</f>
        <v>17</v>
      </c>
      <c r="F36" s="46">
        <f>[3]Summary!F35</f>
        <v>0</v>
      </c>
      <c r="G36" s="48">
        <f t="shared" si="0"/>
        <v>0</v>
      </c>
      <c r="H36" s="48" t="s">
        <v>1617</v>
      </c>
      <c r="I36" s="45"/>
    </row>
    <row r="37" spans="1:9" ht="23.25">
      <c r="A37" s="177">
        <v>33</v>
      </c>
      <c r="B37" s="41" t="s">
        <v>198</v>
      </c>
      <c r="C37" s="42" t="s">
        <v>199</v>
      </c>
      <c r="D37" s="178" t="s">
        <v>185</v>
      </c>
      <c r="E37" s="43">
        <f>[3]Summary!E36</f>
        <v>0.8</v>
      </c>
      <c r="F37" s="179">
        <f>[3]Summary!F36</f>
        <v>0</v>
      </c>
      <c r="G37" s="44">
        <f t="shared" si="0"/>
        <v>0</v>
      </c>
      <c r="H37" s="44" t="s">
        <v>1617</v>
      </c>
      <c r="I37" s="41"/>
    </row>
    <row r="38" spans="1:9" ht="23.25">
      <c r="A38" s="201">
        <v>34</v>
      </c>
      <c r="B38" s="45" t="s">
        <v>200</v>
      </c>
      <c r="C38" s="1" t="s">
        <v>201</v>
      </c>
      <c r="D38" s="46" t="s">
        <v>185</v>
      </c>
      <c r="E38" s="47">
        <f>[3]Summary!E37</f>
        <v>1.2</v>
      </c>
      <c r="F38" s="46">
        <f>[3]Summary!F37</f>
        <v>0</v>
      </c>
      <c r="G38" s="48">
        <f t="shared" si="0"/>
        <v>0</v>
      </c>
      <c r="H38" s="48" t="s">
        <v>1617</v>
      </c>
      <c r="I38" s="45"/>
    </row>
    <row r="39" spans="1:9" ht="23.25">
      <c r="A39" s="177">
        <v>35</v>
      </c>
      <c r="B39" s="41" t="s">
        <v>202</v>
      </c>
      <c r="C39" s="42" t="s">
        <v>203</v>
      </c>
      <c r="D39" s="178" t="s">
        <v>185</v>
      </c>
      <c r="E39" s="43">
        <f>[3]Summary!E38</f>
        <v>0.8</v>
      </c>
      <c r="F39" s="179">
        <f>[3]Summary!F38</f>
        <v>0</v>
      </c>
      <c r="G39" s="44">
        <f t="shared" si="0"/>
        <v>0</v>
      </c>
      <c r="H39" s="44" t="s">
        <v>1617</v>
      </c>
      <c r="I39" s="41"/>
    </row>
    <row r="40" spans="1:9" ht="23.25">
      <c r="A40" s="201">
        <v>36</v>
      </c>
      <c r="B40" s="45" t="s">
        <v>204</v>
      </c>
      <c r="C40" s="1" t="s">
        <v>205</v>
      </c>
      <c r="D40" s="46" t="s">
        <v>185</v>
      </c>
      <c r="E40" s="47">
        <f>[3]Summary!E39</f>
        <v>1.25</v>
      </c>
      <c r="F40" s="46">
        <f>[3]Summary!F39</f>
        <v>2712</v>
      </c>
      <c r="G40" s="48">
        <f t="shared" si="0"/>
        <v>3390</v>
      </c>
      <c r="H40" s="48" t="s">
        <v>1617</v>
      </c>
      <c r="I40" s="45"/>
    </row>
    <row r="41" spans="1:9" ht="23.25">
      <c r="A41" s="177">
        <v>37</v>
      </c>
      <c r="B41" s="41" t="s">
        <v>190</v>
      </c>
      <c r="C41" s="42" t="s">
        <v>206</v>
      </c>
      <c r="D41" s="178" t="s">
        <v>185</v>
      </c>
      <c r="E41" s="43">
        <f>[3]Summary!E40</f>
        <v>1.5</v>
      </c>
      <c r="F41" s="179">
        <f>[3]Summary!F40</f>
        <v>48</v>
      </c>
      <c r="G41" s="44">
        <f t="shared" si="0"/>
        <v>72</v>
      </c>
      <c r="H41" s="44" t="s">
        <v>1617</v>
      </c>
      <c r="I41" s="41"/>
    </row>
    <row r="42" spans="1:9" ht="23.25">
      <c r="A42" s="201">
        <v>38</v>
      </c>
      <c r="B42" s="45" t="s">
        <v>207</v>
      </c>
      <c r="C42" s="1" t="s">
        <v>208</v>
      </c>
      <c r="D42" s="46" t="s">
        <v>185</v>
      </c>
      <c r="E42" s="47">
        <f>[3]Summary!E41</f>
        <v>3.6</v>
      </c>
      <c r="F42" s="46">
        <f>[3]Summary!F41</f>
        <v>0</v>
      </c>
      <c r="G42" s="48">
        <f t="shared" si="0"/>
        <v>0</v>
      </c>
      <c r="H42" s="48" t="s">
        <v>1617</v>
      </c>
      <c r="I42" s="45"/>
    </row>
    <row r="43" spans="1:9" ht="23.25">
      <c r="A43" s="177">
        <v>39</v>
      </c>
      <c r="B43" s="41" t="s">
        <v>209</v>
      </c>
      <c r="C43" s="42" t="s">
        <v>210</v>
      </c>
      <c r="D43" s="178" t="s">
        <v>185</v>
      </c>
      <c r="E43" s="43">
        <f>[3]Summary!E42</f>
        <v>1.6</v>
      </c>
      <c r="F43" s="179">
        <f>[3]Summary!F42</f>
        <v>956</v>
      </c>
      <c r="G43" s="44">
        <f t="shared" si="0"/>
        <v>1529.6000000000001</v>
      </c>
      <c r="H43" s="44" t="s">
        <v>1617</v>
      </c>
      <c r="I43" s="41"/>
    </row>
    <row r="44" spans="1:9" ht="23.25">
      <c r="A44" s="201">
        <v>40</v>
      </c>
      <c r="B44" s="45" t="s">
        <v>211</v>
      </c>
      <c r="C44" s="1" t="s">
        <v>212</v>
      </c>
      <c r="D44" s="46" t="s">
        <v>185</v>
      </c>
      <c r="E44" s="47">
        <f>[3]Summary!E43</f>
        <v>2.5</v>
      </c>
      <c r="F44" s="46">
        <f>[3]Summary!F43</f>
        <v>0</v>
      </c>
      <c r="G44" s="48">
        <f t="shared" si="0"/>
        <v>0</v>
      </c>
      <c r="H44" s="48" t="s">
        <v>1617</v>
      </c>
      <c r="I44" s="45"/>
    </row>
    <row r="45" spans="1:9" ht="46.5">
      <c r="A45" s="177">
        <v>41</v>
      </c>
      <c r="B45" s="41" t="s">
        <v>213</v>
      </c>
      <c r="C45" s="42" t="s">
        <v>214</v>
      </c>
      <c r="D45" s="178" t="s">
        <v>185</v>
      </c>
      <c r="E45" s="43">
        <f>[3]Summary!E44</f>
        <v>39</v>
      </c>
      <c r="F45" s="179">
        <f>[3]Summary!F44</f>
        <v>0</v>
      </c>
      <c r="G45" s="44">
        <f t="shared" si="0"/>
        <v>0</v>
      </c>
      <c r="H45" s="44" t="s">
        <v>1617</v>
      </c>
      <c r="I45" s="41"/>
    </row>
    <row r="46" spans="1:9" ht="23.25">
      <c r="A46" s="201">
        <v>42</v>
      </c>
      <c r="B46" s="45" t="s">
        <v>1624</v>
      </c>
      <c r="C46" s="1" t="s">
        <v>1625</v>
      </c>
      <c r="D46" s="46" t="s">
        <v>185</v>
      </c>
      <c r="E46" s="47">
        <f>[3]Summary!E45</f>
        <v>5</v>
      </c>
      <c r="F46" s="46">
        <f>[3]Summary!F45</f>
        <v>0</v>
      </c>
      <c r="G46" s="48">
        <f t="shared" si="0"/>
        <v>0</v>
      </c>
      <c r="H46" s="48" t="s">
        <v>1617</v>
      </c>
      <c r="I46" s="45"/>
    </row>
    <row r="47" spans="1:9" ht="23.25">
      <c r="A47" s="177">
        <v>43</v>
      </c>
      <c r="B47" s="41" t="s">
        <v>215</v>
      </c>
      <c r="C47" s="42" t="s">
        <v>216</v>
      </c>
      <c r="D47" s="178" t="s">
        <v>185</v>
      </c>
      <c r="E47" s="43">
        <f>[3]Summary!E46</f>
        <v>0</v>
      </c>
      <c r="F47" s="179">
        <f>[3]Summary!F46</f>
        <v>0</v>
      </c>
      <c r="G47" s="44">
        <f t="shared" si="0"/>
        <v>0</v>
      </c>
      <c r="H47" s="44" t="s">
        <v>1617</v>
      </c>
      <c r="I47" s="41"/>
    </row>
    <row r="48" spans="1:9" ht="23.25">
      <c r="A48" s="201">
        <v>44</v>
      </c>
      <c r="B48" s="45" t="s">
        <v>217</v>
      </c>
      <c r="C48" s="1" t="s">
        <v>218</v>
      </c>
      <c r="D48" s="46" t="s">
        <v>185</v>
      </c>
      <c r="E48" s="47">
        <f>[3]Summary!E47</f>
        <v>11.5</v>
      </c>
      <c r="F48" s="46">
        <f>[3]Summary!F47</f>
        <v>0</v>
      </c>
      <c r="G48" s="48">
        <f t="shared" si="0"/>
        <v>0</v>
      </c>
      <c r="H48" s="48" t="s">
        <v>1617</v>
      </c>
      <c r="I48" s="45"/>
    </row>
    <row r="49" spans="1:9" ht="23.25">
      <c r="A49" s="177">
        <v>45</v>
      </c>
      <c r="B49" s="41" t="s">
        <v>219</v>
      </c>
      <c r="C49" s="42" t="s">
        <v>220</v>
      </c>
      <c r="D49" s="178" t="s">
        <v>185</v>
      </c>
      <c r="E49" s="43">
        <f>[3]Summary!E48</f>
        <v>0</v>
      </c>
      <c r="F49" s="179">
        <f>[3]Summary!F48</f>
        <v>0</v>
      </c>
      <c r="G49" s="44">
        <f t="shared" si="0"/>
        <v>0</v>
      </c>
      <c r="H49" s="44" t="s">
        <v>1617</v>
      </c>
      <c r="I49" s="41"/>
    </row>
    <row r="50" spans="1:9" ht="23.25">
      <c r="A50" s="201">
        <v>46</v>
      </c>
      <c r="B50" s="45" t="s">
        <v>221</v>
      </c>
      <c r="C50" s="1" t="s">
        <v>222</v>
      </c>
      <c r="D50" s="46" t="s">
        <v>185</v>
      </c>
      <c r="E50" s="47">
        <f>[3]Summary!E49</f>
        <v>24</v>
      </c>
      <c r="F50" s="46">
        <f>[3]Summary!F49</f>
        <v>0</v>
      </c>
      <c r="G50" s="48">
        <f t="shared" si="0"/>
        <v>0</v>
      </c>
      <c r="H50" s="48" t="s">
        <v>1617</v>
      </c>
      <c r="I50" s="45"/>
    </row>
    <row r="51" spans="1:9" ht="23.25">
      <c r="A51" s="177">
        <v>47</v>
      </c>
      <c r="B51" s="41" t="s">
        <v>223</v>
      </c>
      <c r="C51" s="42" t="s">
        <v>224</v>
      </c>
      <c r="D51" s="178" t="s">
        <v>185</v>
      </c>
      <c r="E51" s="43">
        <f>[3]Summary!E50</f>
        <v>3.75</v>
      </c>
      <c r="F51" s="179">
        <f>[3]Summary!F50</f>
        <v>1037</v>
      </c>
      <c r="G51" s="44">
        <f t="shared" si="0"/>
        <v>3888.75</v>
      </c>
      <c r="H51" s="44" t="s">
        <v>1617</v>
      </c>
      <c r="I51" s="41"/>
    </row>
    <row r="52" spans="1:9" ht="23.25">
      <c r="A52" s="201">
        <v>48</v>
      </c>
      <c r="B52" s="45" t="s">
        <v>186</v>
      </c>
      <c r="C52" s="1" t="s">
        <v>225</v>
      </c>
      <c r="D52" s="46" t="s">
        <v>185</v>
      </c>
      <c r="E52" s="47">
        <f>[3]Summary!E51</f>
        <v>33</v>
      </c>
      <c r="F52" s="46">
        <f>[3]Summary!F51</f>
        <v>0</v>
      </c>
      <c r="G52" s="48">
        <f t="shared" si="0"/>
        <v>0</v>
      </c>
      <c r="H52" s="48" t="s">
        <v>1617</v>
      </c>
      <c r="I52" s="45"/>
    </row>
    <row r="53" spans="1:9" ht="23.25">
      <c r="A53" s="177">
        <v>49</v>
      </c>
      <c r="B53" s="41" t="s">
        <v>226</v>
      </c>
      <c r="C53" s="42" t="s">
        <v>227</v>
      </c>
      <c r="D53" s="178" t="s">
        <v>185</v>
      </c>
      <c r="E53" s="43">
        <f>[3]Summary!E52</f>
        <v>40</v>
      </c>
      <c r="F53" s="179">
        <f>[3]Summary!F52</f>
        <v>0</v>
      </c>
      <c r="G53" s="44">
        <f t="shared" si="0"/>
        <v>0</v>
      </c>
      <c r="H53" s="44" t="s">
        <v>1617</v>
      </c>
      <c r="I53" s="41"/>
    </row>
    <row r="54" spans="1:9" ht="23.25">
      <c r="A54" s="201">
        <v>50</v>
      </c>
      <c r="B54" s="45" t="s">
        <v>228</v>
      </c>
      <c r="C54" s="1" t="s">
        <v>229</v>
      </c>
      <c r="D54" s="46" t="s">
        <v>185</v>
      </c>
      <c r="E54" s="47">
        <f>[3]Summary!E53</f>
        <v>4.5</v>
      </c>
      <c r="F54" s="46">
        <f>[3]Summary!F53</f>
        <v>0</v>
      </c>
      <c r="G54" s="48">
        <f t="shared" si="0"/>
        <v>0</v>
      </c>
      <c r="H54" s="48" t="s">
        <v>1617</v>
      </c>
      <c r="I54" s="45"/>
    </row>
    <row r="55" spans="1:9" ht="23.25">
      <c r="A55" s="177">
        <v>51</v>
      </c>
      <c r="B55" s="41" t="s">
        <v>188</v>
      </c>
      <c r="C55" s="42" t="s">
        <v>230</v>
      </c>
      <c r="D55" s="178" t="s">
        <v>185</v>
      </c>
      <c r="E55" s="43">
        <f>[3]Summary!E54</f>
        <v>5.75</v>
      </c>
      <c r="F55" s="179">
        <f>[3]Summary!F54</f>
        <v>0</v>
      </c>
      <c r="G55" s="44">
        <f t="shared" si="0"/>
        <v>0</v>
      </c>
      <c r="H55" s="44" t="s">
        <v>1617</v>
      </c>
      <c r="I55" s="41"/>
    </row>
    <row r="56" spans="1:9" ht="23.25">
      <c r="A56" s="201">
        <v>52</v>
      </c>
      <c r="B56" s="45" t="s">
        <v>231</v>
      </c>
      <c r="C56" s="1" t="s">
        <v>232</v>
      </c>
      <c r="D56" s="46" t="s">
        <v>185</v>
      </c>
      <c r="E56" s="47">
        <f>[3]Summary!E55</f>
        <v>10</v>
      </c>
      <c r="F56" s="46">
        <f>[3]Summary!F55</f>
        <v>0</v>
      </c>
      <c r="G56" s="48">
        <f t="shared" si="0"/>
        <v>0</v>
      </c>
      <c r="H56" s="48" t="s">
        <v>1617</v>
      </c>
      <c r="I56" s="45"/>
    </row>
    <row r="57" spans="1:9" ht="23.25">
      <c r="A57" s="177">
        <v>53</v>
      </c>
      <c r="B57" s="41" t="s">
        <v>233</v>
      </c>
      <c r="C57" s="42" t="s">
        <v>234</v>
      </c>
      <c r="D57" s="178" t="s">
        <v>185</v>
      </c>
      <c r="E57" s="43">
        <f>[3]Summary!E56</f>
        <v>20</v>
      </c>
      <c r="F57" s="179">
        <f>[3]Summary!F56</f>
        <v>0</v>
      </c>
      <c r="G57" s="44">
        <f t="shared" si="0"/>
        <v>0</v>
      </c>
      <c r="H57" s="44" t="s">
        <v>1617</v>
      </c>
      <c r="I57" s="41"/>
    </row>
    <row r="58" spans="1:9" ht="23.25">
      <c r="A58" s="201">
        <v>54</v>
      </c>
      <c r="B58" s="45" t="s">
        <v>235</v>
      </c>
      <c r="C58" s="1" t="s">
        <v>236</v>
      </c>
      <c r="D58" s="46" t="s">
        <v>185</v>
      </c>
      <c r="E58" s="47">
        <f>[3]Summary!E57</f>
        <v>0</v>
      </c>
      <c r="F58" s="46">
        <f>[3]Summary!F57</f>
        <v>0</v>
      </c>
      <c r="G58" s="48">
        <f t="shared" si="0"/>
        <v>0</v>
      </c>
      <c r="H58" s="48" t="s">
        <v>1617</v>
      </c>
      <c r="I58" s="45"/>
    </row>
    <row r="59" spans="1:9" ht="23.25">
      <c r="A59" s="177">
        <v>55</v>
      </c>
      <c r="B59" s="41" t="s">
        <v>237</v>
      </c>
      <c r="C59" s="42" t="s">
        <v>238</v>
      </c>
      <c r="D59" s="178" t="s">
        <v>185</v>
      </c>
      <c r="E59" s="43">
        <f>[3]Summary!E58</f>
        <v>1.5</v>
      </c>
      <c r="F59" s="179">
        <f>[3]Summary!F58</f>
        <v>0</v>
      </c>
      <c r="G59" s="44">
        <f t="shared" si="0"/>
        <v>0</v>
      </c>
      <c r="H59" s="44" t="s">
        <v>1617</v>
      </c>
      <c r="I59" s="41"/>
    </row>
    <row r="60" spans="1:9" ht="46.5">
      <c r="A60" s="201">
        <v>56</v>
      </c>
      <c r="B60" s="45" t="s">
        <v>239</v>
      </c>
      <c r="C60" s="1" t="s">
        <v>240</v>
      </c>
      <c r="D60" s="46" t="s">
        <v>185</v>
      </c>
      <c r="E60" s="47">
        <f>[3]Summary!E59</f>
        <v>7.5</v>
      </c>
      <c r="F60" s="46">
        <f>[3]Summary!F59</f>
        <v>0</v>
      </c>
      <c r="G60" s="48">
        <f t="shared" si="0"/>
        <v>0</v>
      </c>
      <c r="H60" s="48" t="s">
        <v>1617</v>
      </c>
      <c r="I60" s="45"/>
    </row>
    <row r="61" spans="1:9" ht="23.25">
      <c r="A61" s="177">
        <v>57</v>
      </c>
      <c r="B61" s="41" t="s">
        <v>241</v>
      </c>
      <c r="C61" s="42" t="s">
        <v>242</v>
      </c>
      <c r="D61" s="178" t="s">
        <v>185</v>
      </c>
      <c r="E61" s="43">
        <f>[3]Summary!E60</f>
        <v>50</v>
      </c>
      <c r="F61" s="179">
        <f>[3]Summary!F60</f>
        <v>0</v>
      </c>
      <c r="G61" s="44">
        <f t="shared" si="0"/>
        <v>0</v>
      </c>
      <c r="H61" s="44" t="s">
        <v>1617</v>
      </c>
      <c r="I61" s="41"/>
    </row>
    <row r="62" spans="1:9" ht="23.25">
      <c r="A62" s="201">
        <v>58</v>
      </c>
      <c r="B62" s="45" t="s">
        <v>243</v>
      </c>
      <c r="C62" s="1" t="s">
        <v>244</v>
      </c>
      <c r="D62" s="46" t="s">
        <v>185</v>
      </c>
      <c r="E62" s="47">
        <f>[3]Summary!E61</f>
        <v>80</v>
      </c>
      <c r="F62" s="46">
        <f>[3]Summary!F61</f>
        <v>0</v>
      </c>
      <c r="G62" s="48">
        <f t="shared" si="0"/>
        <v>0</v>
      </c>
      <c r="H62" s="48" t="s">
        <v>1617</v>
      </c>
      <c r="I62" s="45"/>
    </row>
    <row r="63" spans="1:9" ht="23.25">
      <c r="A63" s="177">
        <v>59</v>
      </c>
      <c r="B63" s="41" t="s">
        <v>245</v>
      </c>
      <c r="C63" s="42" t="s">
        <v>246</v>
      </c>
      <c r="D63" s="178" t="s">
        <v>185</v>
      </c>
      <c r="E63" s="43">
        <f>[3]Summary!E62</f>
        <v>62</v>
      </c>
      <c r="F63" s="179">
        <f>[3]Summary!F62</f>
        <v>0</v>
      </c>
      <c r="G63" s="44">
        <f t="shared" si="0"/>
        <v>0</v>
      </c>
      <c r="H63" s="44" t="s">
        <v>1617</v>
      </c>
      <c r="I63" s="41"/>
    </row>
    <row r="64" spans="1:9" ht="46.5">
      <c r="A64" s="201">
        <v>60</v>
      </c>
      <c r="B64" s="45" t="s">
        <v>247</v>
      </c>
      <c r="C64" s="1" t="s">
        <v>248</v>
      </c>
      <c r="D64" s="46" t="s">
        <v>185</v>
      </c>
      <c r="E64" s="47">
        <f>[3]Summary!E63</f>
        <v>11</v>
      </c>
      <c r="F64" s="46">
        <f>[3]Summary!F63</f>
        <v>0</v>
      </c>
      <c r="G64" s="48">
        <f t="shared" si="0"/>
        <v>0</v>
      </c>
      <c r="H64" s="48" t="s">
        <v>1617</v>
      </c>
      <c r="I64" s="45"/>
    </row>
    <row r="65" spans="1:9" ht="46.5">
      <c r="A65" s="177">
        <v>61</v>
      </c>
      <c r="B65" s="41" t="s">
        <v>249</v>
      </c>
      <c r="C65" s="42" t="s">
        <v>250</v>
      </c>
      <c r="D65" s="178" t="s">
        <v>185</v>
      </c>
      <c r="E65" s="43">
        <f>[3]Summary!E64</f>
        <v>110</v>
      </c>
      <c r="F65" s="179">
        <f>[3]Summary!F64</f>
        <v>0</v>
      </c>
      <c r="G65" s="44">
        <f t="shared" si="0"/>
        <v>0</v>
      </c>
      <c r="H65" s="44" t="s">
        <v>1617</v>
      </c>
      <c r="I65" s="41"/>
    </row>
    <row r="66" spans="1:9" ht="46.5">
      <c r="A66" s="201">
        <v>62</v>
      </c>
      <c r="B66" s="45" t="s">
        <v>251</v>
      </c>
      <c r="C66" s="1" t="s">
        <v>252</v>
      </c>
      <c r="D66" s="46" t="s">
        <v>185</v>
      </c>
      <c r="E66" s="47">
        <f>[3]Summary!E65</f>
        <v>17.5</v>
      </c>
      <c r="F66" s="46">
        <f>[3]Summary!F65</f>
        <v>0</v>
      </c>
      <c r="G66" s="48">
        <f t="shared" si="0"/>
        <v>0</v>
      </c>
      <c r="H66" s="48" t="s">
        <v>1617</v>
      </c>
      <c r="I66" s="45"/>
    </row>
    <row r="67" spans="1:9" ht="46.5">
      <c r="A67" s="177">
        <v>63</v>
      </c>
      <c r="B67" s="41" t="s">
        <v>253</v>
      </c>
      <c r="C67" s="42" t="s">
        <v>254</v>
      </c>
      <c r="D67" s="178" t="s">
        <v>185</v>
      </c>
      <c r="E67" s="43">
        <f>[3]Summary!E66</f>
        <v>26</v>
      </c>
      <c r="F67" s="179">
        <f>[3]Summary!F66</f>
        <v>0</v>
      </c>
      <c r="G67" s="44">
        <f t="shared" si="0"/>
        <v>0</v>
      </c>
      <c r="H67" s="44" t="s">
        <v>1617</v>
      </c>
      <c r="I67" s="41"/>
    </row>
    <row r="68" spans="1:9" ht="46.5">
      <c r="A68" s="201">
        <v>64</v>
      </c>
      <c r="B68" s="45" t="s">
        <v>255</v>
      </c>
      <c r="C68" s="1" t="s">
        <v>256</v>
      </c>
      <c r="D68" s="46" t="s">
        <v>185</v>
      </c>
      <c r="E68" s="47">
        <f>[3]Summary!E67</f>
        <v>3.35</v>
      </c>
      <c r="F68" s="46">
        <f>[3]Summary!F67</f>
        <v>0</v>
      </c>
      <c r="G68" s="48">
        <f t="shared" si="0"/>
        <v>0</v>
      </c>
      <c r="H68" s="48" t="s">
        <v>1617</v>
      </c>
      <c r="I68" s="45"/>
    </row>
    <row r="69" spans="1:9" ht="46.5">
      <c r="A69" s="177">
        <v>65</v>
      </c>
      <c r="B69" s="41" t="s">
        <v>257</v>
      </c>
      <c r="C69" s="42" t="s">
        <v>258</v>
      </c>
      <c r="D69" s="178" t="s">
        <v>185</v>
      </c>
      <c r="E69" s="43">
        <f>[3]Summary!E68</f>
        <v>7.5</v>
      </c>
      <c r="F69" s="179">
        <f>[3]Summary!F68</f>
        <v>0</v>
      </c>
      <c r="G69" s="44">
        <f t="shared" ref="G69:G132" si="1">F69*E69</f>
        <v>0</v>
      </c>
      <c r="H69" s="44" t="s">
        <v>1617</v>
      </c>
      <c r="I69" s="41"/>
    </row>
    <row r="70" spans="1:9" ht="23.25">
      <c r="A70" s="201">
        <v>66</v>
      </c>
      <c r="B70" s="45" t="s">
        <v>259</v>
      </c>
      <c r="C70" s="1" t="s">
        <v>260</v>
      </c>
      <c r="D70" s="46" t="s">
        <v>185</v>
      </c>
      <c r="E70" s="47">
        <f>[3]Summary!E69</f>
        <v>16.5</v>
      </c>
      <c r="F70" s="46">
        <f>[3]Summary!F69</f>
        <v>0</v>
      </c>
      <c r="G70" s="48">
        <f t="shared" si="1"/>
        <v>0</v>
      </c>
      <c r="H70" s="48" t="s">
        <v>1617</v>
      </c>
      <c r="I70" s="45"/>
    </row>
    <row r="71" spans="1:9" ht="23.25">
      <c r="A71" s="177">
        <v>67</v>
      </c>
      <c r="B71" s="41" t="s">
        <v>261</v>
      </c>
      <c r="C71" s="42" t="s">
        <v>262</v>
      </c>
      <c r="D71" s="178" t="s">
        <v>185</v>
      </c>
      <c r="E71" s="43">
        <f>[3]Summary!E70</f>
        <v>21.5</v>
      </c>
      <c r="F71" s="179">
        <f>[3]Summary!F70</f>
        <v>0</v>
      </c>
      <c r="G71" s="44">
        <f t="shared" si="1"/>
        <v>0</v>
      </c>
      <c r="H71" s="44" t="s">
        <v>1617</v>
      </c>
      <c r="I71" s="41"/>
    </row>
    <row r="72" spans="1:9" ht="23.25">
      <c r="A72" s="201">
        <v>68</v>
      </c>
      <c r="B72" s="45" t="s">
        <v>1628</v>
      </c>
      <c r="C72" s="1" t="s">
        <v>263</v>
      </c>
      <c r="D72" s="46" t="s">
        <v>185</v>
      </c>
      <c r="E72" s="47">
        <f>[3]Summary!E71</f>
        <v>32</v>
      </c>
      <c r="F72" s="46">
        <f>[3]Summary!F71</f>
        <v>0</v>
      </c>
      <c r="G72" s="48">
        <f t="shared" si="1"/>
        <v>0</v>
      </c>
      <c r="H72" s="48" t="s">
        <v>1617</v>
      </c>
      <c r="I72" s="45"/>
    </row>
    <row r="73" spans="1:9" ht="23.25">
      <c r="A73" s="177">
        <v>69</v>
      </c>
      <c r="B73" s="41" t="s">
        <v>264</v>
      </c>
      <c r="C73" s="42" t="s">
        <v>265</v>
      </c>
      <c r="D73" s="178" t="s">
        <v>185</v>
      </c>
      <c r="E73" s="43">
        <f>[3]Summary!E72</f>
        <v>4.6500000000000004</v>
      </c>
      <c r="F73" s="179">
        <f>[3]Summary!F72</f>
        <v>0</v>
      </c>
      <c r="G73" s="44">
        <f t="shared" si="1"/>
        <v>0</v>
      </c>
      <c r="H73" s="44" t="s">
        <v>1617</v>
      </c>
      <c r="I73" s="41"/>
    </row>
    <row r="74" spans="1:9" ht="23.25">
      <c r="A74" s="201">
        <v>70</v>
      </c>
      <c r="B74" s="45" t="s">
        <v>266</v>
      </c>
      <c r="C74" s="1" t="s">
        <v>267</v>
      </c>
      <c r="D74" s="46" t="s">
        <v>135</v>
      </c>
      <c r="E74" s="47">
        <f>[3]Summary!E73</f>
        <v>0.55000000000000004</v>
      </c>
      <c r="F74" s="46">
        <f>[3]Summary!F73</f>
        <v>0</v>
      </c>
      <c r="G74" s="48">
        <f t="shared" si="1"/>
        <v>0</v>
      </c>
      <c r="H74" s="48" t="s">
        <v>1629</v>
      </c>
      <c r="I74" s="45"/>
    </row>
    <row r="75" spans="1:9" ht="23.25">
      <c r="A75" s="177">
        <v>71</v>
      </c>
      <c r="B75" s="41" t="s">
        <v>268</v>
      </c>
      <c r="C75" s="42" t="s">
        <v>269</v>
      </c>
      <c r="D75" s="178" t="s">
        <v>135</v>
      </c>
      <c r="E75" s="43">
        <f>[3]Summary!E74</f>
        <v>3</v>
      </c>
      <c r="F75" s="179">
        <f>[3]Summary!F74</f>
        <v>3.2800000000000002</v>
      </c>
      <c r="G75" s="44">
        <f t="shared" si="1"/>
        <v>9.84</v>
      </c>
      <c r="H75" s="44" t="s">
        <v>5394</v>
      </c>
      <c r="I75" s="41"/>
    </row>
    <row r="76" spans="1:9" ht="23.25">
      <c r="A76" s="201">
        <v>72</v>
      </c>
      <c r="B76" s="45" t="s">
        <v>270</v>
      </c>
      <c r="C76" s="1" t="s">
        <v>271</v>
      </c>
      <c r="D76" s="46" t="s">
        <v>135</v>
      </c>
      <c r="E76" s="47">
        <f>[3]Summary!E75</f>
        <v>2.5</v>
      </c>
      <c r="F76" s="46">
        <f>[3]Summary!F75</f>
        <v>6</v>
      </c>
      <c r="G76" s="48">
        <f t="shared" si="1"/>
        <v>15</v>
      </c>
      <c r="H76" s="48" t="s">
        <v>5394</v>
      </c>
      <c r="I76" s="45"/>
    </row>
    <row r="77" spans="1:9" ht="42">
      <c r="A77" s="177">
        <v>73</v>
      </c>
      <c r="B77" s="41" t="s">
        <v>272</v>
      </c>
      <c r="C77" s="42" t="s">
        <v>273</v>
      </c>
      <c r="D77" s="178" t="s">
        <v>135</v>
      </c>
      <c r="E77" s="43">
        <f>[3]Summary!E76</f>
        <v>2.0699999999999998</v>
      </c>
      <c r="F77" s="179">
        <f>[3]Summary!F76</f>
        <v>100</v>
      </c>
      <c r="G77" s="44">
        <f t="shared" si="1"/>
        <v>206.99999999999997</v>
      </c>
      <c r="H77" s="44" t="s">
        <v>5390</v>
      </c>
      <c r="I77" s="41"/>
    </row>
    <row r="78" spans="1:9" ht="42">
      <c r="A78" s="201">
        <v>74</v>
      </c>
      <c r="B78" s="45" t="s">
        <v>274</v>
      </c>
      <c r="C78" s="1" t="s">
        <v>275</v>
      </c>
      <c r="D78" s="46" t="s">
        <v>135</v>
      </c>
      <c r="E78" s="47">
        <f>[3]Summary!E77</f>
        <v>5.5</v>
      </c>
      <c r="F78" s="46">
        <f>[3]Summary!F77</f>
        <v>100</v>
      </c>
      <c r="G78" s="48">
        <f t="shared" si="1"/>
        <v>550</v>
      </c>
      <c r="H78" s="48" t="s">
        <v>5390</v>
      </c>
      <c r="I78" s="45"/>
    </row>
    <row r="79" spans="1:9" ht="23.25">
      <c r="A79" s="177">
        <v>75</v>
      </c>
      <c r="B79" s="41" t="s">
        <v>276</v>
      </c>
      <c r="C79" s="42" t="s">
        <v>277</v>
      </c>
      <c r="D79" s="178" t="s">
        <v>180</v>
      </c>
      <c r="E79" s="43">
        <f>[3]Summary!E78</f>
        <v>18</v>
      </c>
      <c r="F79" s="179">
        <f>[3]Summary!F78</f>
        <v>11.9</v>
      </c>
      <c r="G79" s="44">
        <f t="shared" si="1"/>
        <v>214.20000000000002</v>
      </c>
      <c r="H79" s="44" t="s">
        <v>1616</v>
      </c>
      <c r="I79" s="41"/>
    </row>
    <row r="80" spans="1:9" ht="23.25">
      <c r="A80" s="201">
        <v>76</v>
      </c>
      <c r="B80" s="45" t="s">
        <v>278</v>
      </c>
      <c r="C80" s="1" t="s">
        <v>279</v>
      </c>
      <c r="D80" s="46" t="s">
        <v>180</v>
      </c>
      <c r="E80" s="47">
        <f>[3]Summary!E79</f>
        <v>28</v>
      </c>
      <c r="F80" s="46">
        <f>[3]Summary!F79</f>
        <v>23.9</v>
      </c>
      <c r="G80" s="48">
        <f t="shared" si="1"/>
        <v>669.19999999999993</v>
      </c>
      <c r="H80" s="48" t="s">
        <v>1616</v>
      </c>
      <c r="I80" s="45"/>
    </row>
    <row r="81" spans="1:9" ht="23.25">
      <c r="A81" s="177">
        <v>77</v>
      </c>
      <c r="B81" s="41" t="s">
        <v>280</v>
      </c>
      <c r="C81" s="42" t="s">
        <v>281</v>
      </c>
      <c r="D81" s="178" t="s">
        <v>180</v>
      </c>
      <c r="E81" s="43">
        <f>[3]Summary!E80</f>
        <v>50</v>
      </c>
      <c r="F81" s="179">
        <f>[3]Summary!F80</f>
        <v>2</v>
      </c>
      <c r="G81" s="44">
        <f t="shared" si="1"/>
        <v>100</v>
      </c>
      <c r="H81" s="44" t="s">
        <v>1616</v>
      </c>
      <c r="I81" s="41"/>
    </row>
    <row r="82" spans="1:9" ht="23.25">
      <c r="A82" s="201">
        <v>78</v>
      </c>
      <c r="B82" s="45" t="s">
        <v>282</v>
      </c>
      <c r="C82" s="1" t="s">
        <v>283</v>
      </c>
      <c r="D82" s="46" t="s">
        <v>180</v>
      </c>
      <c r="E82" s="47">
        <f>[3]Summary!E81</f>
        <v>60</v>
      </c>
      <c r="F82" s="46">
        <f>[3]Summary!F81</f>
        <v>2</v>
      </c>
      <c r="G82" s="48">
        <f t="shared" si="1"/>
        <v>120</v>
      </c>
      <c r="H82" s="48" t="s">
        <v>1616</v>
      </c>
      <c r="I82" s="45"/>
    </row>
    <row r="83" spans="1:9" ht="23.25">
      <c r="A83" s="177">
        <v>79</v>
      </c>
      <c r="B83" s="41" t="s">
        <v>284</v>
      </c>
      <c r="C83" s="42" t="s">
        <v>285</v>
      </c>
      <c r="D83" s="178" t="s">
        <v>135</v>
      </c>
      <c r="E83" s="43">
        <f>[3]Summary!E82</f>
        <v>33</v>
      </c>
      <c r="F83" s="179">
        <f>[3]Summary!F82</f>
        <v>11</v>
      </c>
      <c r="G83" s="44">
        <f t="shared" si="1"/>
        <v>363</v>
      </c>
      <c r="H83" s="44" t="s">
        <v>1612</v>
      </c>
      <c r="I83" s="41"/>
    </row>
    <row r="84" spans="1:9" ht="23.25">
      <c r="A84" s="201">
        <v>80</v>
      </c>
      <c r="B84" s="45" t="s">
        <v>286</v>
      </c>
      <c r="C84" s="1" t="s">
        <v>287</v>
      </c>
      <c r="D84" s="46" t="s">
        <v>185</v>
      </c>
      <c r="E84" s="47">
        <f>[3]Summary!E83</f>
        <v>0.9</v>
      </c>
      <c r="F84" s="46">
        <f>[3]Summary!F83</f>
        <v>87</v>
      </c>
      <c r="G84" s="48">
        <f t="shared" si="1"/>
        <v>78.3</v>
      </c>
      <c r="H84" s="48" t="s">
        <v>5392</v>
      </c>
      <c r="I84" s="45"/>
    </row>
    <row r="85" spans="1:9" ht="23.25">
      <c r="A85" s="177">
        <v>81</v>
      </c>
      <c r="B85" s="41" t="s">
        <v>288</v>
      </c>
      <c r="C85" s="42" t="s">
        <v>289</v>
      </c>
      <c r="D85" s="178" t="s">
        <v>180</v>
      </c>
      <c r="E85" s="43">
        <f>[3]Summary!E84</f>
        <v>15</v>
      </c>
      <c r="F85" s="179">
        <f>[3]Summary!F84</f>
        <v>30.800000000000004</v>
      </c>
      <c r="G85" s="44">
        <f t="shared" si="1"/>
        <v>462.00000000000006</v>
      </c>
      <c r="H85" s="44" t="s">
        <v>1616</v>
      </c>
      <c r="I85" s="41"/>
    </row>
    <row r="86" spans="1:9" ht="23.25">
      <c r="A86" s="201">
        <v>82</v>
      </c>
      <c r="B86" s="45" t="s">
        <v>5774</v>
      </c>
      <c r="C86" s="1" t="s">
        <v>290</v>
      </c>
      <c r="D86" s="46" t="s">
        <v>180</v>
      </c>
      <c r="E86" s="47">
        <f>[3]Summary!E85</f>
        <v>25</v>
      </c>
      <c r="F86" s="46">
        <f>[3]Summary!F85</f>
        <v>0</v>
      </c>
      <c r="G86" s="48">
        <f t="shared" si="1"/>
        <v>0</v>
      </c>
      <c r="H86" s="48" t="s">
        <v>1616</v>
      </c>
      <c r="I86" s="45"/>
    </row>
    <row r="87" spans="1:9" ht="23.25">
      <c r="A87" s="177">
        <v>83</v>
      </c>
      <c r="B87" s="41" t="s">
        <v>291</v>
      </c>
      <c r="C87" s="42" t="s">
        <v>292</v>
      </c>
      <c r="D87" s="178" t="s">
        <v>180</v>
      </c>
      <c r="E87" s="43">
        <f>[3]Summary!E86</f>
        <v>35</v>
      </c>
      <c r="F87" s="179">
        <f>[3]Summary!F86</f>
        <v>0</v>
      </c>
      <c r="G87" s="44">
        <f t="shared" si="1"/>
        <v>0</v>
      </c>
      <c r="H87" s="44" t="s">
        <v>1616</v>
      </c>
      <c r="I87" s="41"/>
    </row>
    <row r="88" spans="1:9" ht="23.25">
      <c r="A88" s="201">
        <v>84</v>
      </c>
      <c r="B88" s="45" t="s">
        <v>293</v>
      </c>
      <c r="C88" s="1" t="s">
        <v>294</v>
      </c>
      <c r="D88" s="46" t="s">
        <v>180</v>
      </c>
      <c r="E88" s="47">
        <f>[3]Summary!E87</f>
        <v>50</v>
      </c>
      <c r="F88" s="46">
        <f>[3]Summary!F87</f>
        <v>6.7199999999999989</v>
      </c>
      <c r="G88" s="48">
        <f t="shared" si="1"/>
        <v>335.99999999999994</v>
      </c>
      <c r="H88" s="48" t="s">
        <v>1616</v>
      </c>
      <c r="I88" s="45"/>
    </row>
    <row r="89" spans="1:9" ht="23.25">
      <c r="A89" s="177">
        <v>85</v>
      </c>
      <c r="B89" s="41" t="s">
        <v>295</v>
      </c>
      <c r="C89" s="42" t="s">
        <v>296</v>
      </c>
      <c r="D89" s="178" t="s">
        <v>180</v>
      </c>
      <c r="E89" s="43">
        <f>[3]Summary!E88</f>
        <v>60</v>
      </c>
      <c r="F89" s="179">
        <f>[3]Summary!F88</f>
        <v>7</v>
      </c>
      <c r="G89" s="44">
        <f t="shared" si="1"/>
        <v>420</v>
      </c>
      <c r="H89" s="44" t="s">
        <v>1616</v>
      </c>
      <c r="I89" s="41"/>
    </row>
    <row r="90" spans="1:9" ht="23.25">
      <c r="A90" s="201">
        <v>86</v>
      </c>
      <c r="B90" s="45" t="s">
        <v>297</v>
      </c>
      <c r="C90" s="1" t="s">
        <v>298</v>
      </c>
      <c r="D90" s="46" t="s">
        <v>135</v>
      </c>
      <c r="E90" s="47">
        <f>[3]Summary!E89</f>
        <v>10</v>
      </c>
      <c r="F90" s="46">
        <f>[3]Summary!F89</f>
        <v>0</v>
      </c>
      <c r="G90" s="48">
        <f t="shared" si="1"/>
        <v>0</v>
      </c>
      <c r="H90" s="48" t="s">
        <v>1636</v>
      </c>
      <c r="I90" s="45"/>
    </row>
    <row r="91" spans="1:9" ht="23.25">
      <c r="A91" s="177">
        <v>87</v>
      </c>
      <c r="B91" s="41" t="s">
        <v>299</v>
      </c>
      <c r="C91" s="42" t="s">
        <v>300</v>
      </c>
      <c r="D91" s="178" t="s">
        <v>135</v>
      </c>
      <c r="E91" s="43">
        <f>[3]Summary!E90</f>
        <v>1.7</v>
      </c>
      <c r="F91" s="179">
        <f>[3]Summary!F90</f>
        <v>1</v>
      </c>
      <c r="G91" s="44">
        <f t="shared" si="1"/>
        <v>1.7</v>
      </c>
      <c r="H91" s="44" t="s">
        <v>1606</v>
      </c>
      <c r="I91" s="41"/>
    </row>
    <row r="92" spans="1:9" ht="46.5">
      <c r="A92" s="201">
        <v>88</v>
      </c>
      <c r="B92" s="45" t="s">
        <v>301</v>
      </c>
      <c r="C92" s="1" t="s">
        <v>302</v>
      </c>
      <c r="D92" s="46" t="s">
        <v>135</v>
      </c>
      <c r="E92" s="47">
        <f>[3]Summary!E91</f>
        <v>25</v>
      </c>
      <c r="F92" s="46">
        <f>[3]Summary!F91</f>
        <v>0</v>
      </c>
      <c r="G92" s="48">
        <f t="shared" si="1"/>
        <v>0</v>
      </c>
      <c r="H92" s="48" t="s">
        <v>5395</v>
      </c>
      <c r="I92" s="45"/>
    </row>
    <row r="93" spans="1:9" ht="46.5">
      <c r="A93" s="177">
        <v>89</v>
      </c>
      <c r="B93" s="41" t="s">
        <v>303</v>
      </c>
      <c r="C93" s="42" t="s">
        <v>304</v>
      </c>
      <c r="D93" s="178" t="s">
        <v>135</v>
      </c>
      <c r="E93" s="43">
        <f>[3]Summary!E92</f>
        <v>1</v>
      </c>
      <c r="F93" s="179">
        <f>[3]Summary!F92</f>
        <v>0</v>
      </c>
      <c r="G93" s="44">
        <f t="shared" si="1"/>
        <v>0</v>
      </c>
      <c r="H93" s="44" t="s">
        <v>5395</v>
      </c>
      <c r="I93" s="41"/>
    </row>
    <row r="94" spans="1:9" ht="42">
      <c r="A94" s="201">
        <v>90</v>
      </c>
      <c r="B94" s="45" t="s">
        <v>305</v>
      </c>
      <c r="C94" s="1" t="s">
        <v>306</v>
      </c>
      <c r="D94" s="46" t="s">
        <v>135</v>
      </c>
      <c r="E94" s="47">
        <f>[3]Summary!E93</f>
        <v>0.6</v>
      </c>
      <c r="F94" s="46">
        <f>[3]Summary!F93</f>
        <v>258</v>
      </c>
      <c r="G94" s="48">
        <f t="shared" si="1"/>
        <v>154.79999999999998</v>
      </c>
      <c r="H94" s="48" t="s">
        <v>5395</v>
      </c>
      <c r="I94" s="45"/>
    </row>
    <row r="95" spans="1:9" ht="23.25">
      <c r="A95" s="177">
        <v>91</v>
      </c>
      <c r="B95" s="41" t="s">
        <v>307</v>
      </c>
      <c r="C95" s="42" t="s">
        <v>308</v>
      </c>
      <c r="D95" s="178" t="s">
        <v>135</v>
      </c>
      <c r="E95" s="43">
        <f>[3]Summary!E94</f>
        <v>25</v>
      </c>
      <c r="F95" s="179">
        <f>[3]Summary!F94</f>
        <v>0</v>
      </c>
      <c r="G95" s="44">
        <f t="shared" si="1"/>
        <v>0</v>
      </c>
      <c r="H95" s="44" t="s">
        <v>5390</v>
      </c>
      <c r="I95" s="41"/>
    </row>
    <row r="96" spans="1:9" ht="46.5">
      <c r="A96" s="201">
        <v>92</v>
      </c>
      <c r="B96" s="45" t="s">
        <v>309</v>
      </c>
      <c r="C96" s="1" t="s">
        <v>310</v>
      </c>
      <c r="D96" s="46" t="s">
        <v>135</v>
      </c>
      <c r="E96" s="47">
        <f>[3]Summary!E95</f>
        <v>1.25</v>
      </c>
      <c r="F96" s="46">
        <f>[3]Summary!F95</f>
        <v>76</v>
      </c>
      <c r="G96" s="48">
        <f t="shared" si="1"/>
        <v>95</v>
      </c>
      <c r="H96" s="48" t="s">
        <v>1606</v>
      </c>
      <c r="I96" s="45"/>
    </row>
    <row r="97" spans="1:9" ht="46.5">
      <c r="A97" s="177">
        <v>93</v>
      </c>
      <c r="B97" s="41" t="s">
        <v>311</v>
      </c>
      <c r="C97" s="42" t="s">
        <v>312</v>
      </c>
      <c r="D97" s="178" t="s">
        <v>135</v>
      </c>
      <c r="E97" s="43">
        <f>[3]Summary!E96</f>
        <v>3</v>
      </c>
      <c r="F97" s="179">
        <f>[3]Summary!F96</f>
        <v>31</v>
      </c>
      <c r="G97" s="44">
        <f t="shared" si="1"/>
        <v>93</v>
      </c>
      <c r="H97" s="44" t="s">
        <v>1606</v>
      </c>
      <c r="I97" s="41"/>
    </row>
    <row r="98" spans="1:9" ht="23.25">
      <c r="A98" s="201">
        <v>94</v>
      </c>
      <c r="B98" s="45" t="s">
        <v>313</v>
      </c>
      <c r="C98" s="1" t="s">
        <v>314</v>
      </c>
      <c r="D98" s="46" t="s">
        <v>135</v>
      </c>
      <c r="E98" s="47">
        <f>[3]Summary!E97</f>
        <v>4.9000000000000004</v>
      </c>
      <c r="F98" s="46">
        <f>[3]Summary!F97</f>
        <v>0</v>
      </c>
      <c r="G98" s="48">
        <f t="shared" si="1"/>
        <v>0</v>
      </c>
      <c r="H98" s="48" t="s">
        <v>5394</v>
      </c>
      <c r="I98" s="45"/>
    </row>
    <row r="99" spans="1:9" ht="46.5">
      <c r="A99" s="177">
        <v>95</v>
      </c>
      <c r="B99" s="41" t="s">
        <v>315</v>
      </c>
      <c r="C99" s="42" t="s">
        <v>316</v>
      </c>
      <c r="D99" s="178" t="s">
        <v>135</v>
      </c>
      <c r="E99" s="43">
        <f>[3]Summary!E98</f>
        <v>15</v>
      </c>
      <c r="F99" s="179">
        <f>[3]Summary!F98</f>
        <v>31</v>
      </c>
      <c r="G99" s="44">
        <f t="shared" si="1"/>
        <v>465</v>
      </c>
      <c r="H99" s="44" t="s">
        <v>1612</v>
      </c>
      <c r="I99" s="41"/>
    </row>
    <row r="100" spans="1:9" ht="23.25">
      <c r="A100" s="201">
        <v>96</v>
      </c>
      <c r="B100" s="45" t="s">
        <v>317</v>
      </c>
      <c r="C100" s="1" t="s">
        <v>318</v>
      </c>
      <c r="D100" s="46" t="s">
        <v>135</v>
      </c>
      <c r="E100" s="47">
        <f>[3]Summary!E99</f>
        <v>2.5</v>
      </c>
      <c r="F100" s="46">
        <f>[3]Summary!F99</f>
        <v>0</v>
      </c>
      <c r="G100" s="48">
        <f t="shared" si="1"/>
        <v>0</v>
      </c>
      <c r="H100" s="48" t="s">
        <v>1612</v>
      </c>
      <c r="I100" s="45"/>
    </row>
    <row r="101" spans="1:9" ht="23.25">
      <c r="A101" s="177">
        <v>97</v>
      </c>
      <c r="B101" s="41" t="s">
        <v>5775</v>
      </c>
      <c r="C101" s="42" t="s">
        <v>319</v>
      </c>
      <c r="D101" s="178" t="s">
        <v>135</v>
      </c>
      <c r="E101" s="43">
        <f>[3]Summary!E100</f>
        <v>5</v>
      </c>
      <c r="F101" s="179">
        <f>[3]Summary!F100</f>
        <v>0</v>
      </c>
      <c r="G101" s="44">
        <f t="shared" si="1"/>
        <v>0</v>
      </c>
      <c r="H101" s="44" t="s">
        <v>1612</v>
      </c>
      <c r="I101" s="41"/>
    </row>
    <row r="102" spans="1:9" ht="46.5">
      <c r="A102" s="201">
        <v>98</v>
      </c>
      <c r="B102" s="45" t="s">
        <v>320</v>
      </c>
      <c r="C102" s="1" t="s">
        <v>321</v>
      </c>
      <c r="D102" s="46" t="s">
        <v>135</v>
      </c>
      <c r="E102" s="47">
        <f>[3]Summary!E101</f>
        <v>150</v>
      </c>
      <c r="F102" s="46">
        <f>[3]Summary!F101</f>
        <v>0</v>
      </c>
      <c r="G102" s="48">
        <f t="shared" si="1"/>
        <v>0</v>
      </c>
      <c r="H102" s="48" t="s">
        <v>1612</v>
      </c>
      <c r="I102" s="45"/>
    </row>
    <row r="103" spans="1:9" ht="23.25">
      <c r="A103" s="177">
        <v>99</v>
      </c>
      <c r="B103" s="41" t="s">
        <v>322</v>
      </c>
      <c r="C103" s="42" t="s">
        <v>323</v>
      </c>
      <c r="D103" s="178" t="s">
        <v>135</v>
      </c>
      <c r="E103" s="43">
        <f>[3]Summary!E102</f>
        <v>4.9000000000000004</v>
      </c>
      <c r="F103" s="179">
        <f>[3]Summary!F102</f>
        <v>0</v>
      </c>
      <c r="G103" s="44">
        <f t="shared" si="1"/>
        <v>0</v>
      </c>
      <c r="H103" s="44" t="s">
        <v>5394</v>
      </c>
      <c r="I103" s="41"/>
    </row>
    <row r="104" spans="1:9" ht="23.25">
      <c r="A104" s="201">
        <v>100</v>
      </c>
      <c r="B104" s="45" t="s">
        <v>324</v>
      </c>
      <c r="C104" s="1" t="s">
        <v>325</v>
      </c>
      <c r="D104" s="46" t="s">
        <v>135</v>
      </c>
      <c r="E104" s="47">
        <f>[3]Summary!E103</f>
        <v>10</v>
      </c>
      <c r="F104" s="46">
        <f>[3]Summary!F103</f>
        <v>34</v>
      </c>
      <c r="G104" s="48">
        <f t="shared" si="1"/>
        <v>340</v>
      </c>
      <c r="H104" s="48" t="s">
        <v>5392</v>
      </c>
      <c r="I104" s="45"/>
    </row>
    <row r="105" spans="1:9" ht="42">
      <c r="A105" s="177">
        <v>101</v>
      </c>
      <c r="B105" s="41" t="s">
        <v>326</v>
      </c>
      <c r="C105" s="42" t="s">
        <v>327</v>
      </c>
      <c r="D105" s="178" t="s">
        <v>135</v>
      </c>
      <c r="E105" s="43">
        <f>[3]Summary!E104</f>
        <v>165</v>
      </c>
      <c r="F105" s="179">
        <f>[3]Summary!F104</f>
        <v>0</v>
      </c>
      <c r="G105" s="44">
        <f t="shared" si="1"/>
        <v>0</v>
      </c>
      <c r="H105" s="44" t="s">
        <v>5392</v>
      </c>
      <c r="I105" s="41"/>
    </row>
    <row r="106" spans="1:9" ht="23.25">
      <c r="A106" s="201">
        <v>102</v>
      </c>
      <c r="B106" s="45" t="s">
        <v>328</v>
      </c>
      <c r="C106" s="1" t="s">
        <v>329</v>
      </c>
      <c r="D106" s="46" t="s">
        <v>135</v>
      </c>
      <c r="E106" s="47">
        <f>[3]Summary!E105</f>
        <v>0.45</v>
      </c>
      <c r="F106" s="46">
        <f>[3]Summary!F105</f>
        <v>429</v>
      </c>
      <c r="G106" s="48">
        <f t="shared" si="1"/>
        <v>193.05</v>
      </c>
      <c r="H106" s="48" t="s">
        <v>5392</v>
      </c>
      <c r="I106" s="45"/>
    </row>
    <row r="107" spans="1:9" ht="46.5">
      <c r="A107" s="177">
        <v>103</v>
      </c>
      <c r="B107" s="41" t="s">
        <v>330</v>
      </c>
      <c r="C107" s="42" t="s">
        <v>331</v>
      </c>
      <c r="D107" s="178" t="s">
        <v>332</v>
      </c>
      <c r="E107" s="43">
        <f>[3]Summary!E106</f>
        <v>5</v>
      </c>
      <c r="F107" s="179">
        <f>[3]Summary!F106</f>
        <v>0</v>
      </c>
      <c r="G107" s="44">
        <f t="shared" si="1"/>
        <v>0</v>
      </c>
      <c r="H107" s="44" t="s">
        <v>5389</v>
      </c>
      <c r="I107" s="41"/>
    </row>
    <row r="108" spans="1:9" ht="46.5">
      <c r="A108" s="201">
        <v>104</v>
      </c>
      <c r="B108" s="45" t="s">
        <v>333</v>
      </c>
      <c r="C108" s="1" t="s">
        <v>334</v>
      </c>
      <c r="D108" s="46" t="s">
        <v>332</v>
      </c>
      <c r="E108" s="47">
        <f>[3]Summary!E107</f>
        <v>11</v>
      </c>
      <c r="F108" s="46">
        <f>[3]Summary!F107</f>
        <v>29</v>
      </c>
      <c r="G108" s="48">
        <f t="shared" si="1"/>
        <v>319</v>
      </c>
      <c r="H108" s="48" t="s">
        <v>5389</v>
      </c>
      <c r="I108" s="45"/>
    </row>
    <row r="109" spans="1:9" ht="46.5">
      <c r="A109" s="177">
        <v>105</v>
      </c>
      <c r="B109" s="41" t="s">
        <v>335</v>
      </c>
      <c r="C109" s="42" t="s">
        <v>336</v>
      </c>
      <c r="D109" s="178" t="s">
        <v>332</v>
      </c>
      <c r="E109" s="43">
        <f>[3]Summary!E108</f>
        <v>1</v>
      </c>
      <c r="F109" s="179">
        <f>[3]Summary!F108</f>
        <v>31.249999999999993</v>
      </c>
      <c r="G109" s="44">
        <f t="shared" si="1"/>
        <v>31.249999999999993</v>
      </c>
      <c r="H109" s="44" t="s">
        <v>5389</v>
      </c>
      <c r="I109" s="41"/>
    </row>
    <row r="110" spans="1:9" ht="46.5">
      <c r="A110" s="201">
        <v>106</v>
      </c>
      <c r="B110" s="45" t="s">
        <v>337</v>
      </c>
      <c r="C110" s="1" t="s">
        <v>338</v>
      </c>
      <c r="D110" s="46" t="s">
        <v>332</v>
      </c>
      <c r="E110" s="47">
        <f>[3]Summary!E109</f>
        <v>4.5</v>
      </c>
      <c r="F110" s="46">
        <f>[3]Summary!F109</f>
        <v>17.539999999999992</v>
      </c>
      <c r="G110" s="48">
        <f t="shared" si="1"/>
        <v>78.929999999999964</v>
      </c>
      <c r="H110" s="48" t="s">
        <v>5389</v>
      </c>
      <c r="I110" s="45"/>
    </row>
    <row r="111" spans="1:9" ht="46.5">
      <c r="A111" s="177">
        <v>107</v>
      </c>
      <c r="B111" s="41" t="s">
        <v>339</v>
      </c>
      <c r="C111" s="42" t="s">
        <v>340</v>
      </c>
      <c r="D111" s="178" t="s">
        <v>332</v>
      </c>
      <c r="E111" s="43">
        <f>[3]Summary!E110</f>
        <v>1</v>
      </c>
      <c r="F111" s="179">
        <f>[3]Summary!F110</f>
        <v>83.45</v>
      </c>
      <c r="G111" s="44">
        <f t="shared" si="1"/>
        <v>83.45</v>
      </c>
      <c r="H111" s="44" t="s">
        <v>5389</v>
      </c>
      <c r="I111" s="41"/>
    </row>
    <row r="112" spans="1:9" ht="46.5">
      <c r="A112" s="201">
        <v>108</v>
      </c>
      <c r="B112" s="45" t="s">
        <v>341</v>
      </c>
      <c r="C112" s="1" t="s">
        <v>342</v>
      </c>
      <c r="D112" s="46" t="s">
        <v>332</v>
      </c>
      <c r="E112" s="47">
        <f>[3]Summary!E111</f>
        <v>10</v>
      </c>
      <c r="F112" s="46">
        <f>[3]Summary!F111</f>
        <v>99.5</v>
      </c>
      <c r="G112" s="48">
        <f t="shared" si="1"/>
        <v>995</v>
      </c>
      <c r="H112" s="48" t="s">
        <v>5389</v>
      </c>
      <c r="I112" s="45"/>
    </row>
    <row r="113" spans="1:9" ht="23.25">
      <c r="A113" s="177">
        <v>109</v>
      </c>
      <c r="B113" s="41" t="s">
        <v>343</v>
      </c>
      <c r="C113" s="42" t="s">
        <v>344</v>
      </c>
      <c r="D113" s="178" t="s">
        <v>185</v>
      </c>
      <c r="E113" s="43">
        <f>[3]Summary!E112</f>
        <v>28.5</v>
      </c>
      <c r="F113" s="179">
        <f>[3]Summary!F112</f>
        <v>0</v>
      </c>
      <c r="G113" s="44">
        <f t="shared" si="1"/>
        <v>0</v>
      </c>
      <c r="H113" s="44" t="s">
        <v>1617</v>
      </c>
      <c r="I113" s="41"/>
    </row>
    <row r="114" spans="1:9" ht="23.25">
      <c r="A114" s="201">
        <v>110</v>
      </c>
      <c r="B114" s="45" t="s">
        <v>345</v>
      </c>
      <c r="C114" s="1" t="s">
        <v>346</v>
      </c>
      <c r="D114" s="46" t="s">
        <v>185</v>
      </c>
      <c r="E114" s="47">
        <f>[3]Summary!E113</f>
        <v>5.75</v>
      </c>
      <c r="F114" s="46">
        <f>[3]Summary!F113</f>
        <v>0</v>
      </c>
      <c r="G114" s="48">
        <f t="shared" si="1"/>
        <v>0</v>
      </c>
      <c r="H114" s="48" t="s">
        <v>1617</v>
      </c>
      <c r="I114" s="45"/>
    </row>
    <row r="115" spans="1:9" ht="23.25">
      <c r="A115" s="177">
        <v>111</v>
      </c>
      <c r="B115" s="41" t="s">
        <v>347</v>
      </c>
      <c r="C115" s="42" t="s">
        <v>348</v>
      </c>
      <c r="D115" s="178" t="s">
        <v>185</v>
      </c>
      <c r="E115" s="43">
        <f>[3]Summary!E114</f>
        <v>2.15</v>
      </c>
      <c r="F115" s="179">
        <f>[3]Summary!F114</f>
        <v>13</v>
      </c>
      <c r="G115" s="44">
        <f t="shared" si="1"/>
        <v>27.95</v>
      </c>
      <c r="H115" s="44" t="s">
        <v>1617</v>
      </c>
      <c r="I115" s="41"/>
    </row>
    <row r="116" spans="1:9" ht="23.25">
      <c r="A116" s="201">
        <v>112</v>
      </c>
      <c r="B116" s="45" t="s">
        <v>349</v>
      </c>
      <c r="C116" s="1" t="s">
        <v>350</v>
      </c>
      <c r="D116" s="46" t="s">
        <v>185</v>
      </c>
      <c r="E116" s="47">
        <f>[3]Summary!E115</f>
        <v>4</v>
      </c>
      <c r="F116" s="46">
        <f>[3]Summary!F115</f>
        <v>0</v>
      </c>
      <c r="G116" s="48">
        <f t="shared" si="1"/>
        <v>0</v>
      </c>
      <c r="H116" s="48" t="s">
        <v>1617</v>
      </c>
      <c r="I116" s="45"/>
    </row>
    <row r="117" spans="1:9" ht="23.25">
      <c r="A117" s="177">
        <v>113</v>
      </c>
      <c r="B117" s="41" t="s">
        <v>351</v>
      </c>
      <c r="C117" s="42" t="s">
        <v>352</v>
      </c>
      <c r="D117" s="178" t="s">
        <v>185</v>
      </c>
      <c r="E117" s="43">
        <f>[3]Summary!E116</f>
        <v>57</v>
      </c>
      <c r="F117" s="179">
        <f>[3]Summary!F116</f>
        <v>0</v>
      </c>
      <c r="G117" s="44">
        <f t="shared" si="1"/>
        <v>0</v>
      </c>
      <c r="H117" s="44" t="s">
        <v>1617</v>
      </c>
      <c r="I117" s="41"/>
    </row>
    <row r="118" spans="1:9" ht="23.25">
      <c r="A118" s="201">
        <v>114</v>
      </c>
      <c r="B118" s="45" t="s">
        <v>353</v>
      </c>
      <c r="C118" s="1" t="s">
        <v>354</v>
      </c>
      <c r="D118" s="46" t="s">
        <v>185</v>
      </c>
      <c r="E118" s="47">
        <f>[3]Summary!E117</f>
        <v>113</v>
      </c>
      <c r="F118" s="46">
        <f>[3]Summary!F117</f>
        <v>0</v>
      </c>
      <c r="G118" s="48">
        <f t="shared" si="1"/>
        <v>0</v>
      </c>
      <c r="H118" s="48" t="s">
        <v>1617</v>
      </c>
      <c r="I118" s="45"/>
    </row>
    <row r="119" spans="1:9" ht="23.25">
      <c r="A119" s="177">
        <v>115</v>
      </c>
      <c r="B119" s="41" t="s">
        <v>355</v>
      </c>
      <c r="C119" s="42" t="s">
        <v>356</v>
      </c>
      <c r="D119" s="178" t="s">
        <v>185</v>
      </c>
      <c r="E119" s="43">
        <f>[3]Summary!E118</f>
        <v>33</v>
      </c>
      <c r="F119" s="179">
        <f>[3]Summary!F118</f>
        <v>0</v>
      </c>
      <c r="G119" s="44">
        <f t="shared" si="1"/>
        <v>0</v>
      </c>
      <c r="H119" s="44" t="s">
        <v>1617</v>
      </c>
      <c r="I119" s="41"/>
    </row>
    <row r="120" spans="1:9" ht="23.25">
      <c r="A120" s="201">
        <v>116</v>
      </c>
      <c r="B120" s="45" t="s">
        <v>357</v>
      </c>
      <c r="C120" s="1" t="s">
        <v>358</v>
      </c>
      <c r="D120" s="46" t="s">
        <v>185</v>
      </c>
      <c r="E120" s="47">
        <f>[3]Summary!E119</f>
        <v>74</v>
      </c>
      <c r="F120" s="46">
        <f>[3]Summary!F119</f>
        <v>0</v>
      </c>
      <c r="G120" s="48">
        <f t="shared" si="1"/>
        <v>0</v>
      </c>
      <c r="H120" s="48" t="s">
        <v>1617</v>
      </c>
      <c r="I120" s="45"/>
    </row>
    <row r="121" spans="1:9" ht="23.25">
      <c r="A121" s="177">
        <v>117</v>
      </c>
      <c r="B121" s="41" t="s">
        <v>359</v>
      </c>
      <c r="C121" s="42" t="s">
        <v>360</v>
      </c>
      <c r="D121" s="178" t="s">
        <v>185</v>
      </c>
      <c r="E121" s="43">
        <f>[3]Summary!E120</f>
        <v>12.5</v>
      </c>
      <c r="F121" s="179">
        <f>[3]Summary!F120</f>
        <v>0</v>
      </c>
      <c r="G121" s="44">
        <f t="shared" si="1"/>
        <v>0</v>
      </c>
      <c r="H121" s="44" t="s">
        <v>1617</v>
      </c>
      <c r="I121" s="41"/>
    </row>
    <row r="122" spans="1:9" ht="23.25">
      <c r="A122" s="201">
        <v>118</v>
      </c>
      <c r="B122" s="45" t="s">
        <v>361</v>
      </c>
      <c r="C122" s="1" t="s">
        <v>362</v>
      </c>
      <c r="D122" s="46" t="s">
        <v>185</v>
      </c>
      <c r="E122" s="47">
        <f>[3]Summary!E121</f>
        <v>2.15</v>
      </c>
      <c r="F122" s="46">
        <f>[3]Summary!F121</f>
        <v>0</v>
      </c>
      <c r="G122" s="48">
        <f t="shared" si="1"/>
        <v>0</v>
      </c>
      <c r="H122" s="48" t="s">
        <v>1617</v>
      </c>
      <c r="I122" s="45"/>
    </row>
    <row r="123" spans="1:9" ht="23.25">
      <c r="A123" s="177">
        <v>119</v>
      </c>
      <c r="B123" s="41" t="s">
        <v>363</v>
      </c>
      <c r="C123" s="42" t="s">
        <v>364</v>
      </c>
      <c r="D123" s="178" t="s">
        <v>185</v>
      </c>
      <c r="E123" s="43">
        <f>[3]Summary!E122</f>
        <v>15</v>
      </c>
      <c r="F123" s="179">
        <f>[3]Summary!F122</f>
        <v>0</v>
      </c>
      <c r="G123" s="44">
        <f t="shared" si="1"/>
        <v>0</v>
      </c>
      <c r="H123" s="44" t="s">
        <v>5396</v>
      </c>
      <c r="I123" s="41"/>
    </row>
    <row r="124" spans="1:9" ht="46.5">
      <c r="A124" s="201">
        <v>120</v>
      </c>
      <c r="B124" s="45" t="s">
        <v>365</v>
      </c>
      <c r="C124" s="1" t="s">
        <v>366</v>
      </c>
      <c r="D124" s="46" t="s">
        <v>135</v>
      </c>
      <c r="E124" s="47">
        <f>[3]Summary!E123</f>
        <v>3</v>
      </c>
      <c r="F124" s="46">
        <f>[3]Summary!F123</f>
        <v>8</v>
      </c>
      <c r="G124" s="48">
        <f t="shared" si="1"/>
        <v>24</v>
      </c>
      <c r="H124" s="48" t="s">
        <v>5389</v>
      </c>
      <c r="I124" s="45"/>
    </row>
    <row r="125" spans="1:9" ht="23.25">
      <c r="A125" s="177">
        <v>121</v>
      </c>
      <c r="B125" s="41" t="s">
        <v>367</v>
      </c>
      <c r="C125" s="42" t="s">
        <v>368</v>
      </c>
      <c r="D125" s="178" t="s">
        <v>135</v>
      </c>
      <c r="E125" s="43">
        <f>[3]Summary!E124</f>
        <v>963</v>
      </c>
      <c r="F125" s="179">
        <f>[3]Summary!F124</f>
        <v>0</v>
      </c>
      <c r="G125" s="44">
        <f t="shared" si="1"/>
        <v>0</v>
      </c>
      <c r="H125" s="44" t="s">
        <v>5390</v>
      </c>
      <c r="I125" s="41"/>
    </row>
    <row r="126" spans="1:9" ht="46.5">
      <c r="A126" s="201">
        <v>122</v>
      </c>
      <c r="B126" s="45" t="s">
        <v>369</v>
      </c>
      <c r="C126" s="1" t="s">
        <v>370</v>
      </c>
      <c r="D126" s="46" t="s">
        <v>135</v>
      </c>
      <c r="E126" s="47">
        <f>[3]Summary!E125</f>
        <v>8</v>
      </c>
      <c r="F126" s="46">
        <f>[3]Summary!F125</f>
        <v>0</v>
      </c>
      <c r="G126" s="48">
        <f t="shared" si="1"/>
        <v>0</v>
      </c>
      <c r="H126" s="48" t="s">
        <v>5389</v>
      </c>
      <c r="I126" s="45"/>
    </row>
    <row r="127" spans="1:9" ht="46.5">
      <c r="A127" s="177">
        <v>123</v>
      </c>
      <c r="B127" s="41" t="s">
        <v>371</v>
      </c>
      <c r="C127" s="42" t="s">
        <v>372</v>
      </c>
      <c r="D127" s="178" t="s">
        <v>135</v>
      </c>
      <c r="E127" s="43">
        <f>[3]Summary!E126</f>
        <v>54</v>
      </c>
      <c r="F127" s="179">
        <f>[3]Summary!F126</f>
        <v>0</v>
      </c>
      <c r="G127" s="44">
        <f t="shared" si="1"/>
        <v>0</v>
      </c>
      <c r="H127" s="44" t="s">
        <v>5389</v>
      </c>
      <c r="I127" s="41"/>
    </row>
    <row r="128" spans="1:9" ht="46.5">
      <c r="A128" s="201">
        <v>124</v>
      </c>
      <c r="B128" s="45" t="s">
        <v>373</v>
      </c>
      <c r="C128" s="1" t="s">
        <v>374</v>
      </c>
      <c r="D128" s="46" t="s">
        <v>135</v>
      </c>
      <c r="E128" s="47">
        <f>[3]Summary!E127</f>
        <v>18</v>
      </c>
      <c r="F128" s="46">
        <f>[3]Summary!F127</f>
        <v>0</v>
      </c>
      <c r="G128" s="48">
        <f t="shared" si="1"/>
        <v>0</v>
      </c>
      <c r="H128" s="48" t="s">
        <v>5389</v>
      </c>
      <c r="I128" s="45"/>
    </row>
    <row r="129" spans="1:9" ht="42">
      <c r="A129" s="177">
        <v>125</v>
      </c>
      <c r="B129" s="41" t="s">
        <v>375</v>
      </c>
      <c r="C129" s="42" t="s">
        <v>376</v>
      </c>
      <c r="D129" s="178" t="s">
        <v>135</v>
      </c>
      <c r="E129" s="43">
        <f>[3]Summary!E128</f>
        <v>12</v>
      </c>
      <c r="F129" s="179">
        <f>[3]Summary!F128</f>
        <v>0</v>
      </c>
      <c r="G129" s="44">
        <f t="shared" si="1"/>
        <v>0</v>
      </c>
      <c r="H129" s="44" t="s">
        <v>1606</v>
      </c>
      <c r="I129" s="41"/>
    </row>
    <row r="130" spans="1:9" ht="42">
      <c r="A130" s="201">
        <v>126</v>
      </c>
      <c r="B130" s="45" t="s">
        <v>377</v>
      </c>
      <c r="C130" s="1" t="s">
        <v>378</v>
      </c>
      <c r="D130" s="46" t="s">
        <v>135</v>
      </c>
      <c r="E130" s="47">
        <f>[3]Summary!E129</f>
        <v>10</v>
      </c>
      <c r="F130" s="46">
        <f>[3]Summary!F129</f>
        <v>0</v>
      </c>
      <c r="G130" s="48">
        <f t="shared" si="1"/>
        <v>0</v>
      </c>
      <c r="H130" s="48" t="s">
        <v>1606</v>
      </c>
      <c r="I130" s="45"/>
    </row>
    <row r="131" spans="1:9" ht="23.25">
      <c r="A131" s="177">
        <v>127</v>
      </c>
      <c r="B131" s="41" t="s">
        <v>379</v>
      </c>
      <c r="C131" s="42" t="s">
        <v>380</v>
      </c>
      <c r="D131" s="178" t="s">
        <v>135</v>
      </c>
      <c r="E131" s="43">
        <f>[3]Summary!E130</f>
        <v>21</v>
      </c>
      <c r="F131" s="179">
        <f>[3]Summary!F130</f>
        <v>0</v>
      </c>
      <c r="G131" s="44">
        <f t="shared" si="1"/>
        <v>0</v>
      </c>
      <c r="H131" s="44" t="s">
        <v>5390</v>
      </c>
      <c r="I131" s="41"/>
    </row>
    <row r="132" spans="1:9" ht="23.25">
      <c r="A132" s="201">
        <v>128</v>
      </c>
      <c r="B132" s="45" t="s">
        <v>381</v>
      </c>
      <c r="C132" s="1" t="s">
        <v>382</v>
      </c>
      <c r="D132" s="46" t="s">
        <v>135</v>
      </c>
      <c r="E132" s="47">
        <f>[3]Summary!E131</f>
        <v>8.5</v>
      </c>
      <c r="F132" s="46">
        <f>[3]Summary!F131</f>
        <v>0</v>
      </c>
      <c r="G132" s="48">
        <f t="shared" si="1"/>
        <v>0</v>
      </c>
      <c r="H132" s="48" t="s">
        <v>5388</v>
      </c>
      <c r="I132" s="45"/>
    </row>
    <row r="133" spans="1:9" ht="23.25">
      <c r="A133" s="177">
        <v>129</v>
      </c>
      <c r="B133" s="41" t="s">
        <v>383</v>
      </c>
      <c r="C133" s="42" t="s">
        <v>384</v>
      </c>
      <c r="D133" s="178" t="s">
        <v>135</v>
      </c>
      <c r="E133" s="43">
        <f>[3]Summary!E132</f>
        <v>19</v>
      </c>
      <c r="F133" s="179">
        <f>[3]Summary!F132</f>
        <v>5</v>
      </c>
      <c r="G133" s="44">
        <f t="shared" ref="G133:G196" si="2">F133*E133</f>
        <v>95</v>
      </c>
      <c r="H133" s="44" t="s">
        <v>1612</v>
      </c>
      <c r="I133" s="41"/>
    </row>
    <row r="134" spans="1:9" ht="23.25">
      <c r="A134" s="201">
        <v>130</v>
      </c>
      <c r="B134" s="45" t="s">
        <v>385</v>
      </c>
      <c r="C134" s="1" t="s">
        <v>386</v>
      </c>
      <c r="D134" s="46" t="s">
        <v>135</v>
      </c>
      <c r="E134" s="47">
        <f>[3]Summary!E133</f>
        <v>33</v>
      </c>
      <c r="F134" s="46">
        <f>[3]Summary!F133</f>
        <v>0</v>
      </c>
      <c r="G134" s="48">
        <f t="shared" si="2"/>
        <v>0</v>
      </c>
      <c r="H134" s="48" t="s">
        <v>5397</v>
      </c>
      <c r="I134" s="45"/>
    </row>
    <row r="135" spans="1:9" ht="46.5">
      <c r="A135" s="177">
        <v>131</v>
      </c>
      <c r="B135" s="41" t="s">
        <v>387</v>
      </c>
      <c r="C135" s="42" t="s">
        <v>388</v>
      </c>
      <c r="D135" s="178" t="s">
        <v>135</v>
      </c>
      <c r="E135" s="43">
        <f>[3]Summary!E134</f>
        <v>45</v>
      </c>
      <c r="F135" s="179">
        <f>[3]Summary!F134</f>
        <v>0</v>
      </c>
      <c r="G135" s="44">
        <f t="shared" si="2"/>
        <v>0</v>
      </c>
      <c r="H135" s="44" t="s">
        <v>5395</v>
      </c>
      <c r="I135" s="41"/>
    </row>
    <row r="136" spans="1:9" ht="23.25">
      <c r="A136" s="201">
        <v>132</v>
      </c>
      <c r="B136" s="45" t="s">
        <v>389</v>
      </c>
      <c r="C136" s="1" t="s">
        <v>390</v>
      </c>
      <c r="D136" s="46" t="s">
        <v>135</v>
      </c>
      <c r="E136" s="47">
        <f>[3]Summary!E135</f>
        <v>3</v>
      </c>
      <c r="F136" s="46">
        <f>[3]Summary!F135</f>
        <v>116</v>
      </c>
      <c r="G136" s="48">
        <f t="shared" si="2"/>
        <v>348</v>
      </c>
      <c r="H136" s="48" t="s">
        <v>1641</v>
      </c>
      <c r="I136" s="45"/>
    </row>
    <row r="137" spans="1:9" ht="23.25">
      <c r="A137" s="177">
        <v>133</v>
      </c>
      <c r="B137" s="41" t="s">
        <v>389</v>
      </c>
      <c r="C137" s="42" t="s">
        <v>391</v>
      </c>
      <c r="D137" s="178" t="s">
        <v>135</v>
      </c>
      <c r="E137" s="43">
        <f>[3]Summary!E136</f>
        <v>2.25</v>
      </c>
      <c r="F137" s="179">
        <f>[3]Summary!F136</f>
        <v>120</v>
      </c>
      <c r="G137" s="44">
        <f t="shared" si="2"/>
        <v>270</v>
      </c>
      <c r="H137" s="44" t="s">
        <v>1641</v>
      </c>
      <c r="I137" s="41"/>
    </row>
    <row r="138" spans="1:9" ht="23.25">
      <c r="A138" s="201">
        <v>134</v>
      </c>
      <c r="B138" s="45" t="s">
        <v>392</v>
      </c>
      <c r="C138" s="1" t="s">
        <v>393</v>
      </c>
      <c r="D138" s="46" t="s">
        <v>135</v>
      </c>
      <c r="E138" s="47">
        <f>[3]Summary!E137</f>
        <v>7.25</v>
      </c>
      <c r="F138" s="46">
        <f>[3]Summary!F137</f>
        <v>7</v>
      </c>
      <c r="G138" s="48">
        <f t="shared" si="2"/>
        <v>50.75</v>
      </c>
      <c r="H138" s="48" t="s">
        <v>1641</v>
      </c>
      <c r="I138" s="45"/>
    </row>
    <row r="139" spans="1:9" ht="23.25">
      <c r="A139" s="177">
        <v>135</v>
      </c>
      <c r="B139" s="41" t="s">
        <v>394</v>
      </c>
      <c r="C139" s="42" t="s">
        <v>395</v>
      </c>
      <c r="D139" s="178" t="s">
        <v>135</v>
      </c>
      <c r="E139" s="43">
        <f>[3]Summary!E138</f>
        <v>9</v>
      </c>
      <c r="F139" s="179">
        <f>[3]Summary!F138</f>
        <v>0</v>
      </c>
      <c r="G139" s="44">
        <f t="shared" si="2"/>
        <v>0</v>
      </c>
      <c r="H139" s="44" t="s">
        <v>1641</v>
      </c>
      <c r="I139" s="41"/>
    </row>
    <row r="140" spans="1:9" ht="23.25">
      <c r="A140" s="201">
        <v>136</v>
      </c>
      <c r="B140" s="45" t="s">
        <v>394</v>
      </c>
      <c r="C140" s="1" t="s">
        <v>396</v>
      </c>
      <c r="D140" s="46" t="s">
        <v>135</v>
      </c>
      <c r="E140" s="47">
        <f>[3]Summary!E139</f>
        <v>20</v>
      </c>
      <c r="F140" s="46">
        <f>[3]Summary!F139</f>
        <v>0</v>
      </c>
      <c r="G140" s="48">
        <f t="shared" si="2"/>
        <v>0</v>
      </c>
      <c r="H140" s="48" t="s">
        <v>1641</v>
      </c>
      <c r="I140" s="45"/>
    </row>
    <row r="141" spans="1:9" ht="23.25">
      <c r="A141" s="177">
        <v>137</v>
      </c>
      <c r="B141" s="41" t="s">
        <v>397</v>
      </c>
      <c r="C141" s="42" t="s">
        <v>398</v>
      </c>
      <c r="D141" s="178" t="s">
        <v>135</v>
      </c>
      <c r="E141" s="43">
        <f>[3]Summary!E140</f>
        <v>9</v>
      </c>
      <c r="F141" s="179">
        <f>[3]Summary!F140</f>
        <v>28</v>
      </c>
      <c r="G141" s="44">
        <f t="shared" si="2"/>
        <v>252</v>
      </c>
      <c r="H141" s="44" t="s">
        <v>1641</v>
      </c>
      <c r="I141" s="41"/>
    </row>
    <row r="142" spans="1:9" ht="23.25">
      <c r="A142" s="201">
        <v>138</v>
      </c>
      <c r="B142" s="45" t="s">
        <v>399</v>
      </c>
      <c r="C142" s="1" t="s">
        <v>400</v>
      </c>
      <c r="D142" s="46" t="s">
        <v>135</v>
      </c>
      <c r="E142" s="47">
        <f>[3]Summary!E141</f>
        <v>9</v>
      </c>
      <c r="F142" s="46">
        <f>[3]Summary!F141</f>
        <v>29</v>
      </c>
      <c r="G142" s="48">
        <f t="shared" si="2"/>
        <v>261</v>
      </c>
      <c r="H142" s="48" t="s">
        <v>1641</v>
      </c>
      <c r="I142" s="45"/>
    </row>
    <row r="143" spans="1:9" ht="46.5">
      <c r="A143" s="177">
        <v>139</v>
      </c>
      <c r="B143" s="41" t="s">
        <v>401</v>
      </c>
      <c r="C143" s="42" t="s">
        <v>402</v>
      </c>
      <c r="D143" s="178" t="s">
        <v>135</v>
      </c>
      <c r="E143" s="43">
        <f>[3]Summary!E142</f>
        <v>21</v>
      </c>
      <c r="F143" s="179">
        <f>[3]Summary!F142</f>
        <v>0</v>
      </c>
      <c r="G143" s="44">
        <f t="shared" si="2"/>
        <v>0</v>
      </c>
      <c r="H143" s="44" t="s">
        <v>1641</v>
      </c>
      <c r="I143" s="41"/>
    </row>
    <row r="144" spans="1:9" ht="46.5">
      <c r="A144" s="201">
        <v>140</v>
      </c>
      <c r="B144" s="45" t="s">
        <v>401</v>
      </c>
      <c r="C144" s="1" t="s">
        <v>403</v>
      </c>
      <c r="D144" s="46" t="s">
        <v>135</v>
      </c>
      <c r="E144" s="47">
        <f>[3]Summary!E143</f>
        <v>25</v>
      </c>
      <c r="F144" s="46">
        <f>[3]Summary!F143</f>
        <v>177</v>
      </c>
      <c r="G144" s="48">
        <f t="shared" si="2"/>
        <v>4425</v>
      </c>
      <c r="H144" s="48" t="s">
        <v>1641</v>
      </c>
      <c r="I144" s="45"/>
    </row>
    <row r="145" spans="1:9" ht="46.5">
      <c r="A145" s="177">
        <v>141</v>
      </c>
      <c r="B145" s="41" t="s">
        <v>404</v>
      </c>
      <c r="C145" s="42" t="s">
        <v>405</v>
      </c>
      <c r="D145" s="178" t="s">
        <v>135</v>
      </c>
      <c r="E145" s="43">
        <f>[3]Summary!E144</f>
        <v>3</v>
      </c>
      <c r="F145" s="179">
        <f>[3]Summary!F144</f>
        <v>0</v>
      </c>
      <c r="G145" s="44">
        <f t="shared" si="2"/>
        <v>0</v>
      </c>
      <c r="H145" s="44" t="s">
        <v>1641</v>
      </c>
      <c r="I145" s="41"/>
    </row>
    <row r="146" spans="1:9" ht="46.5">
      <c r="A146" s="201">
        <v>142</v>
      </c>
      <c r="B146" s="45" t="s">
        <v>404</v>
      </c>
      <c r="C146" s="1" t="s">
        <v>406</v>
      </c>
      <c r="D146" s="46" t="s">
        <v>135</v>
      </c>
      <c r="E146" s="47">
        <f>[3]Summary!E145</f>
        <v>3.25</v>
      </c>
      <c r="F146" s="46">
        <f>[3]Summary!F145</f>
        <v>1</v>
      </c>
      <c r="G146" s="48">
        <f t="shared" si="2"/>
        <v>3.25</v>
      </c>
      <c r="H146" s="48" t="s">
        <v>1641</v>
      </c>
      <c r="I146" s="45"/>
    </row>
    <row r="147" spans="1:9" ht="46.5">
      <c r="A147" s="177">
        <v>143</v>
      </c>
      <c r="B147" s="41" t="s">
        <v>407</v>
      </c>
      <c r="C147" s="42" t="s">
        <v>408</v>
      </c>
      <c r="D147" s="178" t="s">
        <v>135</v>
      </c>
      <c r="E147" s="43">
        <f>[3]Summary!E146</f>
        <v>3</v>
      </c>
      <c r="F147" s="179">
        <f>[3]Summary!F146</f>
        <v>0</v>
      </c>
      <c r="G147" s="44">
        <f t="shared" si="2"/>
        <v>0</v>
      </c>
      <c r="H147" s="44" t="s">
        <v>1641</v>
      </c>
      <c r="I147" s="41"/>
    </row>
    <row r="148" spans="1:9" ht="46.5">
      <c r="A148" s="201">
        <v>144</v>
      </c>
      <c r="B148" s="45" t="s">
        <v>407</v>
      </c>
      <c r="C148" s="1" t="s">
        <v>409</v>
      </c>
      <c r="D148" s="46" t="s">
        <v>135</v>
      </c>
      <c r="E148" s="47">
        <f>[3]Summary!E147</f>
        <v>3</v>
      </c>
      <c r="F148" s="46">
        <f>[3]Summary!F147</f>
        <v>0</v>
      </c>
      <c r="G148" s="48">
        <f t="shared" si="2"/>
        <v>0</v>
      </c>
      <c r="H148" s="48" t="s">
        <v>1641</v>
      </c>
      <c r="I148" s="45"/>
    </row>
    <row r="149" spans="1:9" ht="46.5">
      <c r="A149" s="177">
        <v>145</v>
      </c>
      <c r="B149" s="41" t="s">
        <v>410</v>
      </c>
      <c r="C149" s="42" t="s">
        <v>411</v>
      </c>
      <c r="D149" s="178" t="s">
        <v>135</v>
      </c>
      <c r="E149" s="43">
        <f>[3]Summary!E148</f>
        <v>3.25</v>
      </c>
      <c r="F149" s="179">
        <f>[3]Summary!F148</f>
        <v>0</v>
      </c>
      <c r="G149" s="44">
        <f t="shared" si="2"/>
        <v>0</v>
      </c>
      <c r="H149" s="44" t="s">
        <v>1641</v>
      </c>
      <c r="I149" s="41"/>
    </row>
    <row r="150" spans="1:9" ht="46.5">
      <c r="A150" s="201">
        <v>146</v>
      </c>
      <c r="B150" s="45" t="s">
        <v>410</v>
      </c>
      <c r="C150" s="1" t="s">
        <v>412</v>
      </c>
      <c r="D150" s="46" t="s">
        <v>135</v>
      </c>
      <c r="E150" s="47">
        <f>[3]Summary!E149</f>
        <v>3.5</v>
      </c>
      <c r="F150" s="46">
        <f>[3]Summary!F149</f>
        <v>0</v>
      </c>
      <c r="G150" s="48">
        <f t="shared" si="2"/>
        <v>0</v>
      </c>
      <c r="H150" s="48" t="s">
        <v>1641</v>
      </c>
      <c r="I150" s="45"/>
    </row>
    <row r="151" spans="1:9" ht="46.5">
      <c r="A151" s="177">
        <v>147</v>
      </c>
      <c r="B151" s="41" t="s">
        <v>413</v>
      </c>
      <c r="C151" s="42" t="s">
        <v>414</v>
      </c>
      <c r="D151" s="178" t="s">
        <v>135</v>
      </c>
      <c r="E151" s="43">
        <f>[3]Summary!E150</f>
        <v>2</v>
      </c>
      <c r="F151" s="179">
        <f>[3]Summary!F150</f>
        <v>137</v>
      </c>
      <c r="G151" s="44">
        <f t="shared" si="2"/>
        <v>274</v>
      </c>
      <c r="H151" s="44" t="s">
        <v>1641</v>
      </c>
      <c r="I151" s="41"/>
    </row>
    <row r="152" spans="1:9" ht="46.5">
      <c r="A152" s="201">
        <v>148</v>
      </c>
      <c r="B152" s="45" t="s">
        <v>413</v>
      </c>
      <c r="C152" s="1" t="s">
        <v>415</v>
      </c>
      <c r="D152" s="46" t="s">
        <v>135</v>
      </c>
      <c r="E152" s="47">
        <f>[3]Summary!E151</f>
        <v>3.5</v>
      </c>
      <c r="F152" s="46">
        <f>[3]Summary!F151</f>
        <v>90</v>
      </c>
      <c r="G152" s="48">
        <f t="shared" si="2"/>
        <v>315</v>
      </c>
      <c r="H152" s="48" t="s">
        <v>1641</v>
      </c>
      <c r="I152" s="45"/>
    </row>
    <row r="153" spans="1:9" ht="46.5">
      <c r="A153" s="177">
        <v>149</v>
      </c>
      <c r="B153" s="41" t="s">
        <v>416</v>
      </c>
      <c r="C153" s="42" t="s">
        <v>417</v>
      </c>
      <c r="D153" s="178" t="s">
        <v>135</v>
      </c>
      <c r="E153" s="43">
        <f>[3]Summary!E152</f>
        <v>3</v>
      </c>
      <c r="F153" s="179">
        <f>[3]Summary!F152</f>
        <v>0</v>
      </c>
      <c r="G153" s="44">
        <f t="shared" si="2"/>
        <v>0</v>
      </c>
      <c r="H153" s="44" t="s">
        <v>1641</v>
      </c>
      <c r="I153" s="41"/>
    </row>
    <row r="154" spans="1:9" ht="46.5">
      <c r="A154" s="201">
        <v>150</v>
      </c>
      <c r="B154" s="45" t="s">
        <v>416</v>
      </c>
      <c r="C154" s="1" t="s">
        <v>418</v>
      </c>
      <c r="D154" s="46" t="s">
        <v>135</v>
      </c>
      <c r="E154" s="47">
        <f>[3]Summary!E153</f>
        <v>3.5</v>
      </c>
      <c r="F154" s="46">
        <f>[3]Summary!F153</f>
        <v>0</v>
      </c>
      <c r="G154" s="48">
        <f t="shared" si="2"/>
        <v>0</v>
      </c>
      <c r="H154" s="48" t="s">
        <v>1641</v>
      </c>
      <c r="I154" s="45"/>
    </row>
    <row r="155" spans="1:9" ht="46.5">
      <c r="A155" s="177">
        <v>151</v>
      </c>
      <c r="B155" s="41" t="s">
        <v>419</v>
      </c>
      <c r="C155" s="42" t="s">
        <v>420</v>
      </c>
      <c r="D155" s="178" t="s">
        <v>135</v>
      </c>
      <c r="E155" s="43">
        <f>[3]Summary!E154</f>
        <v>3</v>
      </c>
      <c r="F155" s="179">
        <f>[3]Summary!F154</f>
        <v>4</v>
      </c>
      <c r="G155" s="44">
        <f t="shared" si="2"/>
        <v>12</v>
      </c>
      <c r="H155" s="44" t="s">
        <v>1641</v>
      </c>
      <c r="I155" s="41"/>
    </row>
    <row r="156" spans="1:9" ht="46.5">
      <c r="A156" s="201">
        <v>152</v>
      </c>
      <c r="B156" s="45" t="s">
        <v>421</v>
      </c>
      <c r="C156" s="1" t="s">
        <v>422</v>
      </c>
      <c r="D156" s="46" t="s">
        <v>135</v>
      </c>
      <c r="E156" s="47">
        <f>[3]Summary!E155</f>
        <v>8.5</v>
      </c>
      <c r="F156" s="46">
        <f>[3]Summary!F155</f>
        <v>9</v>
      </c>
      <c r="G156" s="48">
        <f t="shared" si="2"/>
        <v>76.5</v>
      </c>
      <c r="H156" s="48" t="s">
        <v>1641</v>
      </c>
      <c r="I156" s="45"/>
    </row>
    <row r="157" spans="1:9" ht="46.5">
      <c r="A157" s="177">
        <v>153</v>
      </c>
      <c r="B157" s="41" t="s">
        <v>423</v>
      </c>
      <c r="C157" s="42" t="s">
        <v>424</v>
      </c>
      <c r="D157" s="178" t="s">
        <v>135</v>
      </c>
      <c r="E157" s="43">
        <f>[3]Summary!E156</f>
        <v>8.5</v>
      </c>
      <c r="F157" s="179">
        <f>[3]Summary!F156</f>
        <v>5</v>
      </c>
      <c r="G157" s="44">
        <f t="shared" si="2"/>
        <v>42.5</v>
      </c>
      <c r="H157" s="44" t="s">
        <v>1641</v>
      </c>
      <c r="I157" s="41"/>
    </row>
    <row r="158" spans="1:9" ht="46.5">
      <c r="A158" s="201">
        <v>154</v>
      </c>
      <c r="B158" s="45" t="s">
        <v>425</v>
      </c>
      <c r="C158" s="1" t="s">
        <v>426</v>
      </c>
      <c r="D158" s="46" t="s">
        <v>135</v>
      </c>
      <c r="E158" s="47">
        <f>[3]Summary!E157</f>
        <v>10</v>
      </c>
      <c r="F158" s="46">
        <f>[3]Summary!F157</f>
        <v>6</v>
      </c>
      <c r="G158" s="48">
        <f t="shared" si="2"/>
        <v>60</v>
      </c>
      <c r="H158" s="48" t="s">
        <v>1641</v>
      </c>
      <c r="I158" s="45"/>
    </row>
    <row r="159" spans="1:9" ht="46.5">
      <c r="A159" s="177">
        <v>155</v>
      </c>
      <c r="B159" s="41" t="s">
        <v>392</v>
      </c>
      <c r="C159" s="42" t="s">
        <v>427</v>
      </c>
      <c r="D159" s="178" t="s">
        <v>135</v>
      </c>
      <c r="E159" s="43">
        <f>[3]Summary!E158</f>
        <v>9</v>
      </c>
      <c r="F159" s="179">
        <f>[3]Summary!F158</f>
        <v>0</v>
      </c>
      <c r="G159" s="44">
        <f t="shared" si="2"/>
        <v>0</v>
      </c>
      <c r="H159" s="44" t="s">
        <v>1641</v>
      </c>
      <c r="I159" s="41"/>
    </row>
    <row r="160" spans="1:9" ht="46.5">
      <c r="A160" s="201">
        <v>156</v>
      </c>
      <c r="B160" s="45" t="s">
        <v>428</v>
      </c>
      <c r="C160" s="1" t="s">
        <v>429</v>
      </c>
      <c r="D160" s="46" t="s">
        <v>135</v>
      </c>
      <c r="E160" s="47">
        <f>[3]Summary!E159</f>
        <v>7.5</v>
      </c>
      <c r="F160" s="46">
        <f>[3]Summary!F159</f>
        <v>0</v>
      </c>
      <c r="G160" s="48">
        <f t="shared" si="2"/>
        <v>0</v>
      </c>
      <c r="H160" s="48" t="s">
        <v>1641</v>
      </c>
      <c r="I160" s="45"/>
    </row>
    <row r="161" spans="1:9" ht="46.5">
      <c r="A161" s="177">
        <v>157</v>
      </c>
      <c r="B161" s="41" t="s">
        <v>430</v>
      </c>
      <c r="C161" s="42" t="s">
        <v>431</v>
      </c>
      <c r="D161" s="178" t="s">
        <v>135</v>
      </c>
      <c r="E161" s="43">
        <f>[3]Summary!E160</f>
        <v>49</v>
      </c>
      <c r="F161" s="179">
        <f>[3]Summary!F160</f>
        <v>0</v>
      </c>
      <c r="G161" s="44">
        <f t="shared" si="2"/>
        <v>0</v>
      </c>
      <c r="H161" s="44" t="s">
        <v>1641</v>
      </c>
      <c r="I161" s="41"/>
    </row>
    <row r="162" spans="1:9" ht="46.5">
      <c r="A162" s="201">
        <v>158</v>
      </c>
      <c r="B162" s="45" t="s">
        <v>432</v>
      </c>
      <c r="C162" s="1" t="s">
        <v>433</v>
      </c>
      <c r="D162" s="46" t="s">
        <v>135</v>
      </c>
      <c r="E162" s="47">
        <f>[3]Summary!E161</f>
        <v>9</v>
      </c>
      <c r="F162" s="46">
        <f>[3]Summary!F161</f>
        <v>39</v>
      </c>
      <c r="G162" s="48">
        <f t="shared" si="2"/>
        <v>351</v>
      </c>
      <c r="H162" s="48" t="s">
        <v>1641</v>
      </c>
      <c r="I162" s="45"/>
    </row>
    <row r="163" spans="1:9" ht="46.5">
      <c r="A163" s="177">
        <v>159</v>
      </c>
      <c r="B163" s="41" t="s">
        <v>432</v>
      </c>
      <c r="C163" s="42" t="s">
        <v>434</v>
      </c>
      <c r="D163" s="178" t="s">
        <v>135</v>
      </c>
      <c r="E163" s="43">
        <f>[3]Summary!E162</f>
        <v>13</v>
      </c>
      <c r="F163" s="179">
        <f>[3]Summary!F162</f>
        <v>4</v>
      </c>
      <c r="G163" s="44">
        <f t="shared" si="2"/>
        <v>52</v>
      </c>
      <c r="H163" s="44" t="s">
        <v>1641</v>
      </c>
      <c r="I163" s="41"/>
    </row>
    <row r="164" spans="1:9" ht="46.5">
      <c r="A164" s="201">
        <v>160</v>
      </c>
      <c r="B164" s="45" t="s">
        <v>397</v>
      </c>
      <c r="C164" s="1" t="s">
        <v>435</v>
      </c>
      <c r="D164" s="46" t="s">
        <v>135</v>
      </c>
      <c r="E164" s="47">
        <f>[3]Summary!E163</f>
        <v>13</v>
      </c>
      <c r="F164" s="46">
        <f>[3]Summary!F163</f>
        <v>39</v>
      </c>
      <c r="G164" s="48">
        <f t="shared" si="2"/>
        <v>507</v>
      </c>
      <c r="H164" s="48" t="s">
        <v>1641</v>
      </c>
      <c r="I164" s="45"/>
    </row>
    <row r="165" spans="1:9" ht="46.5">
      <c r="A165" s="177">
        <v>161</v>
      </c>
      <c r="B165" s="41" t="s">
        <v>399</v>
      </c>
      <c r="C165" s="42" t="s">
        <v>436</v>
      </c>
      <c r="D165" s="178" t="s">
        <v>135</v>
      </c>
      <c r="E165" s="43">
        <f>[3]Summary!E164</f>
        <v>18</v>
      </c>
      <c r="F165" s="179">
        <f>[3]Summary!F164</f>
        <v>33</v>
      </c>
      <c r="G165" s="44">
        <f t="shared" si="2"/>
        <v>594</v>
      </c>
      <c r="H165" s="44" t="s">
        <v>1641</v>
      </c>
      <c r="I165" s="41"/>
    </row>
    <row r="166" spans="1:9" ht="46.5">
      <c r="A166" s="201">
        <v>162</v>
      </c>
      <c r="B166" s="45" t="s">
        <v>437</v>
      </c>
      <c r="C166" s="1" t="s">
        <v>438</v>
      </c>
      <c r="D166" s="46" t="s">
        <v>135</v>
      </c>
      <c r="E166" s="47">
        <f>[3]Summary!E165</f>
        <v>20</v>
      </c>
      <c r="F166" s="46">
        <f>[3]Summary!F165</f>
        <v>0</v>
      </c>
      <c r="G166" s="48">
        <f t="shared" si="2"/>
        <v>0</v>
      </c>
      <c r="H166" s="48" t="s">
        <v>1641</v>
      </c>
      <c r="I166" s="45"/>
    </row>
    <row r="167" spans="1:9" ht="46.5">
      <c r="A167" s="177">
        <v>163</v>
      </c>
      <c r="B167" s="41" t="s">
        <v>439</v>
      </c>
      <c r="C167" s="42" t="s">
        <v>440</v>
      </c>
      <c r="D167" s="178" t="s">
        <v>135</v>
      </c>
      <c r="E167" s="43">
        <f>[3]Summary!E166</f>
        <v>10</v>
      </c>
      <c r="F167" s="179">
        <f>[3]Summary!F166</f>
        <v>0</v>
      </c>
      <c r="G167" s="44">
        <f t="shared" si="2"/>
        <v>0</v>
      </c>
      <c r="H167" s="44" t="s">
        <v>1641</v>
      </c>
      <c r="I167" s="41"/>
    </row>
    <row r="168" spans="1:9" ht="46.5">
      <c r="A168" s="201">
        <v>164</v>
      </c>
      <c r="B168" s="45" t="s">
        <v>439</v>
      </c>
      <c r="C168" s="1" t="s">
        <v>441</v>
      </c>
      <c r="D168" s="46" t="s">
        <v>135</v>
      </c>
      <c r="E168" s="47">
        <f>[3]Summary!E167</f>
        <v>17</v>
      </c>
      <c r="F168" s="46">
        <f>[3]Summary!F167</f>
        <v>14</v>
      </c>
      <c r="G168" s="48">
        <f t="shared" si="2"/>
        <v>238</v>
      </c>
      <c r="H168" s="48" t="s">
        <v>1641</v>
      </c>
      <c r="I168" s="45"/>
    </row>
    <row r="169" spans="1:9" ht="46.5">
      <c r="A169" s="177">
        <v>165</v>
      </c>
      <c r="B169" s="41" t="s">
        <v>442</v>
      </c>
      <c r="C169" s="42" t="s">
        <v>443</v>
      </c>
      <c r="D169" s="178" t="s">
        <v>135</v>
      </c>
      <c r="E169" s="43">
        <f>[3]Summary!E168</f>
        <v>15</v>
      </c>
      <c r="F169" s="179">
        <f>[3]Summary!F168</f>
        <v>0</v>
      </c>
      <c r="G169" s="44">
        <f t="shared" si="2"/>
        <v>0</v>
      </c>
      <c r="H169" s="44" t="s">
        <v>1641</v>
      </c>
      <c r="I169" s="41"/>
    </row>
    <row r="170" spans="1:9" ht="46.5">
      <c r="A170" s="201">
        <v>166</v>
      </c>
      <c r="B170" s="45" t="s">
        <v>444</v>
      </c>
      <c r="C170" s="1" t="s">
        <v>445</v>
      </c>
      <c r="D170" s="46" t="s">
        <v>135</v>
      </c>
      <c r="E170" s="47">
        <f>[3]Summary!E169</f>
        <v>25</v>
      </c>
      <c r="F170" s="46">
        <f>[3]Summary!F169</f>
        <v>8</v>
      </c>
      <c r="G170" s="48">
        <f t="shared" si="2"/>
        <v>200</v>
      </c>
      <c r="H170" s="48" t="s">
        <v>1641</v>
      </c>
      <c r="I170" s="45"/>
    </row>
    <row r="171" spans="1:9" ht="46.5">
      <c r="A171" s="177">
        <v>167</v>
      </c>
      <c r="B171" s="41" t="s">
        <v>446</v>
      </c>
      <c r="C171" s="42" t="s">
        <v>447</v>
      </c>
      <c r="D171" s="178" t="s">
        <v>135</v>
      </c>
      <c r="E171" s="43">
        <f>[3]Summary!E170</f>
        <v>18</v>
      </c>
      <c r="F171" s="179">
        <f>[3]Summary!F170</f>
        <v>12</v>
      </c>
      <c r="G171" s="44">
        <f t="shared" si="2"/>
        <v>216</v>
      </c>
      <c r="H171" s="44" t="s">
        <v>1641</v>
      </c>
      <c r="I171" s="41"/>
    </row>
    <row r="172" spans="1:9" ht="46.5">
      <c r="A172" s="201">
        <v>168</v>
      </c>
      <c r="B172" s="45" t="s">
        <v>448</v>
      </c>
      <c r="C172" s="1" t="s">
        <v>449</v>
      </c>
      <c r="D172" s="46" t="s">
        <v>135</v>
      </c>
      <c r="E172" s="47">
        <f>[3]Summary!E171</f>
        <v>15</v>
      </c>
      <c r="F172" s="46">
        <f>[3]Summary!F171</f>
        <v>5</v>
      </c>
      <c r="G172" s="48">
        <f t="shared" si="2"/>
        <v>75</v>
      </c>
      <c r="H172" s="48" t="s">
        <v>1641</v>
      </c>
      <c r="I172" s="45"/>
    </row>
    <row r="173" spans="1:9" ht="46.5">
      <c r="A173" s="177">
        <v>169</v>
      </c>
      <c r="B173" s="41" t="s">
        <v>448</v>
      </c>
      <c r="C173" s="42" t="s">
        <v>450</v>
      </c>
      <c r="D173" s="178" t="s">
        <v>135</v>
      </c>
      <c r="E173" s="43">
        <f>[3]Summary!E172</f>
        <v>22</v>
      </c>
      <c r="F173" s="179">
        <f>[3]Summary!F172</f>
        <v>13</v>
      </c>
      <c r="G173" s="44">
        <f t="shared" si="2"/>
        <v>286</v>
      </c>
      <c r="H173" s="44" t="s">
        <v>1641</v>
      </c>
      <c r="I173" s="41"/>
    </row>
    <row r="174" spans="1:9" ht="46.5">
      <c r="A174" s="201">
        <v>170</v>
      </c>
      <c r="B174" s="45" t="s">
        <v>451</v>
      </c>
      <c r="C174" s="1" t="s">
        <v>452</v>
      </c>
      <c r="D174" s="46" t="s">
        <v>135</v>
      </c>
      <c r="E174" s="47">
        <f>[3]Summary!E173</f>
        <v>1.5</v>
      </c>
      <c r="F174" s="46">
        <f>[3]Summary!F173</f>
        <v>0</v>
      </c>
      <c r="G174" s="48">
        <f t="shared" si="2"/>
        <v>0</v>
      </c>
      <c r="H174" s="48" t="s">
        <v>1649</v>
      </c>
      <c r="I174" s="45"/>
    </row>
    <row r="175" spans="1:9" ht="46.5">
      <c r="A175" s="177">
        <v>171</v>
      </c>
      <c r="B175" s="41" t="s">
        <v>453</v>
      </c>
      <c r="C175" s="42" t="s">
        <v>454</v>
      </c>
      <c r="D175" s="178" t="s">
        <v>135</v>
      </c>
      <c r="E175" s="43">
        <f>[3]Summary!E174</f>
        <v>65</v>
      </c>
      <c r="F175" s="179">
        <f>[3]Summary!F174</f>
        <v>2</v>
      </c>
      <c r="G175" s="44">
        <f t="shared" si="2"/>
        <v>130</v>
      </c>
      <c r="H175" s="44" t="s">
        <v>1641</v>
      </c>
      <c r="I175" s="41"/>
    </row>
    <row r="176" spans="1:9" ht="46.5">
      <c r="A176" s="201">
        <v>172</v>
      </c>
      <c r="B176" s="45" t="s">
        <v>455</v>
      </c>
      <c r="C176" s="1" t="s">
        <v>456</v>
      </c>
      <c r="D176" s="46" t="s">
        <v>135</v>
      </c>
      <c r="E176" s="47">
        <f>[3]Summary!E175</f>
        <v>23</v>
      </c>
      <c r="F176" s="46">
        <f>[3]Summary!F175</f>
        <v>0</v>
      </c>
      <c r="G176" s="48">
        <f t="shared" si="2"/>
        <v>0</v>
      </c>
      <c r="H176" s="48" t="s">
        <v>1641</v>
      </c>
      <c r="I176" s="45"/>
    </row>
    <row r="177" spans="1:9" ht="23.25">
      <c r="A177" s="177">
        <v>173</v>
      </c>
      <c r="B177" s="41" t="s">
        <v>457</v>
      </c>
      <c r="C177" s="42" t="s">
        <v>458</v>
      </c>
      <c r="D177" s="178" t="s">
        <v>135</v>
      </c>
      <c r="E177" s="43">
        <f>[3]Summary!E176</f>
        <v>4.5</v>
      </c>
      <c r="F177" s="179">
        <f>[3]Summary!F176</f>
        <v>0</v>
      </c>
      <c r="G177" s="44">
        <f t="shared" si="2"/>
        <v>0</v>
      </c>
      <c r="H177" s="44" t="s">
        <v>5392</v>
      </c>
      <c r="I177" s="41"/>
    </row>
    <row r="178" spans="1:9" ht="23.25">
      <c r="A178" s="201">
        <v>174</v>
      </c>
      <c r="B178" s="45" t="s">
        <v>1639</v>
      </c>
      <c r="C178" s="1" t="s">
        <v>459</v>
      </c>
      <c r="D178" s="46" t="s">
        <v>135</v>
      </c>
      <c r="E178" s="47">
        <f>[3]Summary!E177</f>
        <v>1</v>
      </c>
      <c r="F178" s="46">
        <f>[3]Summary!F177</f>
        <v>34.85</v>
      </c>
      <c r="G178" s="48">
        <f t="shared" si="2"/>
        <v>34.85</v>
      </c>
      <c r="H178" s="48" t="s">
        <v>1641</v>
      </c>
      <c r="I178" s="45"/>
    </row>
    <row r="179" spans="1:9" ht="46.5">
      <c r="A179" s="177">
        <v>175</v>
      </c>
      <c r="B179" s="41" t="s">
        <v>460</v>
      </c>
      <c r="C179" s="42" t="s">
        <v>461</v>
      </c>
      <c r="D179" s="178" t="s">
        <v>135</v>
      </c>
      <c r="E179" s="43">
        <f>[3]Summary!E178</f>
        <v>5.5</v>
      </c>
      <c r="F179" s="179">
        <f>[3]Summary!F178</f>
        <v>34</v>
      </c>
      <c r="G179" s="44">
        <f t="shared" si="2"/>
        <v>187</v>
      </c>
      <c r="H179" s="44" t="s">
        <v>1612</v>
      </c>
      <c r="I179" s="41"/>
    </row>
    <row r="180" spans="1:9" ht="42">
      <c r="A180" s="201">
        <v>176</v>
      </c>
      <c r="B180" s="45" t="s">
        <v>462</v>
      </c>
      <c r="C180" s="1" t="s">
        <v>463</v>
      </c>
      <c r="D180" s="46" t="s">
        <v>135</v>
      </c>
      <c r="E180" s="47">
        <f>[3]Summary!E179</f>
        <v>5</v>
      </c>
      <c r="F180" s="46">
        <f>[3]Summary!F179</f>
        <v>1</v>
      </c>
      <c r="G180" s="48">
        <f t="shared" si="2"/>
        <v>5</v>
      </c>
      <c r="H180" s="48" t="s">
        <v>1612</v>
      </c>
      <c r="I180" s="45"/>
    </row>
    <row r="181" spans="1:9" ht="23.25">
      <c r="A181" s="177">
        <v>177</v>
      </c>
      <c r="B181" s="41" t="s">
        <v>464</v>
      </c>
      <c r="C181" s="42" t="s">
        <v>465</v>
      </c>
      <c r="D181" s="178" t="s">
        <v>135</v>
      </c>
      <c r="E181" s="43">
        <f>[3]Summary!E180</f>
        <v>1.9</v>
      </c>
      <c r="F181" s="179">
        <f>[3]Summary!F180</f>
        <v>10</v>
      </c>
      <c r="G181" s="44">
        <f t="shared" si="2"/>
        <v>19</v>
      </c>
      <c r="H181" s="44" t="s">
        <v>1612</v>
      </c>
      <c r="I181" s="41"/>
    </row>
    <row r="182" spans="1:9" ht="46.5">
      <c r="A182" s="201">
        <v>178</v>
      </c>
      <c r="B182" s="45" t="s">
        <v>466</v>
      </c>
      <c r="C182" s="1" t="s">
        <v>467</v>
      </c>
      <c r="D182" s="46" t="s">
        <v>135</v>
      </c>
      <c r="E182" s="47">
        <f>[3]Summary!E181</f>
        <v>4</v>
      </c>
      <c r="F182" s="46">
        <f>[3]Summary!F181</f>
        <v>0</v>
      </c>
      <c r="G182" s="48">
        <f t="shared" si="2"/>
        <v>0</v>
      </c>
      <c r="H182" s="48" t="s">
        <v>1612</v>
      </c>
      <c r="I182" s="45"/>
    </row>
    <row r="183" spans="1:9" ht="23.25">
      <c r="A183" s="177">
        <v>179</v>
      </c>
      <c r="B183" s="41" t="s">
        <v>468</v>
      </c>
      <c r="C183" s="42" t="s">
        <v>469</v>
      </c>
      <c r="D183" s="178" t="s">
        <v>135</v>
      </c>
      <c r="E183" s="43">
        <f>[3]Summary!E182</f>
        <v>0.75</v>
      </c>
      <c r="F183" s="179">
        <f>[3]Summary!F182</f>
        <v>34</v>
      </c>
      <c r="G183" s="44">
        <f t="shared" si="2"/>
        <v>25.5</v>
      </c>
      <c r="H183" s="44" t="s">
        <v>5398</v>
      </c>
      <c r="I183" s="41"/>
    </row>
    <row r="184" spans="1:9" ht="23.25">
      <c r="A184" s="201">
        <v>180</v>
      </c>
      <c r="B184" s="45" t="s">
        <v>470</v>
      </c>
      <c r="C184" s="1" t="s">
        <v>471</v>
      </c>
      <c r="D184" s="46" t="s">
        <v>135</v>
      </c>
      <c r="E184" s="47">
        <f>[3]Summary!E183</f>
        <v>12.5</v>
      </c>
      <c r="F184" s="46">
        <f>[3]Summary!F183</f>
        <v>0</v>
      </c>
      <c r="G184" s="48">
        <f t="shared" si="2"/>
        <v>0</v>
      </c>
      <c r="H184" s="48" t="s">
        <v>5390</v>
      </c>
      <c r="I184" s="45"/>
    </row>
    <row r="185" spans="1:9" ht="23.25">
      <c r="A185" s="177">
        <v>181</v>
      </c>
      <c r="B185" s="41" t="s">
        <v>472</v>
      </c>
      <c r="C185" s="42" t="s">
        <v>473</v>
      </c>
      <c r="D185" s="178" t="s">
        <v>135</v>
      </c>
      <c r="E185" s="43">
        <f>[3]Summary!E184</f>
        <v>1</v>
      </c>
      <c r="F185" s="179">
        <f>[3]Summary!F184</f>
        <v>0</v>
      </c>
      <c r="G185" s="44">
        <f t="shared" si="2"/>
        <v>0</v>
      </c>
      <c r="H185" s="44" t="s">
        <v>5398</v>
      </c>
      <c r="I185" s="41"/>
    </row>
    <row r="186" spans="1:9" ht="46.5">
      <c r="A186" s="201">
        <v>182</v>
      </c>
      <c r="B186" s="45" t="s">
        <v>474</v>
      </c>
      <c r="C186" s="1" t="s">
        <v>475</v>
      </c>
      <c r="D186" s="46" t="s">
        <v>135</v>
      </c>
      <c r="E186" s="47">
        <f>[3]Summary!E185</f>
        <v>2.5</v>
      </c>
      <c r="F186" s="46">
        <f>[3]Summary!F185</f>
        <v>0</v>
      </c>
      <c r="G186" s="48">
        <f t="shared" si="2"/>
        <v>0</v>
      </c>
      <c r="H186" s="48" t="s">
        <v>5398</v>
      </c>
      <c r="I186" s="45"/>
    </row>
    <row r="187" spans="1:9" ht="23.25">
      <c r="A187" s="177">
        <v>183</v>
      </c>
      <c r="B187" s="41" t="s">
        <v>476</v>
      </c>
      <c r="C187" s="42" t="s">
        <v>477</v>
      </c>
      <c r="D187" s="178" t="s">
        <v>135</v>
      </c>
      <c r="E187" s="43">
        <f>[3]Summary!E186</f>
        <v>1</v>
      </c>
      <c r="F187" s="179">
        <f>[3]Summary!F186</f>
        <v>0</v>
      </c>
      <c r="G187" s="44">
        <f t="shared" si="2"/>
        <v>0</v>
      </c>
      <c r="H187" s="44" t="s">
        <v>1638</v>
      </c>
      <c r="I187" s="41"/>
    </row>
    <row r="188" spans="1:9" ht="23.25">
      <c r="A188" s="201">
        <v>184</v>
      </c>
      <c r="B188" s="45" t="s">
        <v>478</v>
      </c>
      <c r="C188" s="1" t="s">
        <v>479</v>
      </c>
      <c r="D188" s="46" t="s">
        <v>135</v>
      </c>
      <c r="E188" s="47">
        <f>[3]Summary!E187</f>
        <v>2.5</v>
      </c>
      <c r="F188" s="46">
        <f>[3]Summary!F187</f>
        <v>12</v>
      </c>
      <c r="G188" s="48">
        <f t="shared" si="2"/>
        <v>30</v>
      </c>
      <c r="H188" s="48" t="s">
        <v>1638</v>
      </c>
      <c r="I188" s="45"/>
    </row>
    <row r="189" spans="1:9" ht="23.25">
      <c r="A189" s="177">
        <v>185</v>
      </c>
      <c r="B189" s="41" t="s">
        <v>480</v>
      </c>
      <c r="C189" s="42" t="s">
        <v>481</v>
      </c>
      <c r="D189" s="178" t="s">
        <v>135</v>
      </c>
      <c r="E189" s="43">
        <f>[3]Summary!E188</f>
        <v>0</v>
      </c>
      <c r="F189" s="179">
        <f>[3]Summary!F188</f>
        <v>0</v>
      </c>
      <c r="G189" s="44">
        <f t="shared" si="2"/>
        <v>0</v>
      </c>
      <c r="H189" s="44" t="s">
        <v>1638</v>
      </c>
      <c r="I189" s="41"/>
    </row>
    <row r="190" spans="1:9" ht="23.25">
      <c r="A190" s="201">
        <v>186</v>
      </c>
      <c r="B190" s="45" t="s">
        <v>482</v>
      </c>
      <c r="C190" s="1" t="s">
        <v>483</v>
      </c>
      <c r="D190" s="46" t="s">
        <v>135</v>
      </c>
      <c r="E190" s="47">
        <f>[3]Summary!E189</f>
        <v>3</v>
      </c>
      <c r="F190" s="46">
        <f>[3]Summary!F189</f>
        <v>3</v>
      </c>
      <c r="G190" s="48">
        <f t="shared" si="2"/>
        <v>9</v>
      </c>
      <c r="H190" s="48" t="s">
        <v>1654</v>
      </c>
      <c r="I190" s="45"/>
    </row>
    <row r="191" spans="1:9" ht="23.25">
      <c r="A191" s="177">
        <v>187</v>
      </c>
      <c r="B191" s="41" t="s">
        <v>484</v>
      </c>
      <c r="C191" s="42" t="s">
        <v>485</v>
      </c>
      <c r="D191" s="178" t="s">
        <v>135</v>
      </c>
      <c r="E191" s="43">
        <f>[3]Summary!E190</f>
        <v>4</v>
      </c>
      <c r="F191" s="179">
        <f>[3]Summary!F190</f>
        <v>11</v>
      </c>
      <c r="G191" s="44">
        <f t="shared" si="2"/>
        <v>44</v>
      </c>
      <c r="H191" s="44" t="s">
        <v>1654</v>
      </c>
      <c r="I191" s="41"/>
    </row>
    <row r="192" spans="1:9" ht="23.25">
      <c r="A192" s="201">
        <v>188</v>
      </c>
      <c r="B192" s="45" t="s">
        <v>486</v>
      </c>
      <c r="C192" s="1" t="s">
        <v>487</v>
      </c>
      <c r="D192" s="46" t="s">
        <v>135</v>
      </c>
      <c r="E192" s="47">
        <f>[3]Summary!E191</f>
        <v>5</v>
      </c>
      <c r="F192" s="46">
        <f>[3]Summary!F191</f>
        <v>0</v>
      </c>
      <c r="G192" s="48">
        <f t="shared" si="2"/>
        <v>0</v>
      </c>
      <c r="H192" s="48" t="s">
        <v>1654</v>
      </c>
      <c r="I192" s="45"/>
    </row>
    <row r="193" spans="1:9" ht="46.5">
      <c r="A193" s="177">
        <v>189</v>
      </c>
      <c r="B193" s="41" t="s">
        <v>488</v>
      </c>
      <c r="C193" s="42" t="s">
        <v>489</v>
      </c>
      <c r="D193" s="178" t="s">
        <v>135</v>
      </c>
      <c r="E193" s="43">
        <f>[3]Summary!E192</f>
        <v>0.5</v>
      </c>
      <c r="F193" s="179">
        <f>[3]Summary!F192</f>
        <v>35</v>
      </c>
      <c r="G193" s="44">
        <f t="shared" si="2"/>
        <v>17.5</v>
      </c>
      <c r="H193" s="44" t="s">
        <v>5389</v>
      </c>
      <c r="I193" s="41"/>
    </row>
    <row r="194" spans="1:9" ht="46.5">
      <c r="A194" s="201">
        <v>190</v>
      </c>
      <c r="B194" s="45" t="s">
        <v>5776</v>
      </c>
      <c r="C194" s="1" t="s">
        <v>490</v>
      </c>
      <c r="D194" s="46" t="s">
        <v>135</v>
      </c>
      <c r="E194" s="47">
        <f>[3]Summary!E193</f>
        <v>10</v>
      </c>
      <c r="F194" s="46">
        <f>[3]Summary!F193</f>
        <v>0</v>
      </c>
      <c r="G194" s="48">
        <f t="shared" si="2"/>
        <v>0</v>
      </c>
      <c r="H194" s="48" t="s">
        <v>5399</v>
      </c>
      <c r="I194" s="45"/>
    </row>
    <row r="195" spans="1:9" ht="46.5">
      <c r="A195" s="177">
        <v>191</v>
      </c>
      <c r="B195" s="41" t="s">
        <v>5777</v>
      </c>
      <c r="C195" s="42" t="s">
        <v>491</v>
      </c>
      <c r="D195" s="178" t="s">
        <v>135</v>
      </c>
      <c r="E195" s="43">
        <f>[3]Summary!E194</f>
        <v>17</v>
      </c>
      <c r="F195" s="179">
        <f>[3]Summary!F194</f>
        <v>0</v>
      </c>
      <c r="G195" s="44">
        <f t="shared" si="2"/>
        <v>0</v>
      </c>
      <c r="H195" s="44" t="s">
        <v>5399</v>
      </c>
      <c r="I195" s="41"/>
    </row>
    <row r="196" spans="1:9" ht="46.5">
      <c r="A196" s="201">
        <v>192</v>
      </c>
      <c r="B196" s="45" t="s">
        <v>5778</v>
      </c>
      <c r="C196" s="1" t="s">
        <v>492</v>
      </c>
      <c r="D196" s="46" t="s">
        <v>135</v>
      </c>
      <c r="E196" s="47">
        <f>[3]Summary!E195</f>
        <v>18</v>
      </c>
      <c r="F196" s="46">
        <f>[3]Summary!F195</f>
        <v>0</v>
      </c>
      <c r="G196" s="48">
        <f t="shared" si="2"/>
        <v>0</v>
      </c>
      <c r="H196" s="48" t="s">
        <v>5399</v>
      </c>
      <c r="I196" s="45"/>
    </row>
    <row r="197" spans="1:9" ht="23.25">
      <c r="A197" s="177">
        <v>193</v>
      </c>
      <c r="B197" s="41" t="s">
        <v>493</v>
      </c>
      <c r="C197" s="42" t="s">
        <v>494</v>
      </c>
      <c r="D197" s="178" t="s">
        <v>135</v>
      </c>
      <c r="E197" s="43">
        <f>[3]Summary!E196</f>
        <v>15</v>
      </c>
      <c r="F197" s="179">
        <f>[3]Summary!F196</f>
        <v>32</v>
      </c>
      <c r="G197" s="44">
        <f t="shared" ref="G197:G260" si="3">F197*E197</f>
        <v>480</v>
      </c>
      <c r="H197" s="44" t="s">
        <v>1612</v>
      </c>
      <c r="I197" s="41"/>
    </row>
    <row r="198" spans="1:9" ht="46.5">
      <c r="A198" s="201">
        <v>194</v>
      </c>
      <c r="B198" s="45" t="s">
        <v>495</v>
      </c>
      <c r="C198" s="1" t="s">
        <v>496</v>
      </c>
      <c r="D198" s="46" t="s">
        <v>135</v>
      </c>
      <c r="E198" s="47">
        <f>[3]Summary!E197</f>
        <v>1.3</v>
      </c>
      <c r="F198" s="46">
        <f>[3]Summary!F197</f>
        <v>0</v>
      </c>
      <c r="G198" s="48">
        <f t="shared" si="3"/>
        <v>0</v>
      </c>
      <c r="H198" s="48" t="s">
        <v>5398</v>
      </c>
      <c r="I198" s="45"/>
    </row>
    <row r="199" spans="1:9" ht="23.25">
      <c r="A199" s="177">
        <v>195</v>
      </c>
      <c r="B199" s="41" t="s">
        <v>497</v>
      </c>
      <c r="C199" s="42" t="s">
        <v>498</v>
      </c>
      <c r="D199" s="178" t="s">
        <v>135</v>
      </c>
      <c r="E199" s="43">
        <f>[3]Summary!E198</f>
        <v>22</v>
      </c>
      <c r="F199" s="179">
        <f>[3]Summary!F198</f>
        <v>0</v>
      </c>
      <c r="G199" s="44">
        <f t="shared" si="3"/>
        <v>0</v>
      </c>
      <c r="H199" s="44" t="s">
        <v>5392</v>
      </c>
      <c r="I199" s="41"/>
    </row>
    <row r="200" spans="1:9" ht="23.25">
      <c r="A200" s="201">
        <v>196</v>
      </c>
      <c r="B200" s="45" t="s">
        <v>499</v>
      </c>
      <c r="C200" s="1" t="s">
        <v>500</v>
      </c>
      <c r="D200" s="46" t="s">
        <v>135</v>
      </c>
      <c r="E200" s="47">
        <f>[3]Summary!E199</f>
        <v>20</v>
      </c>
      <c r="F200" s="46">
        <f>[3]Summary!F199</f>
        <v>0</v>
      </c>
      <c r="G200" s="48">
        <f t="shared" si="3"/>
        <v>0</v>
      </c>
      <c r="H200" s="48" t="s">
        <v>5392</v>
      </c>
      <c r="I200" s="45"/>
    </row>
    <row r="201" spans="1:9" ht="42">
      <c r="A201" s="177">
        <v>197</v>
      </c>
      <c r="B201" s="41" t="s">
        <v>501</v>
      </c>
      <c r="C201" s="42" t="s">
        <v>502</v>
      </c>
      <c r="D201" s="178" t="s">
        <v>135</v>
      </c>
      <c r="E201" s="43">
        <f>[3]Summary!E200</f>
        <v>6</v>
      </c>
      <c r="F201" s="179">
        <f>[3]Summary!F200</f>
        <v>0</v>
      </c>
      <c r="G201" s="44">
        <f t="shared" si="3"/>
        <v>0</v>
      </c>
      <c r="H201" s="44" t="s">
        <v>5392</v>
      </c>
      <c r="I201" s="41"/>
    </row>
    <row r="202" spans="1:9" ht="42">
      <c r="A202" s="201">
        <v>198</v>
      </c>
      <c r="B202" s="45" t="s">
        <v>503</v>
      </c>
      <c r="C202" s="1" t="s">
        <v>504</v>
      </c>
      <c r="D202" s="46" t="s">
        <v>135</v>
      </c>
      <c r="E202" s="47">
        <f>[3]Summary!E201</f>
        <v>0</v>
      </c>
      <c r="F202" s="46">
        <f>[3]Summary!F201</f>
        <v>0</v>
      </c>
      <c r="G202" s="48">
        <f t="shared" si="3"/>
        <v>0</v>
      </c>
      <c r="H202" s="48" t="s">
        <v>5392</v>
      </c>
      <c r="I202" s="45"/>
    </row>
    <row r="203" spans="1:9" ht="46.5">
      <c r="A203" s="177">
        <v>199</v>
      </c>
      <c r="B203" s="41" t="s">
        <v>505</v>
      </c>
      <c r="C203" s="42" t="s">
        <v>506</v>
      </c>
      <c r="D203" s="178" t="s">
        <v>135</v>
      </c>
      <c r="E203" s="43">
        <f>[3]Summary!E202</f>
        <v>6</v>
      </c>
      <c r="F203" s="179">
        <f>[3]Summary!F202</f>
        <v>0</v>
      </c>
      <c r="G203" s="44">
        <f t="shared" si="3"/>
        <v>0</v>
      </c>
      <c r="H203" s="44" t="s">
        <v>5389</v>
      </c>
      <c r="I203" s="41"/>
    </row>
    <row r="204" spans="1:9" ht="23.25">
      <c r="A204" s="201">
        <v>200</v>
      </c>
      <c r="B204" s="45" t="s">
        <v>507</v>
      </c>
      <c r="C204" s="1" t="s">
        <v>508</v>
      </c>
      <c r="D204" s="46" t="s">
        <v>135</v>
      </c>
      <c r="E204" s="47">
        <f>[3]Summary!E203</f>
        <v>0.22</v>
      </c>
      <c r="F204" s="46">
        <f>[3]Summary!F203</f>
        <v>0</v>
      </c>
      <c r="G204" s="48">
        <f t="shared" si="3"/>
        <v>0</v>
      </c>
      <c r="H204" s="48" t="s">
        <v>1606</v>
      </c>
      <c r="I204" s="45"/>
    </row>
    <row r="205" spans="1:9" ht="46.5">
      <c r="A205" s="177">
        <v>201</v>
      </c>
      <c r="B205" s="41" t="s">
        <v>509</v>
      </c>
      <c r="C205" s="42" t="s">
        <v>510</v>
      </c>
      <c r="D205" s="178" t="s">
        <v>135</v>
      </c>
      <c r="E205" s="43">
        <f>[3]Summary!E204</f>
        <v>0.3</v>
      </c>
      <c r="F205" s="179">
        <f>[3]Summary!F204</f>
        <v>869</v>
      </c>
      <c r="G205" s="44">
        <f t="shared" si="3"/>
        <v>260.7</v>
      </c>
      <c r="H205" s="44" t="s">
        <v>1654</v>
      </c>
      <c r="I205" s="41"/>
    </row>
    <row r="206" spans="1:9" ht="46.5">
      <c r="A206" s="201">
        <v>202</v>
      </c>
      <c r="B206" s="45" t="s">
        <v>511</v>
      </c>
      <c r="C206" s="1" t="s">
        <v>512</v>
      </c>
      <c r="D206" s="46" t="s">
        <v>135</v>
      </c>
      <c r="E206" s="47">
        <f>[3]Summary!E205</f>
        <v>0.5</v>
      </c>
      <c r="F206" s="46">
        <f>[3]Summary!F205</f>
        <v>132</v>
      </c>
      <c r="G206" s="48">
        <f t="shared" si="3"/>
        <v>66</v>
      </c>
      <c r="H206" s="48" t="s">
        <v>1654</v>
      </c>
      <c r="I206" s="45"/>
    </row>
    <row r="207" spans="1:9" ht="23.25">
      <c r="A207" s="177">
        <v>203</v>
      </c>
      <c r="B207" s="41" t="s">
        <v>513</v>
      </c>
      <c r="C207" s="42" t="s">
        <v>514</v>
      </c>
      <c r="D207" s="178" t="s">
        <v>135</v>
      </c>
      <c r="E207" s="43">
        <f>[3]Summary!E206</f>
        <v>0.35</v>
      </c>
      <c r="F207" s="179">
        <f>[3]Summary!F206</f>
        <v>48</v>
      </c>
      <c r="G207" s="44">
        <f t="shared" si="3"/>
        <v>16.799999999999997</v>
      </c>
      <c r="H207" s="44" t="s">
        <v>1654</v>
      </c>
      <c r="I207" s="41"/>
    </row>
    <row r="208" spans="1:9" ht="46.5">
      <c r="A208" s="201">
        <v>204</v>
      </c>
      <c r="B208" s="45" t="s">
        <v>515</v>
      </c>
      <c r="C208" s="1" t="s">
        <v>516</v>
      </c>
      <c r="D208" s="46" t="s">
        <v>135</v>
      </c>
      <c r="E208" s="47">
        <f>[3]Summary!E207</f>
        <v>1</v>
      </c>
      <c r="F208" s="46">
        <f>[3]Summary!F207</f>
        <v>29</v>
      </c>
      <c r="G208" s="48">
        <f t="shared" si="3"/>
        <v>29</v>
      </c>
      <c r="H208" s="48" t="s">
        <v>1654</v>
      </c>
      <c r="I208" s="45"/>
    </row>
    <row r="209" spans="1:9" ht="46.5">
      <c r="A209" s="177">
        <v>205</v>
      </c>
      <c r="B209" s="41" t="s">
        <v>517</v>
      </c>
      <c r="C209" s="42" t="s">
        <v>518</v>
      </c>
      <c r="D209" s="178" t="s">
        <v>135</v>
      </c>
      <c r="E209" s="43">
        <f>[3]Summary!E208</f>
        <v>1</v>
      </c>
      <c r="F209" s="179">
        <f>[3]Summary!F208</f>
        <v>6</v>
      </c>
      <c r="G209" s="44">
        <f t="shared" si="3"/>
        <v>6</v>
      </c>
      <c r="H209" s="44" t="s">
        <v>1654</v>
      </c>
      <c r="I209" s="41"/>
    </row>
    <row r="210" spans="1:9" ht="46.5">
      <c r="A210" s="201">
        <v>206</v>
      </c>
      <c r="B210" s="45" t="s">
        <v>519</v>
      </c>
      <c r="C210" s="1" t="s">
        <v>520</v>
      </c>
      <c r="D210" s="46" t="s">
        <v>135</v>
      </c>
      <c r="E210" s="47">
        <f>[3]Summary!E209</f>
        <v>0.1</v>
      </c>
      <c r="F210" s="46">
        <f>[3]Summary!F209</f>
        <v>430</v>
      </c>
      <c r="G210" s="48">
        <f t="shared" si="3"/>
        <v>43</v>
      </c>
      <c r="H210" s="48" t="s">
        <v>1654</v>
      </c>
      <c r="I210" s="45"/>
    </row>
    <row r="211" spans="1:9" ht="46.5">
      <c r="A211" s="177">
        <v>207</v>
      </c>
      <c r="B211" s="41" t="s">
        <v>521</v>
      </c>
      <c r="C211" s="42" t="s">
        <v>522</v>
      </c>
      <c r="D211" s="178" t="s">
        <v>135</v>
      </c>
      <c r="E211" s="43">
        <f>[3]Summary!E210</f>
        <v>0.08</v>
      </c>
      <c r="F211" s="179">
        <f>[3]Summary!F210</f>
        <v>1007</v>
      </c>
      <c r="G211" s="44">
        <f t="shared" si="3"/>
        <v>80.56</v>
      </c>
      <c r="H211" s="44" t="s">
        <v>1654</v>
      </c>
      <c r="I211" s="41"/>
    </row>
    <row r="212" spans="1:9" ht="46.5">
      <c r="A212" s="201">
        <v>208</v>
      </c>
      <c r="B212" s="45" t="s">
        <v>523</v>
      </c>
      <c r="C212" s="1" t="s">
        <v>524</v>
      </c>
      <c r="D212" s="46" t="s">
        <v>135</v>
      </c>
      <c r="E212" s="47">
        <f>[3]Summary!E211</f>
        <v>5.6599999999999998E-2</v>
      </c>
      <c r="F212" s="46">
        <f>[3]Summary!F211</f>
        <v>480</v>
      </c>
      <c r="G212" s="48">
        <f t="shared" si="3"/>
        <v>27.167999999999999</v>
      </c>
      <c r="H212" s="48" t="s">
        <v>1606</v>
      </c>
      <c r="I212" s="45"/>
    </row>
    <row r="213" spans="1:9" ht="46.5">
      <c r="A213" s="177">
        <v>209</v>
      </c>
      <c r="B213" s="41" t="s">
        <v>525</v>
      </c>
      <c r="C213" s="42" t="s">
        <v>526</v>
      </c>
      <c r="D213" s="178" t="s">
        <v>135</v>
      </c>
      <c r="E213" s="43">
        <f>[3]Summary!E212</f>
        <v>13</v>
      </c>
      <c r="F213" s="179">
        <f>[3]Summary!F212</f>
        <v>88</v>
      </c>
      <c r="G213" s="44">
        <f t="shared" si="3"/>
        <v>1144</v>
      </c>
      <c r="H213" s="44" t="s">
        <v>1636</v>
      </c>
      <c r="I213" s="41"/>
    </row>
    <row r="214" spans="1:9" ht="46.5">
      <c r="A214" s="201">
        <v>210</v>
      </c>
      <c r="B214" s="45" t="s">
        <v>527</v>
      </c>
      <c r="C214" s="1" t="s">
        <v>528</v>
      </c>
      <c r="D214" s="46" t="s">
        <v>135</v>
      </c>
      <c r="E214" s="47">
        <f>[3]Summary!E213</f>
        <v>3</v>
      </c>
      <c r="F214" s="46">
        <f>[3]Summary!F213</f>
        <v>0</v>
      </c>
      <c r="G214" s="48">
        <f t="shared" si="3"/>
        <v>0</v>
      </c>
      <c r="H214" s="48" t="s">
        <v>1606</v>
      </c>
      <c r="I214" s="45"/>
    </row>
    <row r="215" spans="1:9" ht="46.5">
      <c r="A215" s="177">
        <v>211</v>
      </c>
      <c r="B215" s="41" t="s">
        <v>529</v>
      </c>
      <c r="C215" s="42" t="s">
        <v>530</v>
      </c>
      <c r="D215" s="178" t="s">
        <v>135</v>
      </c>
      <c r="E215" s="43">
        <f>[3]Summary!E214</f>
        <v>0</v>
      </c>
      <c r="F215" s="179">
        <f>[3]Summary!F214</f>
        <v>168</v>
      </c>
      <c r="G215" s="44">
        <f t="shared" si="3"/>
        <v>0</v>
      </c>
      <c r="H215" s="44" t="s">
        <v>1606</v>
      </c>
      <c r="I215" s="41"/>
    </row>
    <row r="216" spans="1:9" ht="23.25">
      <c r="A216" s="201">
        <v>212</v>
      </c>
      <c r="B216" s="45" t="s">
        <v>531</v>
      </c>
      <c r="C216" s="1" t="s">
        <v>532</v>
      </c>
      <c r="D216" s="46" t="s">
        <v>135</v>
      </c>
      <c r="E216" s="47">
        <f>[3]Summary!E215</f>
        <v>20</v>
      </c>
      <c r="F216" s="46">
        <f>[3]Summary!F215</f>
        <v>4</v>
      </c>
      <c r="G216" s="48">
        <f t="shared" si="3"/>
        <v>80</v>
      </c>
      <c r="H216" s="48" t="s">
        <v>1606</v>
      </c>
      <c r="I216" s="45"/>
    </row>
    <row r="217" spans="1:9" ht="46.5">
      <c r="A217" s="177">
        <v>213</v>
      </c>
      <c r="B217" s="41" t="s">
        <v>533</v>
      </c>
      <c r="C217" s="42" t="s">
        <v>534</v>
      </c>
      <c r="D217" s="178" t="s">
        <v>135</v>
      </c>
      <c r="E217" s="43">
        <f>[3]Summary!E216</f>
        <v>5</v>
      </c>
      <c r="F217" s="179">
        <f>[3]Summary!F216</f>
        <v>32</v>
      </c>
      <c r="G217" s="44">
        <f t="shared" si="3"/>
        <v>160</v>
      </c>
      <c r="H217" s="44" t="s">
        <v>1606</v>
      </c>
      <c r="I217" s="41"/>
    </row>
    <row r="218" spans="1:9" ht="46.5">
      <c r="A218" s="201">
        <v>214</v>
      </c>
      <c r="B218" s="45" t="s">
        <v>535</v>
      </c>
      <c r="C218" s="1" t="s">
        <v>536</v>
      </c>
      <c r="D218" s="46" t="s">
        <v>135</v>
      </c>
      <c r="E218" s="47">
        <f>[3]Summary!E217</f>
        <v>10</v>
      </c>
      <c r="F218" s="46">
        <f>[3]Summary!F217</f>
        <v>1</v>
      </c>
      <c r="G218" s="48">
        <f t="shared" si="3"/>
        <v>10</v>
      </c>
      <c r="H218" s="48" t="s">
        <v>1606</v>
      </c>
      <c r="I218" s="45"/>
    </row>
    <row r="219" spans="1:9" ht="46.5">
      <c r="A219" s="177">
        <v>215</v>
      </c>
      <c r="B219" s="41" t="s">
        <v>537</v>
      </c>
      <c r="C219" s="42" t="s">
        <v>538</v>
      </c>
      <c r="D219" s="178" t="s">
        <v>135</v>
      </c>
      <c r="E219" s="43">
        <f>[3]Summary!E218</f>
        <v>12</v>
      </c>
      <c r="F219" s="179">
        <f>[3]Summary!F218</f>
        <v>0</v>
      </c>
      <c r="G219" s="44">
        <f t="shared" si="3"/>
        <v>0</v>
      </c>
      <c r="H219" s="44" t="s">
        <v>5389</v>
      </c>
      <c r="I219" s="41"/>
    </row>
    <row r="220" spans="1:9" ht="46.5">
      <c r="A220" s="201">
        <v>216</v>
      </c>
      <c r="B220" s="45" t="s">
        <v>539</v>
      </c>
      <c r="C220" s="1" t="s">
        <v>540</v>
      </c>
      <c r="D220" s="46" t="s">
        <v>135</v>
      </c>
      <c r="E220" s="47">
        <f>[3]Summary!E219</f>
        <v>2</v>
      </c>
      <c r="F220" s="46">
        <f>[3]Summary!F219</f>
        <v>3</v>
      </c>
      <c r="G220" s="48">
        <f t="shared" si="3"/>
        <v>6</v>
      </c>
      <c r="H220" s="48" t="s">
        <v>5390</v>
      </c>
      <c r="I220" s="45"/>
    </row>
    <row r="221" spans="1:9" ht="23.25">
      <c r="A221" s="177">
        <v>217</v>
      </c>
      <c r="B221" s="41" t="s">
        <v>541</v>
      </c>
      <c r="C221" s="42" t="s">
        <v>542</v>
      </c>
      <c r="D221" s="178" t="s">
        <v>135</v>
      </c>
      <c r="E221" s="43">
        <f>[3]Summary!E220</f>
        <v>600</v>
      </c>
      <c r="F221" s="179">
        <f>[3]Summary!F220</f>
        <v>0</v>
      </c>
      <c r="G221" s="44">
        <f t="shared" si="3"/>
        <v>0</v>
      </c>
      <c r="H221" s="44" t="s">
        <v>5390</v>
      </c>
      <c r="I221" s="41"/>
    </row>
    <row r="222" spans="1:9" ht="46.5">
      <c r="A222" s="201">
        <v>218</v>
      </c>
      <c r="B222" s="45" t="s">
        <v>543</v>
      </c>
      <c r="C222" s="1" t="s">
        <v>544</v>
      </c>
      <c r="D222" s="46" t="s">
        <v>135</v>
      </c>
      <c r="E222" s="47">
        <f>[3]Summary!E221</f>
        <v>2</v>
      </c>
      <c r="F222" s="46">
        <f>[3]Summary!F221</f>
        <v>0</v>
      </c>
      <c r="G222" s="48">
        <f t="shared" si="3"/>
        <v>0</v>
      </c>
      <c r="H222" s="48" t="s">
        <v>5390</v>
      </c>
      <c r="I222" s="45"/>
    </row>
    <row r="223" spans="1:9" ht="46.5">
      <c r="A223" s="177">
        <v>219</v>
      </c>
      <c r="B223" s="41" t="s">
        <v>545</v>
      </c>
      <c r="C223" s="42" t="s">
        <v>546</v>
      </c>
      <c r="D223" s="178" t="s">
        <v>135</v>
      </c>
      <c r="E223" s="43">
        <f>[3]Summary!E222</f>
        <v>2.25</v>
      </c>
      <c r="F223" s="179">
        <f>[3]Summary!F222</f>
        <v>4</v>
      </c>
      <c r="G223" s="44">
        <f t="shared" si="3"/>
        <v>9</v>
      </c>
      <c r="H223" s="44" t="s">
        <v>1606</v>
      </c>
      <c r="I223" s="41"/>
    </row>
    <row r="224" spans="1:9" ht="46.5">
      <c r="A224" s="201">
        <v>220</v>
      </c>
      <c r="B224" s="45" t="s">
        <v>547</v>
      </c>
      <c r="C224" s="1" t="s">
        <v>548</v>
      </c>
      <c r="D224" s="46" t="s">
        <v>135</v>
      </c>
      <c r="E224" s="47">
        <f>[3]Summary!E223</f>
        <v>4</v>
      </c>
      <c r="F224" s="46">
        <f>[3]Summary!F223</f>
        <v>67</v>
      </c>
      <c r="G224" s="48">
        <f t="shared" si="3"/>
        <v>268</v>
      </c>
      <c r="H224" s="48" t="s">
        <v>1606</v>
      </c>
      <c r="I224" s="45"/>
    </row>
    <row r="225" spans="1:9" ht="46.5">
      <c r="A225" s="177">
        <v>221</v>
      </c>
      <c r="B225" s="41" t="s">
        <v>549</v>
      </c>
      <c r="C225" s="42" t="s">
        <v>550</v>
      </c>
      <c r="D225" s="178" t="s">
        <v>135</v>
      </c>
      <c r="E225" s="43">
        <f>[3]Summary!E224</f>
        <v>15</v>
      </c>
      <c r="F225" s="179">
        <f>[3]Summary!F224</f>
        <v>22</v>
      </c>
      <c r="G225" s="44">
        <f t="shared" si="3"/>
        <v>330</v>
      </c>
      <c r="H225" s="44" t="s">
        <v>1606</v>
      </c>
      <c r="I225" s="41"/>
    </row>
    <row r="226" spans="1:9" ht="46.5">
      <c r="A226" s="201">
        <v>222</v>
      </c>
      <c r="B226" s="45" t="s">
        <v>551</v>
      </c>
      <c r="C226" s="1" t="s">
        <v>552</v>
      </c>
      <c r="D226" s="46" t="s">
        <v>135</v>
      </c>
      <c r="E226" s="47">
        <f>[3]Summary!E225</f>
        <v>2.25</v>
      </c>
      <c r="F226" s="46">
        <f>[3]Summary!F225</f>
        <v>11</v>
      </c>
      <c r="G226" s="48">
        <f t="shared" si="3"/>
        <v>24.75</v>
      </c>
      <c r="H226" s="48" t="s">
        <v>1654</v>
      </c>
      <c r="I226" s="45"/>
    </row>
    <row r="227" spans="1:9" ht="23.25">
      <c r="A227" s="177">
        <v>223</v>
      </c>
      <c r="B227" s="41" t="s">
        <v>553</v>
      </c>
      <c r="C227" s="42" t="s">
        <v>554</v>
      </c>
      <c r="D227" s="178" t="s">
        <v>135</v>
      </c>
      <c r="E227" s="43">
        <f>[3]Summary!E226</f>
        <v>0.15</v>
      </c>
      <c r="F227" s="179">
        <f>[3]Summary!F226</f>
        <v>321</v>
      </c>
      <c r="G227" s="44">
        <f t="shared" si="3"/>
        <v>48.15</v>
      </c>
      <c r="H227" s="44" t="s">
        <v>1654</v>
      </c>
      <c r="I227" s="41"/>
    </row>
    <row r="228" spans="1:9" ht="23.25">
      <c r="A228" s="201">
        <v>224</v>
      </c>
      <c r="B228" s="45" t="s">
        <v>555</v>
      </c>
      <c r="C228" s="1" t="s">
        <v>556</v>
      </c>
      <c r="D228" s="46" t="s">
        <v>135</v>
      </c>
      <c r="E228" s="47">
        <f>[3]Summary!E227</f>
        <v>0.35</v>
      </c>
      <c r="F228" s="46">
        <f>[3]Summary!F227</f>
        <v>268</v>
      </c>
      <c r="G228" s="48">
        <f t="shared" si="3"/>
        <v>93.8</v>
      </c>
      <c r="H228" s="48" t="s">
        <v>1654</v>
      </c>
      <c r="I228" s="45"/>
    </row>
    <row r="229" spans="1:9" ht="23.25">
      <c r="A229" s="177">
        <v>225</v>
      </c>
      <c r="B229" s="41" t="s">
        <v>557</v>
      </c>
      <c r="C229" s="42" t="s">
        <v>558</v>
      </c>
      <c r="D229" s="178" t="s">
        <v>135</v>
      </c>
      <c r="E229" s="43">
        <f>[3]Summary!E228</f>
        <v>1.75</v>
      </c>
      <c r="F229" s="179">
        <f>[3]Summary!F228</f>
        <v>9</v>
      </c>
      <c r="G229" s="44">
        <f t="shared" si="3"/>
        <v>15.75</v>
      </c>
      <c r="H229" s="44" t="s">
        <v>1654</v>
      </c>
      <c r="I229" s="41"/>
    </row>
    <row r="230" spans="1:9" ht="46.5">
      <c r="A230" s="201">
        <v>226</v>
      </c>
      <c r="B230" s="45" t="s">
        <v>559</v>
      </c>
      <c r="C230" s="1" t="s">
        <v>560</v>
      </c>
      <c r="D230" s="46" t="s">
        <v>135</v>
      </c>
      <c r="E230" s="47">
        <f>[3]Summary!E229</f>
        <v>5</v>
      </c>
      <c r="F230" s="46">
        <f>[3]Summary!F229</f>
        <v>4</v>
      </c>
      <c r="G230" s="48">
        <f t="shared" si="3"/>
        <v>20</v>
      </c>
      <c r="H230" s="48" t="s">
        <v>1606</v>
      </c>
      <c r="I230" s="45"/>
    </row>
    <row r="231" spans="1:9" ht="46.5">
      <c r="A231" s="177">
        <v>227</v>
      </c>
      <c r="B231" s="41" t="s">
        <v>561</v>
      </c>
      <c r="C231" s="42" t="s">
        <v>562</v>
      </c>
      <c r="D231" s="178" t="s">
        <v>135</v>
      </c>
      <c r="E231" s="43">
        <f>[3]Summary!E230</f>
        <v>19</v>
      </c>
      <c r="F231" s="179">
        <f>[3]Summary!F230</f>
        <v>4</v>
      </c>
      <c r="G231" s="44">
        <f t="shared" si="3"/>
        <v>76</v>
      </c>
      <c r="H231" s="44" t="s">
        <v>1606</v>
      </c>
      <c r="I231" s="41"/>
    </row>
    <row r="232" spans="1:9" ht="46.5">
      <c r="A232" s="201">
        <v>228</v>
      </c>
      <c r="B232" s="45" t="s">
        <v>563</v>
      </c>
      <c r="C232" s="1" t="s">
        <v>564</v>
      </c>
      <c r="D232" s="46" t="s">
        <v>135</v>
      </c>
      <c r="E232" s="47">
        <f>[3]Summary!E231</f>
        <v>0.441</v>
      </c>
      <c r="F232" s="46">
        <f>[3]Summary!F231</f>
        <v>1328</v>
      </c>
      <c r="G232" s="48">
        <f t="shared" si="3"/>
        <v>585.64800000000002</v>
      </c>
      <c r="H232" s="48" t="s">
        <v>1606</v>
      </c>
      <c r="I232" s="45"/>
    </row>
    <row r="233" spans="1:9" ht="46.5">
      <c r="A233" s="177">
        <v>229</v>
      </c>
      <c r="B233" s="41" t="s">
        <v>565</v>
      </c>
      <c r="C233" s="42" t="s">
        <v>566</v>
      </c>
      <c r="D233" s="178" t="s">
        <v>135</v>
      </c>
      <c r="E233" s="43">
        <f>[3]Summary!E232</f>
        <v>37.5</v>
      </c>
      <c r="F233" s="179">
        <f>[3]Summary!F232</f>
        <v>0</v>
      </c>
      <c r="G233" s="44">
        <f t="shared" si="3"/>
        <v>0</v>
      </c>
      <c r="H233" s="44" t="s">
        <v>1636</v>
      </c>
      <c r="I233" s="41"/>
    </row>
    <row r="234" spans="1:9" ht="46.5">
      <c r="A234" s="201">
        <v>230</v>
      </c>
      <c r="B234" s="45" t="s">
        <v>567</v>
      </c>
      <c r="C234" s="1" t="s">
        <v>568</v>
      </c>
      <c r="D234" s="46" t="s">
        <v>135</v>
      </c>
      <c r="E234" s="47">
        <f>[3]Summary!E233</f>
        <v>75</v>
      </c>
      <c r="F234" s="46">
        <f>[3]Summary!F233</f>
        <v>1</v>
      </c>
      <c r="G234" s="48">
        <f t="shared" si="3"/>
        <v>75</v>
      </c>
      <c r="H234" s="48" t="s">
        <v>1636</v>
      </c>
      <c r="I234" s="45"/>
    </row>
    <row r="235" spans="1:9" ht="46.5">
      <c r="A235" s="177">
        <v>231</v>
      </c>
      <c r="B235" s="41" t="s">
        <v>569</v>
      </c>
      <c r="C235" s="42" t="s">
        <v>570</v>
      </c>
      <c r="D235" s="178" t="s">
        <v>135</v>
      </c>
      <c r="E235" s="43">
        <f>[3]Summary!E234</f>
        <v>75</v>
      </c>
      <c r="F235" s="179">
        <f>[3]Summary!F234</f>
        <v>5</v>
      </c>
      <c r="G235" s="44">
        <f t="shared" si="3"/>
        <v>375</v>
      </c>
      <c r="H235" s="44" t="s">
        <v>1636</v>
      </c>
      <c r="I235" s="41"/>
    </row>
    <row r="236" spans="1:9" ht="46.5">
      <c r="A236" s="201">
        <v>232</v>
      </c>
      <c r="B236" s="45" t="s">
        <v>571</v>
      </c>
      <c r="C236" s="1" t="s">
        <v>572</v>
      </c>
      <c r="D236" s="46" t="s">
        <v>135</v>
      </c>
      <c r="E236" s="47">
        <f>[3]Summary!E235</f>
        <v>40.5</v>
      </c>
      <c r="F236" s="46">
        <f>[3]Summary!F235</f>
        <v>43</v>
      </c>
      <c r="G236" s="48">
        <f t="shared" si="3"/>
        <v>1741.5</v>
      </c>
      <c r="H236" s="48" t="s">
        <v>1636</v>
      </c>
      <c r="I236" s="45"/>
    </row>
    <row r="237" spans="1:9" ht="23.25">
      <c r="A237" s="177">
        <v>233</v>
      </c>
      <c r="B237" s="41" t="s">
        <v>1656</v>
      </c>
      <c r="C237" s="42" t="s">
        <v>1657</v>
      </c>
      <c r="D237" s="178" t="s">
        <v>135</v>
      </c>
      <c r="E237" s="43">
        <f>[3]Summary!E236</f>
        <v>248</v>
      </c>
      <c r="F237" s="179">
        <f>[3]Summary!F236</f>
        <v>49</v>
      </c>
      <c r="G237" s="44">
        <f t="shared" si="3"/>
        <v>12152</v>
      </c>
      <c r="H237" s="44" t="s">
        <v>1636</v>
      </c>
      <c r="I237" s="41"/>
    </row>
    <row r="238" spans="1:9" ht="46.5">
      <c r="A238" s="201">
        <v>234</v>
      </c>
      <c r="B238" s="45" t="s">
        <v>573</v>
      </c>
      <c r="C238" s="1" t="s">
        <v>574</v>
      </c>
      <c r="D238" s="46" t="s">
        <v>135</v>
      </c>
      <c r="E238" s="47">
        <f>[3]Summary!E237</f>
        <v>240</v>
      </c>
      <c r="F238" s="46">
        <f>[3]Summary!F237</f>
        <v>3</v>
      </c>
      <c r="G238" s="48">
        <f t="shared" si="3"/>
        <v>720</v>
      </c>
      <c r="H238" s="48" t="s">
        <v>1636</v>
      </c>
      <c r="I238" s="45"/>
    </row>
    <row r="239" spans="1:9" ht="23.25">
      <c r="A239" s="177">
        <v>235</v>
      </c>
      <c r="B239" s="41" t="s">
        <v>575</v>
      </c>
      <c r="C239" s="42" t="s">
        <v>576</v>
      </c>
      <c r="D239" s="178" t="s">
        <v>135</v>
      </c>
      <c r="E239" s="43">
        <f>[3]Summary!E238</f>
        <v>300</v>
      </c>
      <c r="F239" s="179">
        <f>[3]Summary!F238</f>
        <v>0</v>
      </c>
      <c r="G239" s="44">
        <f t="shared" si="3"/>
        <v>0</v>
      </c>
      <c r="H239" s="44" t="s">
        <v>1636</v>
      </c>
      <c r="I239" s="41"/>
    </row>
    <row r="240" spans="1:9" ht="46.5">
      <c r="A240" s="201">
        <v>236</v>
      </c>
      <c r="B240" s="45" t="s">
        <v>577</v>
      </c>
      <c r="C240" s="1" t="s">
        <v>578</v>
      </c>
      <c r="D240" s="46" t="s">
        <v>135</v>
      </c>
      <c r="E240" s="47">
        <f>[3]Summary!E239</f>
        <v>8.67</v>
      </c>
      <c r="F240" s="46">
        <f>[3]Summary!F239</f>
        <v>36</v>
      </c>
      <c r="G240" s="48">
        <f t="shared" si="3"/>
        <v>312.12</v>
      </c>
      <c r="H240" s="48" t="s">
        <v>1636</v>
      </c>
      <c r="I240" s="45"/>
    </row>
    <row r="241" spans="1:9" ht="23.25">
      <c r="A241" s="177">
        <v>237</v>
      </c>
      <c r="B241" s="41" t="s">
        <v>579</v>
      </c>
      <c r="C241" s="42" t="s">
        <v>580</v>
      </c>
      <c r="D241" s="178" t="s">
        <v>135</v>
      </c>
      <c r="E241" s="43">
        <f>[3]Summary!E240</f>
        <v>20</v>
      </c>
      <c r="F241" s="179">
        <f>[3]Summary!F240</f>
        <v>0</v>
      </c>
      <c r="G241" s="44">
        <f t="shared" si="3"/>
        <v>0</v>
      </c>
      <c r="H241" s="44" t="s">
        <v>5390</v>
      </c>
      <c r="I241" s="41"/>
    </row>
    <row r="242" spans="1:9" ht="46.5">
      <c r="A242" s="201">
        <v>238</v>
      </c>
      <c r="B242" s="45" t="s">
        <v>581</v>
      </c>
      <c r="C242" s="1" t="s">
        <v>582</v>
      </c>
      <c r="D242" s="46" t="s">
        <v>135</v>
      </c>
      <c r="E242" s="47">
        <f>[3]Summary!E241</f>
        <v>40.5</v>
      </c>
      <c r="F242" s="46">
        <f>[3]Summary!F241</f>
        <v>0</v>
      </c>
      <c r="G242" s="48">
        <f t="shared" si="3"/>
        <v>0</v>
      </c>
      <c r="H242" s="48" t="s">
        <v>1636</v>
      </c>
      <c r="I242" s="45"/>
    </row>
    <row r="243" spans="1:9" ht="23.25">
      <c r="A243" s="177">
        <v>239</v>
      </c>
      <c r="B243" s="41" t="s">
        <v>583</v>
      </c>
      <c r="C243" s="42" t="s">
        <v>584</v>
      </c>
      <c r="D243" s="178" t="s">
        <v>135</v>
      </c>
      <c r="E243" s="43">
        <f>[3]Summary!E242</f>
        <v>170</v>
      </c>
      <c r="F243" s="179">
        <f>[3]Summary!F242</f>
        <v>2</v>
      </c>
      <c r="G243" s="44">
        <f t="shared" si="3"/>
        <v>340</v>
      </c>
      <c r="H243" s="44" t="s">
        <v>1636</v>
      </c>
      <c r="I243" s="41"/>
    </row>
    <row r="244" spans="1:9" ht="46.5">
      <c r="A244" s="201">
        <v>240</v>
      </c>
      <c r="B244" s="45" t="s">
        <v>585</v>
      </c>
      <c r="C244" s="1" t="s">
        <v>586</v>
      </c>
      <c r="D244" s="46" t="s">
        <v>135</v>
      </c>
      <c r="E244" s="47">
        <f>[3]Summary!E243</f>
        <v>40</v>
      </c>
      <c r="F244" s="46">
        <f>[3]Summary!F243</f>
        <v>0</v>
      </c>
      <c r="G244" s="48">
        <f t="shared" si="3"/>
        <v>0</v>
      </c>
      <c r="H244" s="48" t="s">
        <v>5390</v>
      </c>
      <c r="I244" s="45"/>
    </row>
    <row r="245" spans="1:9" ht="23.25">
      <c r="A245" s="177">
        <v>241</v>
      </c>
      <c r="B245" s="41" t="s">
        <v>587</v>
      </c>
      <c r="C245" s="42" t="s">
        <v>588</v>
      </c>
      <c r="D245" s="178" t="s">
        <v>135</v>
      </c>
      <c r="E245" s="43">
        <f>[3]Summary!E244</f>
        <v>0.2</v>
      </c>
      <c r="F245" s="179">
        <f>[3]Summary!F244</f>
        <v>2211</v>
      </c>
      <c r="G245" s="44">
        <f t="shared" si="3"/>
        <v>442.20000000000005</v>
      </c>
      <c r="H245" s="44" t="s">
        <v>5394</v>
      </c>
      <c r="I245" s="41"/>
    </row>
    <row r="246" spans="1:9" ht="23.25">
      <c r="A246" s="201">
        <v>242</v>
      </c>
      <c r="B246" s="45" t="s">
        <v>589</v>
      </c>
      <c r="C246" s="1" t="s">
        <v>590</v>
      </c>
      <c r="D246" s="46" t="s">
        <v>135</v>
      </c>
      <c r="E246" s="47">
        <f>[3]Summary!E245</f>
        <v>3</v>
      </c>
      <c r="F246" s="46">
        <f>[3]Summary!F245</f>
        <v>22</v>
      </c>
      <c r="G246" s="48">
        <f t="shared" si="3"/>
        <v>66</v>
      </c>
      <c r="H246" s="48" t="s">
        <v>5392</v>
      </c>
      <c r="I246" s="45"/>
    </row>
    <row r="247" spans="1:9" ht="42">
      <c r="A247" s="177">
        <v>243</v>
      </c>
      <c r="B247" s="41" t="s">
        <v>591</v>
      </c>
      <c r="C247" s="42" t="s">
        <v>592</v>
      </c>
      <c r="D247" s="178" t="s">
        <v>135</v>
      </c>
      <c r="E247" s="43">
        <f>[3]Summary!E246</f>
        <v>10</v>
      </c>
      <c r="F247" s="179">
        <f>[3]Summary!F246</f>
        <v>2</v>
      </c>
      <c r="G247" s="44">
        <f t="shared" si="3"/>
        <v>20</v>
      </c>
      <c r="H247" s="44" t="s">
        <v>1636</v>
      </c>
      <c r="I247" s="41"/>
    </row>
    <row r="248" spans="1:9" ht="42">
      <c r="A248" s="201">
        <v>244</v>
      </c>
      <c r="B248" s="45" t="s">
        <v>593</v>
      </c>
      <c r="C248" s="1" t="s">
        <v>594</v>
      </c>
      <c r="D248" s="46" t="s">
        <v>135</v>
      </c>
      <c r="E248" s="47">
        <f>[3]Summary!E247</f>
        <v>18</v>
      </c>
      <c r="F248" s="46">
        <f>[3]Summary!F247</f>
        <v>0</v>
      </c>
      <c r="G248" s="48">
        <f t="shared" si="3"/>
        <v>0</v>
      </c>
      <c r="H248" s="48" t="s">
        <v>1636</v>
      </c>
      <c r="I248" s="45"/>
    </row>
    <row r="249" spans="1:9" ht="46.5">
      <c r="A249" s="177">
        <v>245</v>
      </c>
      <c r="B249" s="41" t="s">
        <v>595</v>
      </c>
      <c r="C249" s="42" t="s">
        <v>596</v>
      </c>
      <c r="D249" s="178" t="s">
        <v>135</v>
      </c>
      <c r="E249" s="43">
        <f>[3]Summary!E248</f>
        <v>30</v>
      </c>
      <c r="F249" s="179">
        <f>[3]Summary!F248</f>
        <v>3</v>
      </c>
      <c r="G249" s="44">
        <f t="shared" si="3"/>
        <v>90</v>
      </c>
      <c r="H249" s="44" t="s">
        <v>5390</v>
      </c>
      <c r="I249" s="41"/>
    </row>
    <row r="250" spans="1:9" ht="23.25">
      <c r="A250" s="201">
        <v>246</v>
      </c>
      <c r="B250" s="45" t="s">
        <v>597</v>
      </c>
      <c r="C250" s="1" t="s">
        <v>598</v>
      </c>
      <c r="D250" s="46" t="s">
        <v>135</v>
      </c>
      <c r="E250" s="47">
        <f>[3]Summary!E249</f>
        <v>20</v>
      </c>
      <c r="F250" s="46">
        <f>[3]Summary!F249</f>
        <v>0</v>
      </c>
      <c r="G250" s="48">
        <f t="shared" si="3"/>
        <v>0</v>
      </c>
      <c r="H250" s="48" t="s">
        <v>5390</v>
      </c>
      <c r="I250" s="45"/>
    </row>
    <row r="251" spans="1:9" ht="23.25">
      <c r="A251" s="177">
        <v>247</v>
      </c>
      <c r="B251" s="41" t="s">
        <v>599</v>
      </c>
      <c r="C251" s="42" t="s">
        <v>600</v>
      </c>
      <c r="D251" s="178" t="s">
        <v>135</v>
      </c>
      <c r="E251" s="43">
        <f>[3]Summary!E250</f>
        <v>0</v>
      </c>
      <c r="F251" s="179">
        <f>[3]Summary!F250</f>
        <v>1</v>
      </c>
      <c r="G251" s="44">
        <f t="shared" si="3"/>
        <v>0</v>
      </c>
      <c r="H251" s="44" t="s">
        <v>5388</v>
      </c>
      <c r="I251" s="41"/>
    </row>
    <row r="252" spans="1:9" ht="46.5">
      <c r="A252" s="201">
        <v>248</v>
      </c>
      <c r="B252" s="45" t="s">
        <v>601</v>
      </c>
      <c r="C252" s="1" t="s">
        <v>602</v>
      </c>
      <c r="D252" s="46" t="s">
        <v>135</v>
      </c>
      <c r="E252" s="47">
        <f>[3]Summary!E251</f>
        <v>0.54900000000000004</v>
      </c>
      <c r="F252" s="46">
        <f>[3]Summary!F251</f>
        <v>1227</v>
      </c>
      <c r="G252" s="48">
        <f t="shared" si="3"/>
        <v>673.62300000000005</v>
      </c>
      <c r="H252" s="48" t="s">
        <v>1606</v>
      </c>
      <c r="I252" s="45"/>
    </row>
    <row r="253" spans="1:9" ht="46.5">
      <c r="A253" s="177">
        <v>249</v>
      </c>
      <c r="B253" s="41" t="s">
        <v>603</v>
      </c>
      <c r="C253" s="42" t="s">
        <v>604</v>
      </c>
      <c r="D253" s="178" t="s">
        <v>135</v>
      </c>
      <c r="E253" s="43">
        <f>[3]Summary!E252</f>
        <v>8.5</v>
      </c>
      <c r="F253" s="179">
        <f>[3]Summary!F252</f>
        <v>0</v>
      </c>
      <c r="G253" s="44">
        <f t="shared" si="3"/>
        <v>0</v>
      </c>
      <c r="H253" s="44" t="s">
        <v>5390</v>
      </c>
      <c r="I253" s="41"/>
    </row>
    <row r="254" spans="1:9" ht="46.5">
      <c r="A254" s="201">
        <v>250</v>
      </c>
      <c r="B254" s="45" t="s">
        <v>605</v>
      </c>
      <c r="C254" s="1" t="s">
        <v>606</v>
      </c>
      <c r="D254" s="46" t="s">
        <v>135</v>
      </c>
      <c r="E254" s="47">
        <f>[3]Summary!E253</f>
        <v>50</v>
      </c>
      <c r="F254" s="46">
        <f>[3]Summary!F253</f>
        <v>0</v>
      </c>
      <c r="G254" s="48">
        <f t="shared" si="3"/>
        <v>0</v>
      </c>
      <c r="H254" s="48" t="s">
        <v>5390</v>
      </c>
      <c r="I254" s="45"/>
    </row>
    <row r="255" spans="1:9" ht="46.5">
      <c r="A255" s="177">
        <v>251</v>
      </c>
      <c r="B255" s="41" t="s">
        <v>607</v>
      </c>
      <c r="C255" s="42" t="s">
        <v>608</v>
      </c>
      <c r="D255" s="178" t="s">
        <v>135</v>
      </c>
      <c r="E255" s="43">
        <f>[3]Summary!E254</f>
        <v>65</v>
      </c>
      <c r="F255" s="179">
        <f>[3]Summary!F254</f>
        <v>0</v>
      </c>
      <c r="G255" s="44">
        <f t="shared" si="3"/>
        <v>0</v>
      </c>
      <c r="H255" s="44" t="s">
        <v>5390</v>
      </c>
      <c r="I255" s="41"/>
    </row>
    <row r="256" spans="1:9" ht="23.25">
      <c r="A256" s="201">
        <v>252</v>
      </c>
      <c r="B256" s="45" t="s">
        <v>609</v>
      </c>
      <c r="C256" s="1" t="s">
        <v>610</v>
      </c>
      <c r="D256" s="46" t="s">
        <v>135</v>
      </c>
      <c r="E256" s="47">
        <f>[3]Summary!E255</f>
        <v>3</v>
      </c>
      <c r="F256" s="46">
        <f>[3]Summary!F255</f>
        <v>35</v>
      </c>
      <c r="G256" s="48">
        <f t="shared" si="3"/>
        <v>105</v>
      </c>
      <c r="H256" s="48" t="s">
        <v>5397</v>
      </c>
      <c r="I256" s="45"/>
    </row>
    <row r="257" spans="1:9" ht="23.25">
      <c r="A257" s="177">
        <v>253</v>
      </c>
      <c r="B257" s="41" t="s">
        <v>611</v>
      </c>
      <c r="C257" s="42" t="s">
        <v>612</v>
      </c>
      <c r="D257" s="178" t="s">
        <v>135</v>
      </c>
      <c r="E257" s="43">
        <f>[3]Summary!E256</f>
        <v>25</v>
      </c>
      <c r="F257" s="179">
        <f>[3]Summary!F256</f>
        <v>283</v>
      </c>
      <c r="G257" s="44">
        <f t="shared" si="3"/>
        <v>7075</v>
      </c>
      <c r="H257" s="44" t="s">
        <v>5397</v>
      </c>
      <c r="I257" s="41"/>
    </row>
    <row r="258" spans="1:9" ht="23.25">
      <c r="A258" s="201">
        <v>254</v>
      </c>
      <c r="B258" s="45" t="s">
        <v>613</v>
      </c>
      <c r="C258" s="1" t="s">
        <v>614</v>
      </c>
      <c r="D258" s="46" t="s">
        <v>135</v>
      </c>
      <c r="E258" s="47">
        <f>[3]Summary!E257</f>
        <v>30</v>
      </c>
      <c r="F258" s="46">
        <f>[3]Summary!F257</f>
        <v>459</v>
      </c>
      <c r="G258" s="48">
        <f t="shared" si="3"/>
        <v>13770</v>
      </c>
      <c r="H258" s="48" t="s">
        <v>5397</v>
      </c>
      <c r="I258" s="45"/>
    </row>
    <row r="259" spans="1:9" ht="23.25">
      <c r="A259" s="177">
        <v>255</v>
      </c>
      <c r="B259" s="41" t="s">
        <v>615</v>
      </c>
      <c r="C259" s="42" t="s">
        <v>616</v>
      </c>
      <c r="D259" s="178" t="s">
        <v>135</v>
      </c>
      <c r="E259" s="43">
        <f>[3]Summary!E258</f>
        <v>36</v>
      </c>
      <c r="F259" s="179">
        <f>[3]Summary!F258</f>
        <v>0</v>
      </c>
      <c r="G259" s="44">
        <f t="shared" si="3"/>
        <v>0</v>
      </c>
      <c r="H259" s="44" t="s">
        <v>5397</v>
      </c>
      <c r="I259" s="41"/>
    </row>
    <row r="260" spans="1:9" ht="46.5">
      <c r="A260" s="201">
        <v>256</v>
      </c>
      <c r="B260" s="45" t="s">
        <v>617</v>
      </c>
      <c r="C260" s="1" t="s">
        <v>618</v>
      </c>
      <c r="D260" s="46" t="s">
        <v>135</v>
      </c>
      <c r="E260" s="47">
        <f>[3]Summary!E259</f>
        <v>27</v>
      </c>
      <c r="F260" s="46">
        <f>[3]Summary!F259</f>
        <v>1</v>
      </c>
      <c r="G260" s="48">
        <f t="shared" si="3"/>
        <v>27</v>
      </c>
      <c r="H260" s="48" t="s">
        <v>5397</v>
      </c>
      <c r="I260" s="45"/>
    </row>
    <row r="261" spans="1:9" ht="46.5">
      <c r="A261" s="177">
        <v>257</v>
      </c>
      <c r="B261" s="41" t="s">
        <v>619</v>
      </c>
      <c r="C261" s="42" t="s">
        <v>620</v>
      </c>
      <c r="D261" s="178" t="s">
        <v>135</v>
      </c>
      <c r="E261" s="43">
        <f>[3]Summary!E260</f>
        <v>11</v>
      </c>
      <c r="F261" s="179">
        <f>[3]Summary!F260</f>
        <v>0</v>
      </c>
      <c r="G261" s="44">
        <f t="shared" ref="G261:G324" si="4">F261*E261</f>
        <v>0</v>
      </c>
      <c r="H261" s="44" t="s">
        <v>5397</v>
      </c>
      <c r="I261" s="41"/>
    </row>
    <row r="262" spans="1:9" ht="46.5">
      <c r="A262" s="201">
        <v>258</v>
      </c>
      <c r="B262" s="45" t="s">
        <v>621</v>
      </c>
      <c r="C262" s="1" t="s">
        <v>622</v>
      </c>
      <c r="D262" s="46" t="s">
        <v>135</v>
      </c>
      <c r="E262" s="47">
        <f>[3]Summary!E261</f>
        <v>0.15</v>
      </c>
      <c r="F262" s="46">
        <f>[3]Summary!F261</f>
        <v>773</v>
      </c>
      <c r="G262" s="48">
        <f t="shared" si="4"/>
        <v>115.94999999999999</v>
      </c>
      <c r="H262" s="48" t="s">
        <v>1606</v>
      </c>
      <c r="I262" s="45"/>
    </row>
    <row r="263" spans="1:9" ht="46.5">
      <c r="A263" s="177">
        <v>259</v>
      </c>
      <c r="B263" s="41" t="s">
        <v>623</v>
      </c>
      <c r="C263" s="42" t="s">
        <v>624</v>
      </c>
      <c r="D263" s="178" t="s">
        <v>135</v>
      </c>
      <c r="E263" s="43">
        <f>[3]Summary!E262</f>
        <v>681.1</v>
      </c>
      <c r="F263" s="179">
        <f>[3]Summary!F262</f>
        <v>0</v>
      </c>
      <c r="G263" s="44">
        <f t="shared" si="4"/>
        <v>0</v>
      </c>
      <c r="H263" s="44" t="s">
        <v>5388</v>
      </c>
      <c r="I263" s="41"/>
    </row>
    <row r="264" spans="1:9" ht="46.5">
      <c r="A264" s="201">
        <v>260</v>
      </c>
      <c r="B264" s="45" t="s">
        <v>625</v>
      </c>
      <c r="C264" s="1" t="s">
        <v>626</v>
      </c>
      <c r="D264" s="46" t="s">
        <v>135</v>
      </c>
      <c r="E264" s="47">
        <f>[3]Summary!E263</f>
        <v>470.97</v>
      </c>
      <c r="F264" s="46">
        <f>[3]Summary!F263</f>
        <v>0</v>
      </c>
      <c r="G264" s="48">
        <f t="shared" si="4"/>
        <v>0</v>
      </c>
      <c r="H264" s="48" t="s">
        <v>5388</v>
      </c>
      <c r="I264" s="45"/>
    </row>
    <row r="265" spans="1:9" ht="23.25">
      <c r="A265" s="177">
        <v>261</v>
      </c>
      <c r="B265" s="41" t="s">
        <v>623</v>
      </c>
      <c r="C265" s="42" t="s">
        <v>627</v>
      </c>
      <c r="D265" s="178" t="s">
        <v>135</v>
      </c>
      <c r="E265" s="43">
        <f>[3]Summary!E264</f>
        <v>0.53</v>
      </c>
      <c r="F265" s="179">
        <f>[3]Summary!F264</f>
        <v>158</v>
      </c>
      <c r="G265" s="44">
        <f t="shared" si="4"/>
        <v>83.740000000000009</v>
      </c>
      <c r="H265" s="44" t="s">
        <v>5388</v>
      </c>
      <c r="I265" s="41"/>
    </row>
    <row r="266" spans="1:9" ht="46.5">
      <c r="A266" s="201">
        <v>262</v>
      </c>
      <c r="B266" s="45" t="s">
        <v>628</v>
      </c>
      <c r="C266" s="1" t="s">
        <v>629</v>
      </c>
      <c r="D266" s="46" t="s">
        <v>135</v>
      </c>
      <c r="E266" s="47">
        <f>[3]Summary!E265</f>
        <v>28</v>
      </c>
      <c r="F266" s="46">
        <f>[3]Summary!F265</f>
        <v>0</v>
      </c>
      <c r="G266" s="48">
        <f t="shared" si="4"/>
        <v>0</v>
      </c>
      <c r="H266" s="48" t="s">
        <v>5388</v>
      </c>
      <c r="I266" s="45"/>
    </row>
    <row r="267" spans="1:9" ht="46.5">
      <c r="A267" s="177">
        <v>263</v>
      </c>
      <c r="B267" s="41" t="s">
        <v>630</v>
      </c>
      <c r="C267" s="42" t="s">
        <v>631</v>
      </c>
      <c r="D267" s="178" t="s">
        <v>135</v>
      </c>
      <c r="E267" s="43">
        <f>[3]Summary!E266</f>
        <v>1050</v>
      </c>
      <c r="F267" s="179">
        <f>[3]Summary!F266</f>
        <v>0</v>
      </c>
      <c r="G267" s="44">
        <f t="shared" si="4"/>
        <v>0</v>
      </c>
      <c r="H267" s="44" t="s">
        <v>5388</v>
      </c>
      <c r="I267" s="41"/>
    </row>
    <row r="268" spans="1:9" ht="23.25">
      <c r="A268" s="201">
        <v>264</v>
      </c>
      <c r="B268" s="45" t="s">
        <v>632</v>
      </c>
      <c r="C268" s="1" t="s">
        <v>633</v>
      </c>
      <c r="D268" s="46" t="s">
        <v>135</v>
      </c>
      <c r="E268" s="47">
        <f>[3]Summary!E267</f>
        <v>1.25</v>
      </c>
      <c r="F268" s="46">
        <f>[3]Summary!F267</f>
        <v>87</v>
      </c>
      <c r="G268" s="48">
        <f t="shared" si="4"/>
        <v>108.75</v>
      </c>
      <c r="H268" s="48" t="s">
        <v>5400</v>
      </c>
      <c r="I268" s="45"/>
    </row>
    <row r="269" spans="1:9" ht="23.25">
      <c r="A269" s="177">
        <v>265</v>
      </c>
      <c r="B269" s="41" t="s">
        <v>634</v>
      </c>
      <c r="C269" s="42" t="s">
        <v>635</v>
      </c>
      <c r="D269" s="178" t="s">
        <v>135</v>
      </c>
      <c r="E269" s="43">
        <f>[3]Summary!E268</f>
        <v>20</v>
      </c>
      <c r="F269" s="179">
        <f>[3]Summary!F268</f>
        <v>0</v>
      </c>
      <c r="G269" s="44">
        <f t="shared" si="4"/>
        <v>0</v>
      </c>
      <c r="H269" s="44" t="s">
        <v>5390</v>
      </c>
      <c r="I269" s="41"/>
    </row>
    <row r="270" spans="1:9" ht="46.5">
      <c r="A270" s="201">
        <v>266</v>
      </c>
      <c r="B270" s="45" t="s">
        <v>636</v>
      </c>
      <c r="C270" s="1" t="s">
        <v>637</v>
      </c>
      <c r="D270" s="46" t="s">
        <v>135</v>
      </c>
      <c r="E270" s="47">
        <f>[3]Summary!E269</f>
        <v>0.62</v>
      </c>
      <c r="F270" s="46">
        <f>[3]Summary!F269</f>
        <v>17</v>
      </c>
      <c r="G270" s="48">
        <f t="shared" si="4"/>
        <v>10.54</v>
      </c>
      <c r="H270" s="48" t="s">
        <v>1612</v>
      </c>
      <c r="I270" s="45"/>
    </row>
    <row r="271" spans="1:9" ht="23.25">
      <c r="A271" s="177">
        <v>267</v>
      </c>
      <c r="B271" s="41" t="s">
        <v>638</v>
      </c>
      <c r="C271" s="42" t="s">
        <v>639</v>
      </c>
      <c r="D271" s="178" t="s">
        <v>135</v>
      </c>
      <c r="E271" s="43">
        <f>[3]Summary!E270</f>
        <v>0</v>
      </c>
      <c r="F271" s="179">
        <f>[3]Summary!F270</f>
        <v>0</v>
      </c>
      <c r="G271" s="44">
        <f t="shared" si="4"/>
        <v>0</v>
      </c>
      <c r="H271" s="44" t="s">
        <v>5390</v>
      </c>
      <c r="I271" s="41"/>
    </row>
    <row r="272" spans="1:9" ht="46.5">
      <c r="A272" s="201">
        <v>268</v>
      </c>
      <c r="B272" s="45" t="s">
        <v>5779</v>
      </c>
      <c r="C272" s="1" t="s">
        <v>640</v>
      </c>
      <c r="D272" s="46" t="s">
        <v>135</v>
      </c>
      <c r="E272" s="47">
        <f>[3]Summary!E271</f>
        <v>6.5</v>
      </c>
      <c r="F272" s="46">
        <f>[3]Summary!F271</f>
        <v>14</v>
      </c>
      <c r="G272" s="48">
        <f t="shared" si="4"/>
        <v>91</v>
      </c>
      <c r="H272" s="48" t="s">
        <v>5389</v>
      </c>
      <c r="I272" s="45"/>
    </row>
    <row r="273" spans="1:9" ht="46.5">
      <c r="A273" s="177">
        <v>269</v>
      </c>
      <c r="B273" s="41" t="s">
        <v>5780</v>
      </c>
      <c r="C273" s="42" t="s">
        <v>641</v>
      </c>
      <c r="D273" s="178" t="s">
        <v>135</v>
      </c>
      <c r="E273" s="43">
        <f>[3]Summary!E272</f>
        <v>7.5</v>
      </c>
      <c r="F273" s="179">
        <f>[3]Summary!F272</f>
        <v>9</v>
      </c>
      <c r="G273" s="44">
        <f t="shared" si="4"/>
        <v>67.5</v>
      </c>
      <c r="H273" s="44" t="s">
        <v>5389</v>
      </c>
      <c r="I273" s="41"/>
    </row>
    <row r="274" spans="1:9" ht="46.5">
      <c r="A274" s="201">
        <v>270</v>
      </c>
      <c r="B274" s="45" t="s">
        <v>5781</v>
      </c>
      <c r="C274" s="1" t="s">
        <v>642</v>
      </c>
      <c r="D274" s="46" t="s">
        <v>135</v>
      </c>
      <c r="E274" s="47">
        <f>[3]Summary!E273</f>
        <v>32.5</v>
      </c>
      <c r="F274" s="46">
        <f>[3]Summary!F273</f>
        <v>0</v>
      </c>
      <c r="G274" s="48">
        <f t="shared" si="4"/>
        <v>0</v>
      </c>
      <c r="H274" s="48" t="s">
        <v>5389</v>
      </c>
      <c r="I274" s="45"/>
    </row>
    <row r="275" spans="1:9" ht="46.5">
      <c r="A275" s="177">
        <v>271</v>
      </c>
      <c r="B275" s="41" t="s">
        <v>643</v>
      </c>
      <c r="C275" s="42" t="s">
        <v>644</v>
      </c>
      <c r="D275" s="178" t="s">
        <v>135</v>
      </c>
      <c r="E275" s="43">
        <f>[3]Summary!E274</f>
        <v>12.5</v>
      </c>
      <c r="F275" s="179">
        <f>[3]Summary!F274</f>
        <v>8</v>
      </c>
      <c r="G275" s="44">
        <f t="shared" si="4"/>
        <v>100</v>
      </c>
      <c r="H275" s="44" t="s">
        <v>1629</v>
      </c>
      <c r="I275" s="41"/>
    </row>
    <row r="276" spans="1:9" ht="23.25">
      <c r="A276" s="201">
        <v>272</v>
      </c>
      <c r="B276" s="45" t="s">
        <v>645</v>
      </c>
      <c r="C276" s="1" t="s">
        <v>646</v>
      </c>
      <c r="D276" s="46" t="s">
        <v>135</v>
      </c>
      <c r="E276" s="47">
        <f>[3]Summary!E275</f>
        <v>18</v>
      </c>
      <c r="F276" s="46">
        <f>[3]Summary!F275</f>
        <v>0</v>
      </c>
      <c r="G276" s="48">
        <f t="shared" si="4"/>
        <v>0</v>
      </c>
      <c r="H276" s="48" t="s">
        <v>1629</v>
      </c>
      <c r="I276" s="45"/>
    </row>
    <row r="277" spans="1:9" ht="23.25">
      <c r="A277" s="177">
        <v>273</v>
      </c>
      <c r="B277" s="41" t="s">
        <v>647</v>
      </c>
      <c r="C277" s="42" t="s">
        <v>648</v>
      </c>
      <c r="D277" s="178" t="s">
        <v>135</v>
      </c>
      <c r="E277" s="43">
        <f>[3]Summary!E276</f>
        <v>40</v>
      </c>
      <c r="F277" s="179">
        <f>[3]Summary!F276</f>
        <v>32</v>
      </c>
      <c r="G277" s="44">
        <f t="shared" si="4"/>
        <v>1280</v>
      </c>
      <c r="H277" s="44" t="s">
        <v>1629</v>
      </c>
      <c r="I277" s="41"/>
    </row>
    <row r="278" spans="1:9" ht="23.25">
      <c r="A278" s="201">
        <v>274</v>
      </c>
      <c r="B278" s="45" t="s">
        <v>649</v>
      </c>
      <c r="C278" s="1" t="s">
        <v>650</v>
      </c>
      <c r="D278" s="46" t="s">
        <v>135</v>
      </c>
      <c r="E278" s="47">
        <f>[3]Summary!E277</f>
        <v>38</v>
      </c>
      <c r="F278" s="46">
        <f>[3]Summary!F277</f>
        <v>1</v>
      </c>
      <c r="G278" s="48">
        <f t="shared" si="4"/>
        <v>38</v>
      </c>
      <c r="H278" s="48" t="s">
        <v>1629</v>
      </c>
      <c r="I278" s="45"/>
    </row>
    <row r="279" spans="1:9" ht="23.25">
      <c r="A279" s="177">
        <v>275</v>
      </c>
      <c r="B279" s="41" t="s">
        <v>651</v>
      </c>
      <c r="C279" s="42" t="s">
        <v>652</v>
      </c>
      <c r="D279" s="178" t="s">
        <v>135</v>
      </c>
      <c r="E279" s="43">
        <f>[3]Summary!E278</f>
        <v>45</v>
      </c>
      <c r="F279" s="179">
        <f>[3]Summary!F278</f>
        <v>5</v>
      </c>
      <c r="G279" s="44">
        <f t="shared" si="4"/>
        <v>225</v>
      </c>
      <c r="H279" s="44" t="s">
        <v>1629</v>
      </c>
      <c r="I279" s="41"/>
    </row>
    <row r="280" spans="1:9" ht="23.25">
      <c r="A280" s="201">
        <v>276</v>
      </c>
      <c r="B280" s="45" t="s">
        <v>653</v>
      </c>
      <c r="C280" s="1" t="s">
        <v>654</v>
      </c>
      <c r="D280" s="46" t="s">
        <v>135</v>
      </c>
      <c r="E280" s="47">
        <f>[3]Summary!E279</f>
        <v>65</v>
      </c>
      <c r="F280" s="46">
        <f>[3]Summary!F279</f>
        <v>5</v>
      </c>
      <c r="G280" s="48">
        <f t="shared" si="4"/>
        <v>325</v>
      </c>
      <c r="H280" s="48" t="s">
        <v>1629</v>
      </c>
      <c r="I280" s="45"/>
    </row>
    <row r="281" spans="1:9" ht="23.25">
      <c r="A281" s="177">
        <v>277</v>
      </c>
      <c r="B281" s="41" t="s">
        <v>655</v>
      </c>
      <c r="C281" s="42" t="s">
        <v>656</v>
      </c>
      <c r="D281" s="178" t="s">
        <v>135</v>
      </c>
      <c r="E281" s="43">
        <f>[3]Summary!E280</f>
        <v>75</v>
      </c>
      <c r="F281" s="179">
        <f>[3]Summary!F280</f>
        <v>14</v>
      </c>
      <c r="G281" s="44">
        <f t="shared" si="4"/>
        <v>1050</v>
      </c>
      <c r="H281" s="44" t="s">
        <v>1629</v>
      </c>
      <c r="I281" s="41"/>
    </row>
    <row r="282" spans="1:9" ht="23.25">
      <c r="A282" s="201">
        <v>278</v>
      </c>
      <c r="B282" s="45" t="s">
        <v>657</v>
      </c>
      <c r="C282" s="1" t="s">
        <v>658</v>
      </c>
      <c r="D282" s="46" t="s">
        <v>135</v>
      </c>
      <c r="E282" s="47">
        <f>[3]Summary!E281</f>
        <v>0.13</v>
      </c>
      <c r="F282" s="46">
        <f>[3]Summary!F281</f>
        <v>1242</v>
      </c>
      <c r="G282" s="48">
        <f t="shared" si="4"/>
        <v>161.46</v>
      </c>
      <c r="H282" s="48" t="s">
        <v>1629</v>
      </c>
      <c r="I282" s="45"/>
    </row>
    <row r="283" spans="1:9" ht="23.25">
      <c r="A283" s="177">
        <v>279</v>
      </c>
      <c r="B283" s="41" t="s">
        <v>659</v>
      </c>
      <c r="C283" s="42" t="s">
        <v>660</v>
      </c>
      <c r="D283" s="178" t="s">
        <v>135</v>
      </c>
      <c r="E283" s="43">
        <f>[3]Summary!E282</f>
        <v>0.15</v>
      </c>
      <c r="F283" s="179">
        <f>[3]Summary!F282</f>
        <v>1024</v>
      </c>
      <c r="G283" s="44">
        <f t="shared" si="4"/>
        <v>153.6</v>
      </c>
      <c r="H283" s="44" t="s">
        <v>1629</v>
      </c>
      <c r="I283" s="41"/>
    </row>
    <row r="284" spans="1:9" ht="23.25">
      <c r="A284" s="201">
        <v>280</v>
      </c>
      <c r="B284" s="45" t="s">
        <v>661</v>
      </c>
      <c r="C284" s="1" t="s">
        <v>662</v>
      </c>
      <c r="D284" s="46" t="s">
        <v>135</v>
      </c>
      <c r="E284" s="47">
        <f>[3]Summary!E283</f>
        <v>0.14000000000000001</v>
      </c>
      <c r="F284" s="46">
        <f>[3]Summary!F283</f>
        <v>817</v>
      </c>
      <c r="G284" s="48">
        <f t="shared" si="4"/>
        <v>114.38000000000001</v>
      </c>
      <c r="H284" s="48" t="s">
        <v>1629</v>
      </c>
      <c r="I284" s="45"/>
    </row>
    <row r="285" spans="1:9" ht="23.25">
      <c r="A285" s="177">
        <v>281</v>
      </c>
      <c r="B285" s="41" t="s">
        <v>663</v>
      </c>
      <c r="C285" s="42" t="s">
        <v>664</v>
      </c>
      <c r="D285" s="178" t="s">
        <v>135</v>
      </c>
      <c r="E285" s="43">
        <f>[3]Summary!E284</f>
        <v>0.16</v>
      </c>
      <c r="F285" s="179">
        <f>[3]Summary!F284</f>
        <v>416</v>
      </c>
      <c r="G285" s="44">
        <f t="shared" si="4"/>
        <v>66.56</v>
      </c>
      <c r="H285" s="44" t="s">
        <v>1629</v>
      </c>
      <c r="I285" s="41"/>
    </row>
    <row r="286" spans="1:9" ht="23.25">
      <c r="A286" s="201">
        <v>282</v>
      </c>
      <c r="B286" s="45" t="s">
        <v>665</v>
      </c>
      <c r="C286" s="1" t="s">
        <v>666</v>
      </c>
      <c r="D286" s="46" t="s">
        <v>135</v>
      </c>
      <c r="E286" s="47">
        <f>[3]Summary!E285</f>
        <v>0.5</v>
      </c>
      <c r="F286" s="46">
        <f>[3]Summary!F285</f>
        <v>334</v>
      </c>
      <c r="G286" s="48">
        <f t="shared" si="4"/>
        <v>167</v>
      </c>
      <c r="H286" s="48" t="s">
        <v>1629</v>
      </c>
      <c r="I286" s="45"/>
    </row>
    <row r="287" spans="1:9" ht="23.25">
      <c r="A287" s="177">
        <v>283</v>
      </c>
      <c r="B287" s="41" t="s">
        <v>667</v>
      </c>
      <c r="C287" s="42" t="s">
        <v>668</v>
      </c>
      <c r="D287" s="178" t="s">
        <v>135</v>
      </c>
      <c r="E287" s="43">
        <f>[3]Summary!E286</f>
        <v>0.6</v>
      </c>
      <c r="F287" s="179">
        <f>[3]Summary!F286</f>
        <v>136</v>
      </c>
      <c r="G287" s="44">
        <f t="shared" si="4"/>
        <v>81.599999999999994</v>
      </c>
      <c r="H287" s="44" t="s">
        <v>1629</v>
      </c>
      <c r="I287" s="41"/>
    </row>
    <row r="288" spans="1:9" ht="23.25">
      <c r="A288" s="201">
        <v>284</v>
      </c>
      <c r="B288" s="45" t="s">
        <v>669</v>
      </c>
      <c r="C288" s="1" t="s">
        <v>670</v>
      </c>
      <c r="D288" s="46" t="s">
        <v>135</v>
      </c>
      <c r="E288" s="47">
        <f>[3]Summary!E287</f>
        <v>0.65</v>
      </c>
      <c r="F288" s="46">
        <f>[3]Summary!F287</f>
        <v>402</v>
      </c>
      <c r="G288" s="48">
        <f t="shared" si="4"/>
        <v>261.3</v>
      </c>
      <c r="H288" s="48" t="s">
        <v>1629</v>
      </c>
      <c r="I288" s="45"/>
    </row>
    <row r="289" spans="1:9" ht="23.25">
      <c r="A289" s="177">
        <v>285</v>
      </c>
      <c r="B289" s="41" t="s">
        <v>671</v>
      </c>
      <c r="C289" s="42" t="s">
        <v>672</v>
      </c>
      <c r="D289" s="178" t="s">
        <v>135</v>
      </c>
      <c r="E289" s="43">
        <f>[3]Summary!E288</f>
        <v>0.7</v>
      </c>
      <c r="F289" s="179">
        <f>[3]Summary!F288</f>
        <v>135</v>
      </c>
      <c r="G289" s="44">
        <f t="shared" si="4"/>
        <v>94.5</v>
      </c>
      <c r="H289" s="44" t="s">
        <v>1629</v>
      </c>
      <c r="I289" s="41"/>
    </row>
    <row r="290" spans="1:9" ht="23.25">
      <c r="A290" s="201">
        <v>286</v>
      </c>
      <c r="B290" s="45" t="s">
        <v>673</v>
      </c>
      <c r="C290" s="1" t="s">
        <v>674</v>
      </c>
      <c r="D290" s="46" t="s">
        <v>135</v>
      </c>
      <c r="E290" s="47">
        <f>[3]Summary!E289</f>
        <v>0.16</v>
      </c>
      <c r="F290" s="46">
        <f>[3]Summary!F289</f>
        <v>754</v>
      </c>
      <c r="G290" s="48">
        <f t="shared" si="4"/>
        <v>120.64</v>
      </c>
      <c r="H290" s="48" t="s">
        <v>1629</v>
      </c>
      <c r="I290" s="45"/>
    </row>
    <row r="291" spans="1:9" ht="23.25">
      <c r="A291" s="177">
        <v>287</v>
      </c>
      <c r="B291" s="41" t="s">
        <v>675</v>
      </c>
      <c r="C291" s="42" t="s">
        <v>676</v>
      </c>
      <c r="D291" s="178" t="s">
        <v>135</v>
      </c>
      <c r="E291" s="43">
        <f>[3]Summary!E290</f>
        <v>0.45</v>
      </c>
      <c r="F291" s="179">
        <f>[3]Summary!F290</f>
        <v>228</v>
      </c>
      <c r="G291" s="44">
        <f t="shared" si="4"/>
        <v>102.60000000000001</v>
      </c>
      <c r="H291" s="44" t="s">
        <v>1629</v>
      </c>
      <c r="I291" s="41"/>
    </row>
    <row r="292" spans="1:9" ht="23.25">
      <c r="A292" s="201">
        <v>288</v>
      </c>
      <c r="B292" s="45" t="s">
        <v>677</v>
      </c>
      <c r="C292" s="1" t="s">
        <v>678</v>
      </c>
      <c r="D292" s="46" t="s">
        <v>135</v>
      </c>
      <c r="E292" s="47">
        <f>[3]Summary!E291</f>
        <v>0.13</v>
      </c>
      <c r="F292" s="46">
        <f>[3]Summary!F291</f>
        <v>0</v>
      </c>
      <c r="G292" s="48">
        <f t="shared" si="4"/>
        <v>0</v>
      </c>
      <c r="H292" s="48" t="s">
        <v>1629</v>
      </c>
      <c r="I292" s="45"/>
    </row>
    <row r="293" spans="1:9" ht="23.25">
      <c r="A293" s="177">
        <v>289</v>
      </c>
      <c r="B293" s="41" t="s">
        <v>679</v>
      </c>
      <c r="C293" s="42" t="s">
        <v>680</v>
      </c>
      <c r="D293" s="178" t="s">
        <v>135</v>
      </c>
      <c r="E293" s="43">
        <f>[3]Summary!E292</f>
        <v>1</v>
      </c>
      <c r="F293" s="179">
        <f>[3]Summary!F292</f>
        <v>12</v>
      </c>
      <c r="G293" s="44">
        <f t="shared" si="4"/>
        <v>12</v>
      </c>
      <c r="H293" s="44" t="s">
        <v>1629</v>
      </c>
      <c r="I293" s="41"/>
    </row>
    <row r="294" spans="1:9" ht="23.25">
      <c r="A294" s="201">
        <v>290</v>
      </c>
      <c r="B294" s="45" t="s">
        <v>681</v>
      </c>
      <c r="C294" s="1" t="s">
        <v>682</v>
      </c>
      <c r="D294" s="46" t="s">
        <v>135</v>
      </c>
      <c r="E294" s="47">
        <f>[3]Summary!E293</f>
        <v>1.75</v>
      </c>
      <c r="F294" s="46">
        <f>[3]Summary!F293</f>
        <v>0</v>
      </c>
      <c r="G294" s="48">
        <f t="shared" si="4"/>
        <v>0</v>
      </c>
      <c r="H294" s="48" t="s">
        <v>1629</v>
      </c>
      <c r="I294" s="45"/>
    </row>
    <row r="295" spans="1:9" ht="23.25">
      <c r="A295" s="177">
        <v>291</v>
      </c>
      <c r="B295" s="41" t="s">
        <v>683</v>
      </c>
      <c r="C295" s="42" t="s">
        <v>684</v>
      </c>
      <c r="D295" s="178" t="s">
        <v>135</v>
      </c>
      <c r="E295" s="43">
        <f>[3]Summary!E294</f>
        <v>1.4</v>
      </c>
      <c r="F295" s="179">
        <f>[3]Summary!F294</f>
        <v>9</v>
      </c>
      <c r="G295" s="44">
        <f t="shared" si="4"/>
        <v>12.6</v>
      </c>
      <c r="H295" s="44" t="s">
        <v>1629</v>
      </c>
      <c r="I295" s="41"/>
    </row>
    <row r="296" spans="1:9" ht="23.25">
      <c r="A296" s="201">
        <v>292</v>
      </c>
      <c r="B296" s="45" t="s">
        <v>685</v>
      </c>
      <c r="C296" s="1" t="s">
        <v>686</v>
      </c>
      <c r="D296" s="46" t="s">
        <v>135</v>
      </c>
      <c r="E296" s="47">
        <f>[3]Summary!E295</f>
        <v>2</v>
      </c>
      <c r="F296" s="46">
        <f>[3]Summary!F295</f>
        <v>7</v>
      </c>
      <c r="G296" s="48">
        <f t="shared" si="4"/>
        <v>14</v>
      </c>
      <c r="H296" s="48" t="s">
        <v>1629</v>
      </c>
      <c r="I296" s="45"/>
    </row>
    <row r="297" spans="1:9" ht="23.25">
      <c r="A297" s="177">
        <v>293</v>
      </c>
      <c r="B297" s="41" t="s">
        <v>687</v>
      </c>
      <c r="C297" s="42" t="s">
        <v>688</v>
      </c>
      <c r="D297" s="178" t="s">
        <v>135</v>
      </c>
      <c r="E297" s="43">
        <f>[3]Summary!E296</f>
        <v>2.5</v>
      </c>
      <c r="F297" s="179">
        <f>[3]Summary!F296</f>
        <v>20</v>
      </c>
      <c r="G297" s="44">
        <f t="shared" si="4"/>
        <v>50</v>
      </c>
      <c r="H297" s="44" t="s">
        <v>1629</v>
      </c>
      <c r="I297" s="41"/>
    </row>
    <row r="298" spans="1:9" ht="23.25">
      <c r="A298" s="201">
        <v>294</v>
      </c>
      <c r="B298" s="45" t="s">
        <v>689</v>
      </c>
      <c r="C298" s="1" t="s">
        <v>690</v>
      </c>
      <c r="D298" s="46" t="s">
        <v>135</v>
      </c>
      <c r="E298" s="47">
        <f>[3]Summary!E297</f>
        <v>3.5</v>
      </c>
      <c r="F298" s="46">
        <f>[3]Summary!F297</f>
        <v>0</v>
      </c>
      <c r="G298" s="48">
        <f t="shared" si="4"/>
        <v>0</v>
      </c>
      <c r="H298" s="48" t="s">
        <v>1629</v>
      </c>
      <c r="I298" s="45"/>
    </row>
    <row r="299" spans="1:9" ht="23.25">
      <c r="A299" s="177">
        <v>295</v>
      </c>
      <c r="B299" s="41" t="s">
        <v>691</v>
      </c>
      <c r="C299" s="42" t="s">
        <v>692</v>
      </c>
      <c r="D299" s="178" t="s">
        <v>135</v>
      </c>
      <c r="E299" s="43">
        <f>[3]Summary!E298</f>
        <v>3.75</v>
      </c>
      <c r="F299" s="179">
        <f>[3]Summary!F298</f>
        <v>27</v>
      </c>
      <c r="G299" s="44">
        <f t="shared" si="4"/>
        <v>101.25</v>
      </c>
      <c r="H299" s="44" t="s">
        <v>1629</v>
      </c>
      <c r="I299" s="41"/>
    </row>
    <row r="300" spans="1:9" ht="23.25">
      <c r="A300" s="201">
        <v>296</v>
      </c>
      <c r="B300" s="45" t="s">
        <v>693</v>
      </c>
      <c r="C300" s="1" t="s">
        <v>694</v>
      </c>
      <c r="D300" s="46" t="s">
        <v>135</v>
      </c>
      <c r="E300" s="47">
        <f>[3]Summary!E299</f>
        <v>6</v>
      </c>
      <c r="F300" s="46">
        <f>[3]Summary!F299</f>
        <v>11</v>
      </c>
      <c r="G300" s="48">
        <f t="shared" si="4"/>
        <v>66</v>
      </c>
      <c r="H300" s="48" t="s">
        <v>1629</v>
      </c>
      <c r="I300" s="45"/>
    </row>
    <row r="301" spans="1:9" ht="23.25">
      <c r="A301" s="177">
        <v>297</v>
      </c>
      <c r="B301" s="41" t="s">
        <v>695</v>
      </c>
      <c r="C301" s="42" t="s">
        <v>696</v>
      </c>
      <c r="D301" s="178" t="s">
        <v>135</v>
      </c>
      <c r="E301" s="43">
        <f>[3]Summary!E300</f>
        <v>6.5</v>
      </c>
      <c r="F301" s="179">
        <f>[3]Summary!F300</f>
        <v>36</v>
      </c>
      <c r="G301" s="44">
        <f t="shared" si="4"/>
        <v>234</v>
      </c>
      <c r="H301" s="44" t="s">
        <v>1629</v>
      </c>
      <c r="I301" s="41"/>
    </row>
    <row r="302" spans="1:9" ht="23.25">
      <c r="A302" s="201">
        <v>298</v>
      </c>
      <c r="B302" s="45" t="s">
        <v>697</v>
      </c>
      <c r="C302" s="1" t="s">
        <v>698</v>
      </c>
      <c r="D302" s="46" t="s">
        <v>135</v>
      </c>
      <c r="E302" s="47">
        <f>[3]Summary!E301</f>
        <v>3</v>
      </c>
      <c r="F302" s="46">
        <f>[3]Summary!F301</f>
        <v>0</v>
      </c>
      <c r="G302" s="48">
        <f t="shared" si="4"/>
        <v>0</v>
      </c>
      <c r="H302" s="48" t="s">
        <v>1629</v>
      </c>
      <c r="I302" s="45"/>
    </row>
    <row r="303" spans="1:9" ht="46.5">
      <c r="A303" s="177">
        <v>299</v>
      </c>
      <c r="B303" s="41" t="s">
        <v>699</v>
      </c>
      <c r="C303" s="42" t="s">
        <v>700</v>
      </c>
      <c r="D303" s="178" t="s">
        <v>135</v>
      </c>
      <c r="E303" s="43">
        <f>[3]Summary!E302</f>
        <v>1.5</v>
      </c>
      <c r="F303" s="179">
        <f>[3]Summary!F302</f>
        <v>0</v>
      </c>
      <c r="G303" s="44">
        <f t="shared" si="4"/>
        <v>0</v>
      </c>
      <c r="H303" s="44" t="s">
        <v>1654</v>
      </c>
      <c r="I303" s="41"/>
    </row>
    <row r="304" spans="1:9" ht="46.5">
      <c r="A304" s="201">
        <v>300</v>
      </c>
      <c r="B304" s="45" t="s">
        <v>5884</v>
      </c>
      <c r="C304" s="1" t="s">
        <v>701</v>
      </c>
      <c r="D304" s="46" t="s">
        <v>135</v>
      </c>
      <c r="E304" s="47">
        <f>[3]Summary!E303</f>
        <v>1.1499999999999999</v>
      </c>
      <c r="F304" s="46">
        <f>[3]Summary!F303</f>
        <v>0</v>
      </c>
      <c r="G304" s="48">
        <f t="shared" si="4"/>
        <v>0</v>
      </c>
      <c r="H304" s="48" t="s">
        <v>1654</v>
      </c>
      <c r="I304" s="45"/>
    </row>
    <row r="305" spans="1:9" ht="23.25">
      <c r="A305" s="177">
        <v>301</v>
      </c>
      <c r="B305" s="41" t="s">
        <v>702</v>
      </c>
      <c r="C305" s="42" t="s">
        <v>703</v>
      </c>
      <c r="D305" s="178" t="s">
        <v>135</v>
      </c>
      <c r="E305" s="43">
        <f>[3]Summary!E304</f>
        <v>28</v>
      </c>
      <c r="F305" s="179">
        <f>[3]Summary!F304</f>
        <v>10</v>
      </c>
      <c r="G305" s="44">
        <f t="shared" si="4"/>
        <v>280</v>
      </c>
      <c r="H305" s="44" t="s">
        <v>1616</v>
      </c>
      <c r="I305" s="41"/>
    </row>
    <row r="306" spans="1:9" ht="23.25">
      <c r="A306" s="201">
        <v>302</v>
      </c>
      <c r="B306" s="45" t="s">
        <v>704</v>
      </c>
      <c r="C306" s="1" t="s">
        <v>705</v>
      </c>
      <c r="D306" s="46" t="s">
        <v>135</v>
      </c>
      <c r="E306" s="47">
        <f>[3]Summary!E305</f>
        <v>0.9</v>
      </c>
      <c r="F306" s="46">
        <f>[3]Summary!F305</f>
        <v>97</v>
      </c>
      <c r="G306" s="48">
        <f t="shared" si="4"/>
        <v>87.3</v>
      </c>
      <c r="H306" s="48" t="s">
        <v>5392</v>
      </c>
      <c r="I306" s="45"/>
    </row>
    <row r="307" spans="1:9" ht="23.25">
      <c r="A307" s="177">
        <v>303</v>
      </c>
      <c r="B307" s="41" t="s">
        <v>706</v>
      </c>
      <c r="C307" s="42" t="s">
        <v>707</v>
      </c>
      <c r="D307" s="178" t="s">
        <v>135</v>
      </c>
      <c r="E307" s="43">
        <f>[3]Summary!E306</f>
        <v>17</v>
      </c>
      <c r="F307" s="179">
        <f>[3]Summary!F306</f>
        <v>0</v>
      </c>
      <c r="G307" s="44">
        <f t="shared" si="4"/>
        <v>0</v>
      </c>
      <c r="H307" s="44" t="s">
        <v>5398</v>
      </c>
      <c r="I307" s="41"/>
    </row>
    <row r="308" spans="1:9" ht="23.25">
      <c r="A308" s="201">
        <v>304</v>
      </c>
      <c r="B308" s="45" t="s">
        <v>5782</v>
      </c>
      <c r="C308" s="1" t="s">
        <v>708</v>
      </c>
      <c r="D308" s="46" t="s">
        <v>135</v>
      </c>
      <c r="E308" s="47">
        <f>[3]Summary!E307</f>
        <v>7</v>
      </c>
      <c r="F308" s="46">
        <f>[3]Summary!F307</f>
        <v>0</v>
      </c>
      <c r="G308" s="48">
        <f t="shared" si="4"/>
        <v>0</v>
      </c>
      <c r="H308" s="48" t="s">
        <v>5398</v>
      </c>
      <c r="I308" s="45"/>
    </row>
    <row r="309" spans="1:9" ht="23.25">
      <c r="A309" s="177">
        <v>305</v>
      </c>
      <c r="B309" s="41" t="s">
        <v>5783</v>
      </c>
      <c r="C309" s="42" t="s">
        <v>709</v>
      </c>
      <c r="D309" s="178" t="s">
        <v>135</v>
      </c>
      <c r="E309" s="43">
        <f>[3]Summary!E308</f>
        <v>11.5</v>
      </c>
      <c r="F309" s="179">
        <f>[3]Summary!F308</f>
        <v>0</v>
      </c>
      <c r="G309" s="44">
        <f t="shared" si="4"/>
        <v>0</v>
      </c>
      <c r="H309" s="44" t="s">
        <v>5398</v>
      </c>
      <c r="I309" s="41"/>
    </row>
    <row r="310" spans="1:9" ht="23.25">
      <c r="A310" s="201">
        <v>306</v>
      </c>
      <c r="B310" s="45" t="s">
        <v>5784</v>
      </c>
      <c r="C310" s="1" t="s">
        <v>710</v>
      </c>
      <c r="D310" s="46" t="s">
        <v>135</v>
      </c>
      <c r="E310" s="47">
        <f>[3]Summary!E309</f>
        <v>3.5</v>
      </c>
      <c r="F310" s="46">
        <f>[3]Summary!F309</f>
        <v>0</v>
      </c>
      <c r="G310" s="48">
        <f t="shared" si="4"/>
        <v>0</v>
      </c>
      <c r="H310" s="48" t="s">
        <v>5398</v>
      </c>
      <c r="I310" s="45"/>
    </row>
    <row r="311" spans="1:9" ht="23.25">
      <c r="A311" s="177">
        <v>307</v>
      </c>
      <c r="B311" s="41" t="s">
        <v>5785</v>
      </c>
      <c r="C311" s="42" t="s">
        <v>711</v>
      </c>
      <c r="D311" s="178" t="s">
        <v>135</v>
      </c>
      <c r="E311" s="43">
        <f>[3]Summary!E310</f>
        <v>6</v>
      </c>
      <c r="F311" s="179">
        <f>[3]Summary!F310</f>
        <v>0</v>
      </c>
      <c r="G311" s="44">
        <f t="shared" si="4"/>
        <v>0</v>
      </c>
      <c r="H311" s="44" t="s">
        <v>5398</v>
      </c>
      <c r="I311" s="41"/>
    </row>
    <row r="312" spans="1:9" ht="23.25">
      <c r="A312" s="201">
        <v>308</v>
      </c>
      <c r="B312" s="45" t="s">
        <v>5786</v>
      </c>
      <c r="C312" s="1" t="s">
        <v>712</v>
      </c>
      <c r="D312" s="46" t="s">
        <v>135</v>
      </c>
      <c r="E312" s="47">
        <f>[3]Summary!E311</f>
        <v>10.75</v>
      </c>
      <c r="F312" s="46">
        <f>[3]Summary!F311</f>
        <v>0</v>
      </c>
      <c r="G312" s="48">
        <f t="shared" si="4"/>
        <v>0</v>
      </c>
      <c r="H312" s="48" t="s">
        <v>5398</v>
      </c>
      <c r="I312" s="45"/>
    </row>
    <row r="313" spans="1:9" ht="46.5">
      <c r="A313" s="177">
        <v>309</v>
      </c>
      <c r="B313" s="41" t="s">
        <v>5787</v>
      </c>
      <c r="C313" s="42" t="s">
        <v>713</v>
      </c>
      <c r="D313" s="178" t="s">
        <v>135</v>
      </c>
      <c r="E313" s="43">
        <f>[3]Summary!E312</f>
        <v>2.9</v>
      </c>
      <c r="F313" s="179">
        <f>[3]Summary!F312</f>
        <v>0</v>
      </c>
      <c r="G313" s="44">
        <f t="shared" si="4"/>
        <v>0</v>
      </c>
      <c r="H313" s="44" t="s">
        <v>5398</v>
      </c>
      <c r="I313" s="41"/>
    </row>
    <row r="314" spans="1:9" ht="23.25">
      <c r="A314" s="201">
        <v>310</v>
      </c>
      <c r="B314" s="45" t="s">
        <v>714</v>
      </c>
      <c r="C314" s="1" t="s">
        <v>715</v>
      </c>
      <c r="D314" s="46" t="s">
        <v>135</v>
      </c>
      <c r="E314" s="47">
        <f>[3]Summary!E313</f>
        <v>11</v>
      </c>
      <c r="F314" s="46">
        <f>[3]Summary!F313</f>
        <v>3</v>
      </c>
      <c r="G314" s="48">
        <f t="shared" si="4"/>
        <v>33</v>
      </c>
      <c r="H314" s="48" t="s">
        <v>5398</v>
      </c>
      <c r="I314" s="45"/>
    </row>
    <row r="315" spans="1:9" ht="23.25">
      <c r="A315" s="177">
        <v>311</v>
      </c>
      <c r="B315" s="41" t="s">
        <v>716</v>
      </c>
      <c r="C315" s="42" t="s">
        <v>717</v>
      </c>
      <c r="D315" s="178" t="s">
        <v>135</v>
      </c>
      <c r="E315" s="43">
        <f>[3]Summary!E314</f>
        <v>0</v>
      </c>
      <c r="F315" s="179">
        <f>[3]Summary!F314</f>
        <v>0</v>
      </c>
      <c r="G315" s="44">
        <f t="shared" si="4"/>
        <v>0</v>
      </c>
      <c r="H315" s="44" t="s">
        <v>5398</v>
      </c>
      <c r="I315" s="41"/>
    </row>
    <row r="316" spans="1:9" ht="23.25">
      <c r="A316" s="201">
        <v>312</v>
      </c>
      <c r="B316" s="45" t="s">
        <v>718</v>
      </c>
      <c r="C316" s="1" t="s">
        <v>719</v>
      </c>
      <c r="D316" s="46" t="s">
        <v>135</v>
      </c>
      <c r="E316" s="47">
        <f>[3]Summary!E315</f>
        <v>40</v>
      </c>
      <c r="F316" s="46">
        <f>[3]Summary!F315</f>
        <v>25</v>
      </c>
      <c r="G316" s="48">
        <f t="shared" si="4"/>
        <v>1000</v>
      </c>
      <c r="H316" s="48" t="s">
        <v>5398</v>
      </c>
      <c r="I316" s="45"/>
    </row>
    <row r="317" spans="1:9" ht="23.25">
      <c r="A317" s="177">
        <v>313</v>
      </c>
      <c r="B317" s="41" t="s">
        <v>720</v>
      </c>
      <c r="C317" s="42" t="s">
        <v>721</v>
      </c>
      <c r="D317" s="178" t="s">
        <v>135</v>
      </c>
      <c r="E317" s="43">
        <f>[3]Summary!E316</f>
        <v>78</v>
      </c>
      <c r="F317" s="179">
        <f>[3]Summary!F316</f>
        <v>0</v>
      </c>
      <c r="G317" s="44">
        <f t="shared" si="4"/>
        <v>0</v>
      </c>
      <c r="H317" s="44" t="s">
        <v>5398</v>
      </c>
      <c r="I317" s="41"/>
    </row>
    <row r="318" spans="1:9" ht="46.5">
      <c r="A318" s="201">
        <v>314</v>
      </c>
      <c r="B318" s="45" t="s">
        <v>722</v>
      </c>
      <c r="C318" s="1" t="s">
        <v>723</v>
      </c>
      <c r="D318" s="46" t="s">
        <v>135</v>
      </c>
      <c r="E318" s="47">
        <f>[3]Summary!E317</f>
        <v>3</v>
      </c>
      <c r="F318" s="46">
        <f>[3]Summary!F317</f>
        <v>37</v>
      </c>
      <c r="G318" s="48">
        <f t="shared" si="4"/>
        <v>111</v>
      </c>
      <c r="H318" s="48" t="s">
        <v>5395</v>
      </c>
      <c r="I318" s="45"/>
    </row>
    <row r="319" spans="1:9" ht="23.25">
      <c r="A319" s="177">
        <v>315</v>
      </c>
      <c r="B319" s="41" t="s">
        <v>724</v>
      </c>
      <c r="C319" s="42" t="s">
        <v>725</v>
      </c>
      <c r="D319" s="178" t="s">
        <v>135</v>
      </c>
      <c r="E319" s="43">
        <f>[3]Summary!E318</f>
        <v>15</v>
      </c>
      <c r="F319" s="179">
        <f>[3]Summary!F318</f>
        <v>18.899999999999999</v>
      </c>
      <c r="G319" s="44">
        <f t="shared" si="4"/>
        <v>283.5</v>
      </c>
      <c r="H319" s="44" t="s">
        <v>1616</v>
      </c>
      <c r="I319" s="41"/>
    </row>
    <row r="320" spans="1:9" ht="23.25">
      <c r="A320" s="201">
        <v>316</v>
      </c>
      <c r="B320" s="45" t="s">
        <v>726</v>
      </c>
      <c r="C320" s="1" t="s">
        <v>727</v>
      </c>
      <c r="D320" s="46" t="s">
        <v>135</v>
      </c>
      <c r="E320" s="47">
        <f>[3]Summary!E319</f>
        <v>1.2</v>
      </c>
      <c r="F320" s="46">
        <f>[3]Summary!F319</f>
        <v>15</v>
      </c>
      <c r="G320" s="48">
        <f t="shared" si="4"/>
        <v>18</v>
      </c>
      <c r="H320" s="48" t="s">
        <v>1616</v>
      </c>
      <c r="I320" s="45"/>
    </row>
    <row r="321" spans="1:9" ht="23.25">
      <c r="A321" s="177">
        <v>317</v>
      </c>
      <c r="B321" s="41" t="s">
        <v>728</v>
      </c>
      <c r="C321" s="42" t="s">
        <v>729</v>
      </c>
      <c r="D321" s="178" t="s">
        <v>135</v>
      </c>
      <c r="E321" s="43">
        <f>[3]Summary!E320</f>
        <v>2.1</v>
      </c>
      <c r="F321" s="179">
        <f>[3]Summary!F320</f>
        <v>167</v>
      </c>
      <c r="G321" s="44">
        <f t="shared" si="4"/>
        <v>350.7</v>
      </c>
      <c r="H321" s="44" t="s">
        <v>1616</v>
      </c>
      <c r="I321" s="41"/>
    </row>
    <row r="322" spans="1:9" ht="23.25">
      <c r="A322" s="201">
        <v>318</v>
      </c>
      <c r="B322" s="45" t="s">
        <v>5676</v>
      </c>
      <c r="C322" s="1" t="s">
        <v>730</v>
      </c>
      <c r="D322" s="46" t="s">
        <v>135</v>
      </c>
      <c r="E322" s="47">
        <f>[3]Summary!E321</f>
        <v>25</v>
      </c>
      <c r="F322" s="46">
        <f>[3]Summary!F321</f>
        <v>0</v>
      </c>
      <c r="G322" s="48">
        <f t="shared" si="4"/>
        <v>0</v>
      </c>
      <c r="H322" s="48" t="s">
        <v>1616</v>
      </c>
      <c r="I322" s="45"/>
    </row>
    <row r="323" spans="1:9" ht="23.25">
      <c r="A323" s="177">
        <v>319</v>
      </c>
      <c r="B323" s="41" t="s">
        <v>731</v>
      </c>
      <c r="C323" s="42" t="s">
        <v>732</v>
      </c>
      <c r="D323" s="178" t="s">
        <v>135</v>
      </c>
      <c r="E323" s="43">
        <f>[3]Summary!E322</f>
        <v>3.85</v>
      </c>
      <c r="F323" s="179">
        <f>[3]Summary!F322</f>
        <v>0</v>
      </c>
      <c r="G323" s="44">
        <f t="shared" si="4"/>
        <v>0</v>
      </c>
      <c r="H323" s="44" t="s">
        <v>1616</v>
      </c>
      <c r="I323" s="41"/>
    </row>
    <row r="324" spans="1:9" ht="23.25">
      <c r="A324" s="201">
        <v>320</v>
      </c>
      <c r="B324" s="45" t="s">
        <v>733</v>
      </c>
      <c r="C324" s="1" t="s">
        <v>734</v>
      </c>
      <c r="D324" s="46" t="s">
        <v>135</v>
      </c>
      <c r="E324" s="47">
        <f>[3]Summary!E323</f>
        <v>35</v>
      </c>
      <c r="F324" s="46">
        <f>[3]Summary!F323</f>
        <v>6</v>
      </c>
      <c r="G324" s="48">
        <f t="shared" si="4"/>
        <v>210</v>
      </c>
      <c r="H324" s="48" t="s">
        <v>1616</v>
      </c>
      <c r="I324" s="45"/>
    </row>
    <row r="325" spans="1:9" ht="23.25">
      <c r="A325" s="177">
        <v>321</v>
      </c>
      <c r="B325" s="41" t="s">
        <v>735</v>
      </c>
      <c r="C325" s="42" t="s">
        <v>736</v>
      </c>
      <c r="D325" s="178" t="s">
        <v>135</v>
      </c>
      <c r="E325" s="43">
        <f>[3]Summary!E324</f>
        <v>0</v>
      </c>
      <c r="F325" s="179">
        <f>[3]Summary!F324</f>
        <v>0.66400000000000015</v>
      </c>
      <c r="G325" s="44">
        <f t="shared" ref="G325:G388" si="5">F325*E325</f>
        <v>0</v>
      </c>
      <c r="H325" s="44" t="s">
        <v>1616</v>
      </c>
      <c r="I325" s="41"/>
    </row>
    <row r="326" spans="1:9" ht="23.25">
      <c r="A326" s="201">
        <v>322</v>
      </c>
      <c r="B326" s="45" t="s">
        <v>737</v>
      </c>
      <c r="C326" s="1" t="s">
        <v>738</v>
      </c>
      <c r="D326" s="46" t="s">
        <v>135</v>
      </c>
      <c r="E326" s="47">
        <f>[3]Summary!E325</f>
        <v>2.02</v>
      </c>
      <c r="F326" s="46">
        <f>[3]Summary!F325</f>
        <v>0</v>
      </c>
      <c r="G326" s="48">
        <f t="shared" si="5"/>
        <v>0</v>
      </c>
      <c r="H326" s="48" t="s">
        <v>5390</v>
      </c>
      <c r="I326" s="45"/>
    </row>
    <row r="327" spans="1:9" ht="46.5">
      <c r="A327" s="177">
        <v>323</v>
      </c>
      <c r="B327" s="41" t="s">
        <v>739</v>
      </c>
      <c r="C327" s="42" t="s">
        <v>740</v>
      </c>
      <c r="D327" s="178" t="s">
        <v>135</v>
      </c>
      <c r="E327" s="43">
        <f>[3]Summary!E326</f>
        <v>2.25</v>
      </c>
      <c r="F327" s="179">
        <f>[3]Summary!F326</f>
        <v>0</v>
      </c>
      <c r="G327" s="44">
        <f t="shared" si="5"/>
        <v>0</v>
      </c>
      <c r="H327" s="44" t="s">
        <v>1606</v>
      </c>
      <c r="I327" s="41"/>
    </row>
    <row r="328" spans="1:9" ht="46.5">
      <c r="A328" s="201">
        <v>324</v>
      </c>
      <c r="B328" s="45" t="s">
        <v>741</v>
      </c>
      <c r="C328" s="1" t="s">
        <v>742</v>
      </c>
      <c r="D328" s="46" t="s">
        <v>135</v>
      </c>
      <c r="E328" s="47">
        <f>[3]Summary!E327</f>
        <v>1.7</v>
      </c>
      <c r="F328" s="46">
        <f>[3]Summary!F327</f>
        <v>0</v>
      </c>
      <c r="G328" s="48">
        <f t="shared" si="5"/>
        <v>0</v>
      </c>
      <c r="H328" s="48" t="s">
        <v>1606</v>
      </c>
      <c r="I328" s="45"/>
    </row>
    <row r="329" spans="1:9" ht="46.5">
      <c r="A329" s="177">
        <v>325</v>
      </c>
      <c r="B329" s="41" t="s">
        <v>743</v>
      </c>
      <c r="C329" s="42" t="s">
        <v>744</v>
      </c>
      <c r="D329" s="178" t="s">
        <v>135</v>
      </c>
      <c r="E329" s="43">
        <f>[3]Summary!E328</f>
        <v>3.5</v>
      </c>
      <c r="F329" s="179">
        <f>[3]Summary!F328</f>
        <v>109</v>
      </c>
      <c r="G329" s="44">
        <f t="shared" si="5"/>
        <v>381.5</v>
      </c>
      <c r="H329" s="44" t="s">
        <v>1606</v>
      </c>
      <c r="I329" s="41"/>
    </row>
    <row r="330" spans="1:9" ht="23.25">
      <c r="A330" s="201">
        <v>326</v>
      </c>
      <c r="B330" s="45" t="s">
        <v>745</v>
      </c>
      <c r="C330" s="1" t="s">
        <v>746</v>
      </c>
      <c r="D330" s="46" t="s">
        <v>135</v>
      </c>
      <c r="E330" s="47">
        <f>[3]Summary!E329</f>
        <v>3.32</v>
      </c>
      <c r="F330" s="46">
        <f>[3]Summary!F329</f>
        <v>0</v>
      </c>
      <c r="G330" s="48">
        <f t="shared" si="5"/>
        <v>0</v>
      </c>
      <c r="H330" s="48" t="s">
        <v>1612</v>
      </c>
      <c r="I330" s="45"/>
    </row>
    <row r="331" spans="1:9" ht="23.25">
      <c r="A331" s="177">
        <v>327</v>
      </c>
      <c r="B331" s="41" t="s">
        <v>747</v>
      </c>
      <c r="C331" s="42" t="s">
        <v>748</v>
      </c>
      <c r="D331" s="178" t="s">
        <v>135</v>
      </c>
      <c r="E331" s="43">
        <f>[3]Summary!E330</f>
        <v>2</v>
      </c>
      <c r="F331" s="179">
        <f>[3]Summary!F330</f>
        <v>0</v>
      </c>
      <c r="G331" s="44">
        <f t="shared" si="5"/>
        <v>0</v>
      </c>
      <c r="H331" s="44" t="s">
        <v>5395</v>
      </c>
      <c r="I331" s="41"/>
    </row>
    <row r="332" spans="1:9" ht="46.5">
      <c r="A332" s="201">
        <v>328</v>
      </c>
      <c r="B332" s="45" t="s">
        <v>749</v>
      </c>
      <c r="C332" s="1" t="s">
        <v>750</v>
      </c>
      <c r="D332" s="46" t="s">
        <v>135</v>
      </c>
      <c r="E332" s="47">
        <f>[3]Summary!E331</f>
        <v>30</v>
      </c>
      <c r="F332" s="46">
        <f>[3]Summary!F331</f>
        <v>4</v>
      </c>
      <c r="G332" s="48">
        <f t="shared" si="5"/>
        <v>120</v>
      </c>
      <c r="H332" s="48" t="s">
        <v>5391</v>
      </c>
      <c r="I332" s="45"/>
    </row>
    <row r="333" spans="1:9" ht="46.5">
      <c r="A333" s="177">
        <v>329</v>
      </c>
      <c r="B333" s="41" t="s">
        <v>749</v>
      </c>
      <c r="C333" s="42" t="s">
        <v>751</v>
      </c>
      <c r="D333" s="178" t="s">
        <v>135</v>
      </c>
      <c r="E333" s="43">
        <f>[3]Summary!E332</f>
        <v>50</v>
      </c>
      <c r="F333" s="179">
        <f>[3]Summary!F332</f>
        <v>0</v>
      </c>
      <c r="G333" s="44">
        <f t="shared" si="5"/>
        <v>0</v>
      </c>
      <c r="H333" s="44" t="s">
        <v>5391</v>
      </c>
      <c r="I333" s="41"/>
    </row>
    <row r="334" spans="1:9" ht="23.25">
      <c r="A334" s="201">
        <v>330</v>
      </c>
      <c r="B334" s="45" t="s">
        <v>752</v>
      </c>
      <c r="C334" s="1" t="s">
        <v>753</v>
      </c>
      <c r="D334" s="46" t="s">
        <v>135</v>
      </c>
      <c r="E334" s="47">
        <f>[3]Summary!E333</f>
        <v>35</v>
      </c>
      <c r="F334" s="46">
        <f>[3]Summary!F333</f>
        <v>0</v>
      </c>
      <c r="G334" s="48">
        <f t="shared" si="5"/>
        <v>0</v>
      </c>
      <c r="H334" s="48" t="s">
        <v>5391</v>
      </c>
      <c r="I334" s="45"/>
    </row>
    <row r="335" spans="1:9" ht="42">
      <c r="A335" s="177">
        <v>331</v>
      </c>
      <c r="B335" s="41" t="s">
        <v>754</v>
      </c>
      <c r="C335" s="42" t="s">
        <v>755</v>
      </c>
      <c r="D335" s="178" t="s">
        <v>135</v>
      </c>
      <c r="E335" s="43">
        <f>[3]Summary!E334</f>
        <v>25</v>
      </c>
      <c r="F335" s="179">
        <f>[3]Summary!F334</f>
        <v>0</v>
      </c>
      <c r="G335" s="44">
        <f t="shared" si="5"/>
        <v>0</v>
      </c>
      <c r="H335" s="44" t="s">
        <v>5391</v>
      </c>
      <c r="I335" s="41"/>
    </row>
    <row r="336" spans="1:9" ht="46.5">
      <c r="A336" s="201">
        <v>332</v>
      </c>
      <c r="B336" s="45" t="s">
        <v>756</v>
      </c>
      <c r="C336" s="1" t="s">
        <v>757</v>
      </c>
      <c r="D336" s="46" t="s">
        <v>135</v>
      </c>
      <c r="E336" s="47">
        <f>[3]Summary!E335</f>
        <v>70</v>
      </c>
      <c r="F336" s="46">
        <f>[3]Summary!F335</f>
        <v>0</v>
      </c>
      <c r="G336" s="48">
        <f t="shared" si="5"/>
        <v>0</v>
      </c>
      <c r="H336" s="48" t="s">
        <v>5391</v>
      </c>
      <c r="I336" s="45"/>
    </row>
    <row r="337" spans="1:9" ht="42">
      <c r="A337" s="177">
        <v>333</v>
      </c>
      <c r="B337" s="41" t="s">
        <v>758</v>
      </c>
      <c r="C337" s="42" t="s">
        <v>759</v>
      </c>
      <c r="D337" s="178" t="s">
        <v>135</v>
      </c>
      <c r="E337" s="43">
        <f>[3]Summary!E336</f>
        <v>30</v>
      </c>
      <c r="F337" s="179">
        <f>[3]Summary!F336</f>
        <v>0</v>
      </c>
      <c r="G337" s="44">
        <f t="shared" si="5"/>
        <v>0</v>
      </c>
      <c r="H337" s="44" t="s">
        <v>5391</v>
      </c>
      <c r="I337" s="41"/>
    </row>
    <row r="338" spans="1:9" ht="42">
      <c r="A338" s="201">
        <v>334</v>
      </c>
      <c r="B338" s="45" t="s">
        <v>760</v>
      </c>
      <c r="C338" s="1" t="s">
        <v>761</v>
      </c>
      <c r="D338" s="46" t="s">
        <v>135</v>
      </c>
      <c r="E338" s="47">
        <f>[3]Summary!E337</f>
        <v>28</v>
      </c>
      <c r="F338" s="46">
        <f>[3]Summary!F337</f>
        <v>0.69000000000000017</v>
      </c>
      <c r="G338" s="48">
        <f t="shared" si="5"/>
        <v>19.320000000000004</v>
      </c>
      <c r="H338" s="48" t="s">
        <v>5400</v>
      </c>
      <c r="I338" s="45"/>
    </row>
    <row r="339" spans="1:9" ht="23.25">
      <c r="A339" s="177">
        <v>335</v>
      </c>
      <c r="B339" s="41" t="s">
        <v>762</v>
      </c>
      <c r="C339" s="42" t="s">
        <v>763</v>
      </c>
      <c r="D339" s="178" t="s">
        <v>135</v>
      </c>
      <c r="E339" s="43">
        <f>[3]Summary!E338</f>
        <v>4.5</v>
      </c>
      <c r="F339" s="179">
        <f>[3]Summary!F338</f>
        <v>9</v>
      </c>
      <c r="G339" s="44">
        <f t="shared" si="5"/>
        <v>40.5</v>
      </c>
      <c r="H339" s="44" t="s">
        <v>1612</v>
      </c>
      <c r="I339" s="41"/>
    </row>
    <row r="340" spans="1:9" ht="23.25">
      <c r="A340" s="201">
        <v>336</v>
      </c>
      <c r="B340" s="45" t="s">
        <v>764</v>
      </c>
      <c r="C340" s="1" t="s">
        <v>765</v>
      </c>
      <c r="D340" s="46" t="s">
        <v>135</v>
      </c>
      <c r="E340" s="47">
        <f>[3]Summary!E339</f>
        <v>45</v>
      </c>
      <c r="F340" s="46">
        <f>[3]Summary!F339</f>
        <v>0</v>
      </c>
      <c r="G340" s="48">
        <f t="shared" si="5"/>
        <v>0</v>
      </c>
      <c r="H340" s="48" t="s">
        <v>5388</v>
      </c>
      <c r="I340" s="45"/>
    </row>
    <row r="341" spans="1:9" ht="46.5">
      <c r="A341" s="177">
        <v>337</v>
      </c>
      <c r="B341" s="41" t="s">
        <v>766</v>
      </c>
      <c r="C341" s="42" t="s">
        <v>767</v>
      </c>
      <c r="D341" s="178" t="s">
        <v>135</v>
      </c>
      <c r="E341" s="43">
        <f>[3]Summary!E340</f>
        <v>6</v>
      </c>
      <c r="F341" s="179">
        <f>[3]Summary!F340</f>
        <v>0</v>
      </c>
      <c r="G341" s="44">
        <f t="shared" si="5"/>
        <v>0</v>
      </c>
      <c r="H341" s="44" t="s">
        <v>5397</v>
      </c>
      <c r="I341" s="41"/>
    </row>
    <row r="342" spans="1:9" ht="46.5">
      <c r="A342" s="201">
        <v>338</v>
      </c>
      <c r="B342" s="45" t="s">
        <v>768</v>
      </c>
      <c r="C342" s="1" t="s">
        <v>769</v>
      </c>
      <c r="D342" s="46" t="s">
        <v>135</v>
      </c>
      <c r="E342" s="47">
        <f>[3]Summary!E341</f>
        <v>6.5</v>
      </c>
      <c r="F342" s="46">
        <f>[3]Summary!F341</f>
        <v>0</v>
      </c>
      <c r="G342" s="48">
        <f t="shared" si="5"/>
        <v>0</v>
      </c>
      <c r="H342" s="48" t="s">
        <v>5397</v>
      </c>
      <c r="I342" s="45"/>
    </row>
    <row r="343" spans="1:9" ht="23.25">
      <c r="A343" s="177">
        <v>339</v>
      </c>
      <c r="B343" s="41" t="s">
        <v>770</v>
      </c>
      <c r="C343" s="42" t="s">
        <v>771</v>
      </c>
      <c r="D343" s="178" t="s">
        <v>135</v>
      </c>
      <c r="E343" s="43">
        <f>[3]Summary!E342</f>
        <v>0.8</v>
      </c>
      <c r="F343" s="179">
        <f>[3]Summary!F342</f>
        <v>38</v>
      </c>
      <c r="G343" s="44">
        <f t="shared" si="5"/>
        <v>30.400000000000002</v>
      </c>
      <c r="H343" s="44" t="s">
        <v>5401</v>
      </c>
      <c r="I343" s="41"/>
    </row>
    <row r="344" spans="1:9" ht="46.5">
      <c r="A344" s="201">
        <v>340</v>
      </c>
      <c r="B344" s="45" t="s">
        <v>772</v>
      </c>
      <c r="C344" s="1" t="s">
        <v>773</v>
      </c>
      <c r="D344" s="46" t="s">
        <v>135</v>
      </c>
      <c r="E344" s="47">
        <f>[3]Summary!E343</f>
        <v>5</v>
      </c>
      <c r="F344" s="46">
        <f>[3]Summary!F343</f>
        <v>5</v>
      </c>
      <c r="G344" s="48">
        <f t="shared" si="5"/>
        <v>25</v>
      </c>
      <c r="H344" s="48" t="s">
        <v>1606</v>
      </c>
      <c r="I344" s="45"/>
    </row>
    <row r="345" spans="1:9" ht="46.5">
      <c r="A345" s="177">
        <v>341</v>
      </c>
      <c r="B345" s="41" t="s">
        <v>774</v>
      </c>
      <c r="C345" s="42" t="s">
        <v>775</v>
      </c>
      <c r="D345" s="178" t="s">
        <v>135</v>
      </c>
      <c r="E345" s="43">
        <f>[3]Summary!E344</f>
        <v>7</v>
      </c>
      <c r="F345" s="179">
        <f>[3]Summary!F344</f>
        <v>2</v>
      </c>
      <c r="G345" s="44">
        <f t="shared" si="5"/>
        <v>14</v>
      </c>
      <c r="H345" s="44" t="s">
        <v>1606</v>
      </c>
      <c r="I345" s="41"/>
    </row>
    <row r="346" spans="1:9" ht="42">
      <c r="A346" s="201">
        <v>342</v>
      </c>
      <c r="B346" s="45" t="s">
        <v>776</v>
      </c>
      <c r="C346" s="1" t="s">
        <v>777</v>
      </c>
      <c r="D346" s="46" t="s">
        <v>135</v>
      </c>
      <c r="E346" s="47">
        <f>[3]Summary!E345</f>
        <v>50</v>
      </c>
      <c r="F346" s="46">
        <f>[3]Summary!F345</f>
        <v>0</v>
      </c>
      <c r="G346" s="48">
        <f t="shared" si="5"/>
        <v>0</v>
      </c>
      <c r="H346" s="48" t="s">
        <v>1612</v>
      </c>
      <c r="I346" s="45"/>
    </row>
    <row r="347" spans="1:9" ht="46.5">
      <c r="A347" s="177">
        <v>343</v>
      </c>
      <c r="B347" s="41" t="s">
        <v>778</v>
      </c>
      <c r="C347" s="42" t="s">
        <v>779</v>
      </c>
      <c r="D347" s="178" t="s">
        <v>135</v>
      </c>
      <c r="E347" s="43">
        <f>[3]Summary!E346</f>
        <v>260</v>
      </c>
      <c r="F347" s="179">
        <f>[3]Summary!F346</f>
        <v>0</v>
      </c>
      <c r="G347" s="44">
        <f t="shared" si="5"/>
        <v>0</v>
      </c>
      <c r="H347" s="44" t="s">
        <v>1636</v>
      </c>
      <c r="I347" s="41"/>
    </row>
    <row r="348" spans="1:9" ht="46.5">
      <c r="A348" s="201">
        <v>344</v>
      </c>
      <c r="B348" s="45" t="s">
        <v>780</v>
      </c>
      <c r="C348" s="1" t="s">
        <v>781</v>
      </c>
      <c r="D348" s="46" t="s">
        <v>135</v>
      </c>
      <c r="E348" s="47">
        <f>[3]Summary!E347</f>
        <v>0.5</v>
      </c>
      <c r="F348" s="46">
        <f>[3]Summary!F347</f>
        <v>389</v>
      </c>
      <c r="G348" s="48">
        <f t="shared" si="5"/>
        <v>194.5</v>
      </c>
      <c r="H348" s="48" t="s">
        <v>1606</v>
      </c>
      <c r="I348" s="45"/>
    </row>
    <row r="349" spans="1:9" ht="46.5">
      <c r="A349" s="177">
        <v>345</v>
      </c>
      <c r="B349" s="41" t="s">
        <v>782</v>
      </c>
      <c r="C349" s="42" t="s">
        <v>783</v>
      </c>
      <c r="D349" s="178" t="s">
        <v>135</v>
      </c>
      <c r="E349" s="43">
        <f>[3]Summary!E348</f>
        <v>200</v>
      </c>
      <c r="F349" s="179">
        <f>[3]Summary!F348</f>
        <v>0</v>
      </c>
      <c r="G349" s="44">
        <f t="shared" si="5"/>
        <v>0</v>
      </c>
      <c r="H349" s="44" t="s">
        <v>1636</v>
      </c>
      <c r="I349" s="41"/>
    </row>
    <row r="350" spans="1:9" ht="46.5">
      <c r="A350" s="201">
        <v>346</v>
      </c>
      <c r="B350" s="45" t="s">
        <v>784</v>
      </c>
      <c r="C350" s="1" t="s">
        <v>785</v>
      </c>
      <c r="D350" s="46" t="s">
        <v>135</v>
      </c>
      <c r="E350" s="47">
        <f>[3]Summary!E349</f>
        <v>390</v>
      </c>
      <c r="F350" s="46">
        <f>[3]Summary!F349</f>
        <v>0</v>
      </c>
      <c r="G350" s="48">
        <f t="shared" si="5"/>
        <v>0</v>
      </c>
      <c r="H350" s="48" t="s">
        <v>1636</v>
      </c>
      <c r="I350" s="45"/>
    </row>
    <row r="351" spans="1:9" ht="46.5">
      <c r="A351" s="177">
        <v>347</v>
      </c>
      <c r="B351" s="41" t="s">
        <v>786</v>
      </c>
      <c r="C351" s="42" t="s">
        <v>787</v>
      </c>
      <c r="D351" s="178" t="s">
        <v>135</v>
      </c>
      <c r="E351" s="43">
        <f>[3]Summary!E350</f>
        <v>0.55000000000000004</v>
      </c>
      <c r="F351" s="179">
        <f>[3]Summary!F350</f>
        <v>2</v>
      </c>
      <c r="G351" s="44">
        <f t="shared" si="5"/>
        <v>1.1000000000000001</v>
      </c>
      <c r="H351" s="44" t="s">
        <v>5395</v>
      </c>
      <c r="I351" s="41"/>
    </row>
    <row r="352" spans="1:9" ht="46.5">
      <c r="A352" s="201">
        <v>348</v>
      </c>
      <c r="B352" s="45" t="s">
        <v>788</v>
      </c>
      <c r="C352" s="1" t="s">
        <v>789</v>
      </c>
      <c r="D352" s="46" t="s">
        <v>135</v>
      </c>
      <c r="E352" s="47">
        <f>[3]Summary!E351</f>
        <v>0.35</v>
      </c>
      <c r="F352" s="46">
        <f>[3]Summary!F351</f>
        <v>57</v>
      </c>
      <c r="G352" s="48">
        <f t="shared" si="5"/>
        <v>19.95</v>
      </c>
      <c r="H352" s="48" t="s">
        <v>5395</v>
      </c>
      <c r="I352" s="45"/>
    </row>
    <row r="353" spans="1:9" ht="23.25">
      <c r="A353" s="177">
        <v>349</v>
      </c>
      <c r="B353" s="41" t="s">
        <v>790</v>
      </c>
      <c r="C353" s="42" t="s">
        <v>791</v>
      </c>
      <c r="D353" s="178" t="s">
        <v>135</v>
      </c>
      <c r="E353" s="43">
        <f>[3]Summary!E352</f>
        <v>0.6</v>
      </c>
      <c r="F353" s="179">
        <f>[3]Summary!F352</f>
        <v>0</v>
      </c>
      <c r="G353" s="44">
        <f t="shared" si="5"/>
        <v>0</v>
      </c>
      <c r="H353" s="44" t="s">
        <v>5395</v>
      </c>
      <c r="I353" s="41"/>
    </row>
    <row r="354" spans="1:9" ht="42">
      <c r="A354" s="201">
        <v>350</v>
      </c>
      <c r="B354" s="45" t="s">
        <v>792</v>
      </c>
      <c r="C354" s="1" t="s">
        <v>793</v>
      </c>
      <c r="D354" s="46" t="s">
        <v>135</v>
      </c>
      <c r="E354" s="47">
        <f>[3]Summary!E353</f>
        <v>15</v>
      </c>
      <c r="F354" s="46">
        <f>[3]Summary!F353</f>
        <v>8</v>
      </c>
      <c r="G354" s="48">
        <f t="shared" si="5"/>
        <v>120</v>
      </c>
      <c r="H354" s="48" t="s">
        <v>1606</v>
      </c>
      <c r="I354" s="45"/>
    </row>
    <row r="355" spans="1:9" ht="23.25">
      <c r="A355" s="177">
        <v>351</v>
      </c>
      <c r="B355" s="41" t="s">
        <v>794</v>
      </c>
      <c r="C355" s="42" t="s">
        <v>795</v>
      </c>
      <c r="D355" s="178" t="s">
        <v>135</v>
      </c>
      <c r="E355" s="43">
        <f>[3]Summary!E354</f>
        <v>18.125</v>
      </c>
      <c r="F355" s="179">
        <f>[3]Summary!F354</f>
        <v>0</v>
      </c>
      <c r="G355" s="44">
        <f t="shared" si="5"/>
        <v>0</v>
      </c>
      <c r="H355" s="44" t="s">
        <v>1606</v>
      </c>
      <c r="I355" s="41"/>
    </row>
    <row r="356" spans="1:9" ht="46.5">
      <c r="A356" s="201">
        <v>352</v>
      </c>
      <c r="B356" s="45" t="s">
        <v>796</v>
      </c>
      <c r="C356" s="1" t="s">
        <v>797</v>
      </c>
      <c r="D356" s="46" t="s">
        <v>135</v>
      </c>
      <c r="E356" s="47">
        <f>[3]Summary!E355</f>
        <v>260</v>
      </c>
      <c r="F356" s="46">
        <f>[3]Summary!F355</f>
        <v>2</v>
      </c>
      <c r="G356" s="48">
        <f t="shared" si="5"/>
        <v>520</v>
      </c>
      <c r="H356" s="48" t="s">
        <v>1606</v>
      </c>
      <c r="I356" s="45"/>
    </row>
    <row r="357" spans="1:9" ht="46.5">
      <c r="A357" s="177">
        <v>353</v>
      </c>
      <c r="B357" s="41" t="s">
        <v>798</v>
      </c>
      <c r="C357" s="42" t="s">
        <v>799</v>
      </c>
      <c r="D357" s="178" t="s">
        <v>135</v>
      </c>
      <c r="E357" s="43">
        <f>[3]Summary!E356</f>
        <v>0</v>
      </c>
      <c r="F357" s="179">
        <f>[3]Summary!F356</f>
        <v>65</v>
      </c>
      <c r="G357" s="44">
        <f t="shared" si="5"/>
        <v>0</v>
      </c>
      <c r="H357" s="44" t="s">
        <v>1636</v>
      </c>
      <c r="I357" s="41"/>
    </row>
    <row r="358" spans="1:9" ht="46.5">
      <c r="A358" s="201">
        <v>354</v>
      </c>
      <c r="B358" s="45" t="s">
        <v>800</v>
      </c>
      <c r="C358" s="1" t="s">
        <v>801</v>
      </c>
      <c r="D358" s="46" t="s">
        <v>135</v>
      </c>
      <c r="E358" s="47">
        <f>[3]Summary!E357</f>
        <v>174.65</v>
      </c>
      <c r="F358" s="46">
        <f>[3]Summary!F357</f>
        <v>94</v>
      </c>
      <c r="G358" s="48">
        <f t="shared" si="5"/>
        <v>16417.100000000002</v>
      </c>
      <c r="H358" s="48" t="s">
        <v>1636</v>
      </c>
      <c r="I358" s="45"/>
    </row>
    <row r="359" spans="1:9" ht="46.5">
      <c r="A359" s="177">
        <v>355</v>
      </c>
      <c r="B359" s="41" t="s">
        <v>802</v>
      </c>
      <c r="C359" s="42" t="s">
        <v>803</v>
      </c>
      <c r="D359" s="178" t="s">
        <v>135</v>
      </c>
      <c r="E359" s="43">
        <f>[3]Summary!E358</f>
        <v>0</v>
      </c>
      <c r="F359" s="179">
        <f>[3]Summary!F358</f>
        <v>118</v>
      </c>
      <c r="G359" s="44">
        <f t="shared" si="5"/>
        <v>0</v>
      </c>
      <c r="H359" s="44" t="s">
        <v>1636</v>
      </c>
      <c r="I359" s="41"/>
    </row>
    <row r="360" spans="1:9" ht="23.25">
      <c r="A360" s="201">
        <v>356</v>
      </c>
      <c r="B360" s="45" t="s">
        <v>804</v>
      </c>
      <c r="C360" s="1" t="s">
        <v>805</v>
      </c>
      <c r="D360" s="46" t="s">
        <v>135</v>
      </c>
      <c r="E360" s="47">
        <f>[3]Summary!E359</f>
        <v>5.625</v>
      </c>
      <c r="F360" s="46">
        <f>[3]Summary!F359</f>
        <v>46</v>
      </c>
      <c r="G360" s="48">
        <f t="shared" si="5"/>
        <v>258.75</v>
      </c>
      <c r="H360" s="48" t="s">
        <v>1606</v>
      </c>
      <c r="I360" s="45"/>
    </row>
    <row r="361" spans="1:9" ht="46.5">
      <c r="A361" s="177">
        <v>357</v>
      </c>
      <c r="B361" s="41" t="s">
        <v>806</v>
      </c>
      <c r="C361" s="42" t="s">
        <v>807</v>
      </c>
      <c r="D361" s="178" t="s">
        <v>135</v>
      </c>
      <c r="E361" s="43">
        <f>[3]Summary!E360</f>
        <v>275</v>
      </c>
      <c r="F361" s="179">
        <f>[3]Summary!F360</f>
        <v>1</v>
      </c>
      <c r="G361" s="44">
        <f t="shared" si="5"/>
        <v>275</v>
      </c>
      <c r="H361" s="44" t="s">
        <v>1636</v>
      </c>
      <c r="I361" s="41"/>
    </row>
    <row r="362" spans="1:9" ht="46.5">
      <c r="A362" s="201">
        <v>358</v>
      </c>
      <c r="B362" s="45" t="s">
        <v>808</v>
      </c>
      <c r="C362" s="1" t="s">
        <v>809</v>
      </c>
      <c r="D362" s="46" t="s">
        <v>135</v>
      </c>
      <c r="E362" s="47">
        <f>[3]Summary!E361</f>
        <v>20</v>
      </c>
      <c r="F362" s="46">
        <f>[3]Summary!F361</f>
        <v>0</v>
      </c>
      <c r="G362" s="48">
        <f t="shared" si="5"/>
        <v>0</v>
      </c>
      <c r="H362" s="48" t="s">
        <v>5395</v>
      </c>
      <c r="I362" s="45"/>
    </row>
    <row r="363" spans="1:9" ht="46.5">
      <c r="A363" s="177">
        <v>359</v>
      </c>
      <c r="B363" s="41" t="s">
        <v>810</v>
      </c>
      <c r="C363" s="42" t="s">
        <v>811</v>
      </c>
      <c r="D363" s="178" t="s">
        <v>135</v>
      </c>
      <c r="E363" s="43">
        <f>[3]Summary!E362</f>
        <v>4</v>
      </c>
      <c r="F363" s="179">
        <f>[3]Summary!F362</f>
        <v>0</v>
      </c>
      <c r="G363" s="44">
        <f t="shared" si="5"/>
        <v>0</v>
      </c>
      <c r="H363" s="44" t="s">
        <v>1654</v>
      </c>
      <c r="I363" s="41"/>
    </row>
    <row r="364" spans="1:9" ht="23.25">
      <c r="A364" s="201">
        <v>360</v>
      </c>
      <c r="B364" s="45" t="s">
        <v>812</v>
      </c>
      <c r="C364" s="1" t="s">
        <v>813</v>
      </c>
      <c r="D364" s="46" t="s">
        <v>135</v>
      </c>
      <c r="E364" s="47">
        <f>[3]Summary!E363</f>
        <v>5</v>
      </c>
      <c r="F364" s="46">
        <f>[3]Summary!F363</f>
        <v>8</v>
      </c>
      <c r="G364" s="48">
        <f t="shared" si="5"/>
        <v>40</v>
      </c>
      <c r="H364" s="48" t="s">
        <v>1654</v>
      </c>
      <c r="I364" s="45"/>
    </row>
    <row r="365" spans="1:9" ht="46.5">
      <c r="A365" s="177">
        <v>361</v>
      </c>
      <c r="B365" s="41" t="s">
        <v>814</v>
      </c>
      <c r="C365" s="42" t="s">
        <v>815</v>
      </c>
      <c r="D365" s="178" t="s">
        <v>135</v>
      </c>
      <c r="E365" s="43">
        <f>[3]Summary!E364</f>
        <v>2.5</v>
      </c>
      <c r="F365" s="179">
        <f>[3]Summary!F364</f>
        <v>56</v>
      </c>
      <c r="G365" s="44">
        <f t="shared" si="5"/>
        <v>140</v>
      </c>
      <c r="H365" s="44" t="s">
        <v>1606</v>
      </c>
      <c r="I365" s="41"/>
    </row>
    <row r="366" spans="1:9" ht="42">
      <c r="A366" s="201">
        <v>362</v>
      </c>
      <c r="B366" s="45" t="s">
        <v>816</v>
      </c>
      <c r="C366" s="1" t="s">
        <v>817</v>
      </c>
      <c r="D366" s="46" t="s">
        <v>135</v>
      </c>
      <c r="E366" s="47">
        <f>[3]Summary!E365</f>
        <v>0.25</v>
      </c>
      <c r="F366" s="46">
        <f>[3]Summary!F365</f>
        <v>0</v>
      </c>
      <c r="G366" s="48">
        <f t="shared" si="5"/>
        <v>0</v>
      </c>
      <c r="H366" s="48" t="s">
        <v>5395</v>
      </c>
      <c r="I366" s="45"/>
    </row>
    <row r="367" spans="1:9" ht="23.25">
      <c r="A367" s="177">
        <v>363</v>
      </c>
      <c r="B367" s="41" t="s">
        <v>818</v>
      </c>
      <c r="C367" s="42" t="s">
        <v>819</v>
      </c>
      <c r="D367" s="178" t="s">
        <v>135</v>
      </c>
      <c r="E367" s="43">
        <f>[3]Summary!E366</f>
        <v>0.4</v>
      </c>
      <c r="F367" s="179">
        <f>[3]Summary!F366</f>
        <v>0</v>
      </c>
      <c r="G367" s="44">
        <f t="shared" si="5"/>
        <v>0</v>
      </c>
      <c r="H367" s="44" t="s">
        <v>1606</v>
      </c>
      <c r="I367" s="41"/>
    </row>
    <row r="368" spans="1:9" ht="46.5">
      <c r="A368" s="201">
        <v>364</v>
      </c>
      <c r="B368" s="45" t="s">
        <v>820</v>
      </c>
      <c r="C368" s="1" t="s">
        <v>821</v>
      </c>
      <c r="D368" s="46" t="s">
        <v>135</v>
      </c>
      <c r="E368" s="47">
        <f>[3]Summary!E367</f>
        <v>0.38</v>
      </c>
      <c r="F368" s="46">
        <f>[3]Summary!F367</f>
        <v>856</v>
      </c>
      <c r="G368" s="48">
        <f t="shared" si="5"/>
        <v>325.28000000000003</v>
      </c>
      <c r="H368" s="48" t="s">
        <v>1606</v>
      </c>
      <c r="I368" s="45"/>
    </row>
    <row r="369" spans="1:9" ht="46.5">
      <c r="A369" s="177">
        <v>365</v>
      </c>
      <c r="B369" s="41" t="s">
        <v>822</v>
      </c>
      <c r="C369" s="42" t="s">
        <v>823</v>
      </c>
      <c r="D369" s="178" t="s">
        <v>135</v>
      </c>
      <c r="E369" s="43">
        <f>[3]Summary!E368</f>
        <v>1.25</v>
      </c>
      <c r="F369" s="179">
        <f>[3]Summary!F368</f>
        <v>206</v>
      </c>
      <c r="G369" s="44">
        <f t="shared" si="5"/>
        <v>257.5</v>
      </c>
      <c r="H369" s="44" t="s">
        <v>1676</v>
      </c>
      <c r="I369" s="41"/>
    </row>
    <row r="370" spans="1:9" ht="23.25">
      <c r="A370" s="201">
        <v>366</v>
      </c>
      <c r="B370" s="45" t="s">
        <v>824</v>
      </c>
      <c r="C370" s="1" t="s">
        <v>825</v>
      </c>
      <c r="D370" s="46" t="s">
        <v>135</v>
      </c>
      <c r="E370" s="47">
        <f>[3]Summary!E369</f>
        <v>0.41</v>
      </c>
      <c r="F370" s="46">
        <f>[3]Summary!F369</f>
        <v>83</v>
      </c>
      <c r="G370" s="48">
        <f t="shared" si="5"/>
        <v>34.03</v>
      </c>
      <c r="H370" s="48" t="s">
        <v>1676</v>
      </c>
      <c r="I370" s="45"/>
    </row>
    <row r="371" spans="1:9" ht="23.25">
      <c r="A371" s="177">
        <v>367</v>
      </c>
      <c r="B371" s="41" t="s">
        <v>826</v>
      </c>
      <c r="C371" s="42" t="s">
        <v>827</v>
      </c>
      <c r="D371" s="178" t="s">
        <v>135</v>
      </c>
      <c r="E371" s="43">
        <f>[3]Summary!E370</f>
        <v>0.28000000000000003</v>
      </c>
      <c r="F371" s="179">
        <f>[3]Summary!F370</f>
        <v>219</v>
      </c>
      <c r="G371" s="44">
        <f t="shared" si="5"/>
        <v>61.320000000000007</v>
      </c>
      <c r="H371" s="44" t="s">
        <v>1676</v>
      </c>
      <c r="I371" s="41"/>
    </row>
    <row r="372" spans="1:9" ht="23.25">
      <c r="A372" s="201">
        <v>368</v>
      </c>
      <c r="B372" s="45" t="s">
        <v>828</v>
      </c>
      <c r="C372" s="1" t="s">
        <v>829</v>
      </c>
      <c r="D372" s="46" t="s">
        <v>135</v>
      </c>
      <c r="E372" s="47">
        <f>[3]Summary!E371</f>
        <v>0</v>
      </c>
      <c r="F372" s="46">
        <f>[3]Summary!F371</f>
        <v>600</v>
      </c>
      <c r="G372" s="48">
        <f t="shared" si="5"/>
        <v>0</v>
      </c>
      <c r="H372" s="48" t="s">
        <v>1676</v>
      </c>
      <c r="I372" s="45"/>
    </row>
    <row r="373" spans="1:9" ht="23.25">
      <c r="A373" s="177">
        <v>369</v>
      </c>
      <c r="B373" s="41" t="s">
        <v>830</v>
      </c>
      <c r="C373" s="42" t="s">
        <v>831</v>
      </c>
      <c r="D373" s="178" t="s">
        <v>135</v>
      </c>
      <c r="E373" s="43">
        <f>[3]Summary!E372</f>
        <v>0.4</v>
      </c>
      <c r="F373" s="179">
        <f>[3]Summary!F372</f>
        <v>222</v>
      </c>
      <c r="G373" s="44">
        <f t="shared" si="5"/>
        <v>88.800000000000011</v>
      </c>
      <c r="H373" s="44" t="s">
        <v>1676</v>
      </c>
      <c r="I373" s="41"/>
    </row>
    <row r="374" spans="1:9" ht="46.5">
      <c r="A374" s="201">
        <v>370</v>
      </c>
      <c r="B374" s="45"/>
      <c r="C374" s="1" t="s">
        <v>832</v>
      </c>
      <c r="D374" s="46" t="s">
        <v>135</v>
      </c>
      <c r="E374" s="47">
        <f>[3]Summary!E373</f>
        <v>6.75</v>
      </c>
      <c r="F374" s="46">
        <f>[3]Summary!F373</f>
        <v>0</v>
      </c>
      <c r="G374" s="48">
        <f t="shared" si="5"/>
        <v>0</v>
      </c>
      <c r="H374" s="48" t="s">
        <v>5397</v>
      </c>
      <c r="I374" s="45"/>
    </row>
    <row r="375" spans="1:9" ht="46.5">
      <c r="A375" s="177">
        <v>371</v>
      </c>
      <c r="B375" s="41" t="s">
        <v>833</v>
      </c>
      <c r="C375" s="42" t="s">
        <v>834</v>
      </c>
      <c r="D375" s="178" t="s">
        <v>180</v>
      </c>
      <c r="E375" s="43">
        <f>[3]Summary!E374</f>
        <v>190</v>
      </c>
      <c r="F375" s="179">
        <f>[3]Summary!F374</f>
        <v>0</v>
      </c>
      <c r="G375" s="44">
        <f t="shared" si="5"/>
        <v>0</v>
      </c>
      <c r="H375" s="44" t="s">
        <v>1612</v>
      </c>
      <c r="I375" s="41"/>
    </row>
    <row r="376" spans="1:9" ht="23.25">
      <c r="A376" s="201">
        <v>372</v>
      </c>
      <c r="B376" s="45" t="s">
        <v>835</v>
      </c>
      <c r="C376" s="1" t="s">
        <v>836</v>
      </c>
      <c r="D376" s="46" t="s">
        <v>135</v>
      </c>
      <c r="E376" s="47">
        <f>[3]Summary!E375</f>
        <v>400</v>
      </c>
      <c r="F376" s="46">
        <f>[3]Summary!F375</f>
        <v>0</v>
      </c>
      <c r="G376" s="48">
        <f t="shared" si="5"/>
        <v>0</v>
      </c>
      <c r="H376" s="48" t="s">
        <v>5390</v>
      </c>
      <c r="I376" s="45"/>
    </row>
    <row r="377" spans="1:9" ht="23.25">
      <c r="A377" s="177">
        <v>373</v>
      </c>
      <c r="B377" s="41" t="s">
        <v>837</v>
      </c>
      <c r="C377" s="42" t="s">
        <v>838</v>
      </c>
      <c r="D377" s="178" t="s">
        <v>135</v>
      </c>
      <c r="E377" s="43">
        <f>[3]Summary!E376</f>
        <v>95</v>
      </c>
      <c r="F377" s="179">
        <f>[3]Summary!F376</f>
        <v>0</v>
      </c>
      <c r="G377" s="44">
        <f t="shared" si="5"/>
        <v>0</v>
      </c>
      <c r="H377" s="44" t="s">
        <v>1612</v>
      </c>
      <c r="I377" s="41"/>
    </row>
    <row r="378" spans="1:9" ht="23.25">
      <c r="A378" s="201">
        <v>374</v>
      </c>
      <c r="B378" s="45" t="s">
        <v>839</v>
      </c>
      <c r="C378" s="1" t="s">
        <v>840</v>
      </c>
      <c r="D378" s="46" t="s">
        <v>135</v>
      </c>
      <c r="E378" s="47">
        <f>[3]Summary!E377</f>
        <v>60</v>
      </c>
      <c r="F378" s="46">
        <f>[3]Summary!F377</f>
        <v>1</v>
      </c>
      <c r="G378" s="48">
        <f t="shared" si="5"/>
        <v>60</v>
      </c>
      <c r="H378" s="48" t="s">
        <v>1612</v>
      </c>
      <c r="I378" s="45"/>
    </row>
    <row r="379" spans="1:9" ht="23.25">
      <c r="A379" s="177">
        <v>375</v>
      </c>
      <c r="B379" s="41" t="s">
        <v>841</v>
      </c>
      <c r="C379" s="42" t="s">
        <v>842</v>
      </c>
      <c r="D379" s="178" t="s">
        <v>135</v>
      </c>
      <c r="E379" s="43">
        <f>[3]Summary!E378</f>
        <v>3.25</v>
      </c>
      <c r="F379" s="179">
        <f>[3]Summary!F378</f>
        <v>0</v>
      </c>
      <c r="G379" s="44">
        <f t="shared" si="5"/>
        <v>0</v>
      </c>
      <c r="H379" s="44" t="s">
        <v>1612</v>
      </c>
      <c r="I379" s="41"/>
    </row>
    <row r="380" spans="1:9" ht="23.25">
      <c r="A380" s="201">
        <v>376</v>
      </c>
      <c r="B380" s="45" t="s">
        <v>843</v>
      </c>
      <c r="C380" s="1" t="s">
        <v>844</v>
      </c>
      <c r="D380" s="46" t="s">
        <v>135</v>
      </c>
      <c r="E380" s="47">
        <f>[3]Summary!E379</f>
        <v>6</v>
      </c>
      <c r="F380" s="46">
        <f>[3]Summary!F379</f>
        <v>42</v>
      </c>
      <c r="G380" s="48">
        <f t="shared" si="5"/>
        <v>252</v>
      </c>
      <c r="H380" s="48" t="s">
        <v>1612</v>
      </c>
      <c r="I380" s="45"/>
    </row>
    <row r="381" spans="1:9" ht="23.25">
      <c r="A381" s="177">
        <v>377</v>
      </c>
      <c r="B381" s="41" t="s">
        <v>845</v>
      </c>
      <c r="C381" s="42" t="s">
        <v>846</v>
      </c>
      <c r="D381" s="178" t="s">
        <v>135</v>
      </c>
      <c r="E381" s="43">
        <f>[3]Summary!E380</f>
        <v>6.5</v>
      </c>
      <c r="F381" s="179">
        <f>[3]Summary!F380</f>
        <v>0</v>
      </c>
      <c r="G381" s="44">
        <f t="shared" si="5"/>
        <v>0</v>
      </c>
      <c r="H381" s="44" t="s">
        <v>1612</v>
      </c>
      <c r="I381" s="41"/>
    </row>
    <row r="382" spans="1:9" ht="23.25">
      <c r="A382" s="201">
        <v>378</v>
      </c>
      <c r="B382" s="45" t="s">
        <v>847</v>
      </c>
      <c r="C382" s="1" t="s">
        <v>848</v>
      </c>
      <c r="D382" s="46" t="s">
        <v>135</v>
      </c>
      <c r="E382" s="47">
        <f>[3]Summary!E381</f>
        <v>3.5</v>
      </c>
      <c r="F382" s="46">
        <f>[3]Summary!F381</f>
        <v>1</v>
      </c>
      <c r="G382" s="48">
        <f t="shared" si="5"/>
        <v>3.5</v>
      </c>
      <c r="H382" s="48" t="s">
        <v>1612</v>
      </c>
      <c r="I382" s="45"/>
    </row>
    <row r="383" spans="1:9" ht="46.5">
      <c r="A383" s="177">
        <v>379</v>
      </c>
      <c r="B383" s="41" t="s">
        <v>849</v>
      </c>
      <c r="C383" s="42" t="s">
        <v>850</v>
      </c>
      <c r="D383" s="178" t="s">
        <v>135</v>
      </c>
      <c r="E383" s="43">
        <f>[3]Summary!E382</f>
        <v>60</v>
      </c>
      <c r="F383" s="179">
        <f>[3]Summary!F382</f>
        <v>0</v>
      </c>
      <c r="G383" s="44">
        <f t="shared" si="5"/>
        <v>0</v>
      </c>
      <c r="H383" s="44" t="s">
        <v>1612</v>
      </c>
      <c r="I383" s="41"/>
    </row>
    <row r="384" spans="1:9" ht="23.25">
      <c r="A384" s="201">
        <v>380</v>
      </c>
      <c r="B384" s="45" t="s">
        <v>851</v>
      </c>
      <c r="C384" s="1" t="s">
        <v>852</v>
      </c>
      <c r="D384" s="46" t="s">
        <v>135</v>
      </c>
      <c r="E384" s="47">
        <f>[3]Summary!E383</f>
        <v>1.1499999999999999</v>
      </c>
      <c r="F384" s="46">
        <f>[3]Summary!F383</f>
        <v>0</v>
      </c>
      <c r="G384" s="48">
        <f t="shared" si="5"/>
        <v>0</v>
      </c>
      <c r="H384" s="48" t="s">
        <v>1612</v>
      </c>
      <c r="I384" s="45"/>
    </row>
    <row r="385" spans="1:9" ht="23.25">
      <c r="A385" s="177">
        <v>381</v>
      </c>
      <c r="B385" s="41" t="s">
        <v>853</v>
      </c>
      <c r="C385" s="42" t="s">
        <v>854</v>
      </c>
      <c r="D385" s="178" t="s">
        <v>135</v>
      </c>
      <c r="E385" s="43">
        <f>[3]Summary!E384</f>
        <v>3.75</v>
      </c>
      <c r="F385" s="179">
        <f>[3]Summary!F384</f>
        <v>0</v>
      </c>
      <c r="G385" s="44">
        <f t="shared" si="5"/>
        <v>0</v>
      </c>
      <c r="H385" s="44" t="s">
        <v>1612</v>
      </c>
      <c r="I385" s="41"/>
    </row>
    <row r="386" spans="1:9" ht="23.25">
      <c r="A386" s="201">
        <v>382</v>
      </c>
      <c r="B386" s="45" t="s">
        <v>855</v>
      </c>
      <c r="C386" s="1" t="s">
        <v>856</v>
      </c>
      <c r="D386" s="46" t="s">
        <v>135</v>
      </c>
      <c r="E386" s="47">
        <f>[3]Summary!E385</f>
        <v>3.25</v>
      </c>
      <c r="F386" s="46">
        <f>[3]Summary!F385</f>
        <v>4</v>
      </c>
      <c r="G386" s="48">
        <f t="shared" si="5"/>
        <v>13</v>
      </c>
      <c r="H386" s="48" t="s">
        <v>1612</v>
      </c>
      <c r="I386" s="45"/>
    </row>
    <row r="387" spans="1:9" ht="23.25">
      <c r="A387" s="177">
        <v>383</v>
      </c>
      <c r="B387" s="41" t="s">
        <v>857</v>
      </c>
      <c r="C387" s="42" t="s">
        <v>858</v>
      </c>
      <c r="D387" s="178" t="s">
        <v>135</v>
      </c>
      <c r="E387" s="43">
        <f>[3]Summary!E386</f>
        <v>6</v>
      </c>
      <c r="F387" s="179">
        <f>[3]Summary!F386</f>
        <v>0</v>
      </c>
      <c r="G387" s="44">
        <f t="shared" si="5"/>
        <v>0</v>
      </c>
      <c r="H387" s="44" t="s">
        <v>1612</v>
      </c>
      <c r="I387" s="41"/>
    </row>
    <row r="388" spans="1:9" ht="23.25">
      <c r="A388" s="201">
        <v>384</v>
      </c>
      <c r="B388" s="45" t="s">
        <v>859</v>
      </c>
      <c r="C388" s="1" t="s">
        <v>860</v>
      </c>
      <c r="D388" s="46" t="s">
        <v>135</v>
      </c>
      <c r="E388" s="47">
        <f>[3]Summary!E387</f>
        <v>7.5</v>
      </c>
      <c r="F388" s="46">
        <f>[3]Summary!F387</f>
        <v>13</v>
      </c>
      <c r="G388" s="48">
        <f t="shared" si="5"/>
        <v>97.5</v>
      </c>
      <c r="H388" s="48" t="s">
        <v>1612</v>
      </c>
      <c r="I388" s="45"/>
    </row>
    <row r="389" spans="1:9" ht="23.25">
      <c r="A389" s="177">
        <v>385</v>
      </c>
      <c r="B389" s="41" t="s">
        <v>861</v>
      </c>
      <c r="C389" s="42" t="s">
        <v>862</v>
      </c>
      <c r="D389" s="178" t="s">
        <v>135</v>
      </c>
      <c r="E389" s="43">
        <f>[3]Summary!E388</f>
        <v>3.5</v>
      </c>
      <c r="F389" s="179">
        <f>[3]Summary!F388</f>
        <v>0</v>
      </c>
      <c r="G389" s="44">
        <f t="shared" ref="G389:G452" si="6">F389*E389</f>
        <v>0</v>
      </c>
      <c r="H389" s="44" t="s">
        <v>1612</v>
      </c>
      <c r="I389" s="41"/>
    </row>
    <row r="390" spans="1:9" ht="23.25">
      <c r="A390" s="201">
        <v>386</v>
      </c>
      <c r="B390" s="45" t="s">
        <v>863</v>
      </c>
      <c r="C390" s="1" t="s">
        <v>864</v>
      </c>
      <c r="D390" s="46" t="s">
        <v>135</v>
      </c>
      <c r="E390" s="47">
        <f>[3]Summary!E389</f>
        <v>9.5</v>
      </c>
      <c r="F390" s="46">
        <f>[3]Summary!F389</f>
        <v>0</v>
      </c>
      <c r="G390" s="48">
        <f t="shared" si="6"/>
        <v>0</v>
      </c>
      <c r="H390" s="48" t="s">
        <v>1612</v>
      </c>
      <c r="I390" s="45"/>
    </row>
    <row r="391" spans="1:9" ht="23.25">
      <c r="A391" s="177">
        <v>387</v>
      </c>
      <c r="B391" s="41" t="s">
        <v>865</v>
      </c>
      <c r="C391" s="42" t="s">
        <v>866</v>
      </c>
      <c r="D391" s="178" t="s">
        <v>135</v>
      </c>
      <c r="E391" s="43">
        <f>[3]Summary!E390</f>
        <v>23</v>
      </c>
      <c r="F391" s="179">
        <f>[3]Summary!F390</f>
        <v>0</v>
      </c>
      <c r="G391" s="44">
        <f t="shared" si="6"/>
        <v>0</v>
      </c>
      <c r="H391" s="44" t="s">
        <v>1612</v>
      </c>
      <c r="I391" s="41"/>
    </row>
    <row r="392" spans="1:9" ht="23.25">
      <c r="A392" s="201">
        <v>388</v>
      </c>
      <c r="B392" s="45" t="s">
        <v>867</v>
      </c>
      <c r="C392" s="1" t="s">
        <v>868</v>
      </c>
      <c r="D392" s="46" t="s">
        <v>135</v>
      </c>
      <c r="E392" s="47">
        <f>[3]Summary!E391</f>
        <v>16.5</v>
      </c>
      <c r="F392" s="46">
        <f>[3]Summary!F391</f>
        <v>0</v>
      </c>
      <c r="G392" s="48">
        <f t="shared" si="6"/>
        <v>0</v>
      </c>
      <c r="H392" s="48" t="s">
        <v>1612</v>
      </c>
      <c r="I392" s="45"/>
    </row>
    <row r="393" spans="1:9" ht="42">
      <c r="A393" s="177">
        <v>389</v>
      </c>
      <c r="B393" s="41" t="s">
        <v>869</v>
      </c>
      <c r="C393" s="42" t="s">
        <v>870</v>
      </c>
      <c r="D393" s="178" t="s">
        <v>135</v>
      </c>
      <c r="E393" s="43">
        <f>[3]Summary!E392</f>
        <v>80</v>
      </c>
      <c r="F393" s="179">
        <f>[3]Summary!F392</f>
        <v>0</v>
      </c>
      <c r="G393" s="44">
        <f t="shared" si="6"/>
        <v>0</v>
      </c>
      <c r="H393" s="44" t="s">
        <v>1612</v>
      </c>
      <c r="I393" s="41"/>
    </row>
    <row r="394" spans="1:9" ht="46.5">
      <c r="A394" s="201">
        <v>390</v>
      </c>
      <c r="B394" s="45" t="s">
        <v>320</v>
      </c>
      <c r="C394" s="1" t="s">
        <v>871</v>
      </c>
      <c r="D394" s="46" t="s">
        <v>135</v>
      </c>
      <c r="E394" s="47">
        <f>[3]Summary!E393</f>
        <v>45</v>
      </c>
      <c r="F394" s="46">
        <f>[3]Summary!F393</f>
        <v>4</v>
      </c>
      <c r="G394" s="48">
        <f t="shared" si="6"/>
        <v>180</v>
      </c>
      <c r="H394" s="48" t="s">
        <v>1612</v>
      </c>
      <c r="I394" s="45"/>
    </row>
    <row r="395" spans="1:9" ht="23.25">
      <c r="A395" s="177">
        <v>391</v>
      </c>
      <c r="B395" s="41" t="s">
        <v>872</v>
      </c>
      <c r="C395" s="42" t="s">
        <v>873</v>
      </c>
      <c r="D395" s="178" t="s">
        <v>135</v>
      </c>
      <c r="E395" s="43">
        <f>[3]Summary!E394</f>
        <v>33</v>
      </c>
      <c r="F395" s="179">
        <f>[3]Summary!F394</f>
        <v>0</v>
      </c>
      <c r="G395" s="44">
        <f t="shared" si="6"/>
        <v>0</v>
      </c>
      <c r="H395" s="44" t="s">
        <v>1612</v>
      </c>
      <c r="I395" s="41"/>
    </row>
    <row r="396" spans="1:9" ht="23.25">
      <c r="A396" s="201">
        <v>392</v>
      </c>
      <c r="B396" s="45" t="s">
        <v>874</v>
      </c>
      <c r="C396" s="1" t="s">
        <v>875</v>
      </c>
      <c r="D396" s="46" t="s">
        <v>135</v>
      </c>
      <c r="E396" s="47">
        <f>[3]Summary!E395</f>
        <v>75</v>
      </c>
      <c r="F396" s="46">
        <f>[3]Summary!F395</f>
        <v>0</v>
      </c>
      <c r="G396" s="48">
        <f t="shared" si="6"/>
        <v>0</v>
      </c>
      <c r="H396" s="48" t="s">
        <v>1612</v>
      </c>
      <c r="I396" s="45"/>
    </row>
    <row r="397" spans="1:9" ht="23.25">
      <c r="A397" s="177">
        <v>393</v>
      </c>
      <c r="B397" s="41" t="s">
        <v>876</v>
      </c>
      <c r="C397" s="42" t="s">
        <v>877</v>
      </c>
      <c r="D397" s="178" t="s">
        <v>135</v>
      </c>
      <c r="E397" s="43">
        <f>[3]Summary!E396</f>
        <v>8500</v>
      </c>
      <c r="F397" s="179">
        <f>[3]Summary!F396</f>
        <v>0</v>
      </c>
      <c r="G397" s="44">
        <f t="shared" si="6"/>
        <v>0</v>
      </c>
      <c r="H397" s="44" t="s">
        <v>5390</v>
      </c>
      <c r="I397" s="41"/>
    </row>
    <row r="398" spans="1:9" ht="23.25">
      <c r="A398" s="201">
        <v>394</v>
      </c>
      <c r="B398" s="45" t="s">
        <v>878</v>
      </c>
      <c r="C398" s="1" t="s">
        <v>879</v>
      </c>
      <c r="D398" s="46" t="s">
        <v>135</v>
      </c>
      <c r="E398" s="47">
        <f>[3]Summary!E397</f>
        <v>0.24</v>
      </c>
      <c r="F398" s="46">
        <f>[3]Summary!F397</f>
        <v>110</v>
      </c>
      <c r="G398" s="48">
        <f t="shared" si="6"/>
        <v>26.4</v>
      </c>
      <c r="H398" s="48" t="s">
        <v>5390</v>
      </c>
      <c r="I398" s="45"/>
    </row>
    <row r="399" spans="1:9" ht="23.25">
      <c r="A399" s="177">
        <v>395</v>
      </c>
      <c r="B399" s="41" t="s">
        <v>880</v>
      </c>
      <c r="C399" s="42" t="s">
        <v>881</v>
      </c>
      <c r="D399" s="178" t="s">
        <v>135</v>
      </c>
      <c r="E399" s="43">
        <f>[3]Summary!E398</f>
        <v>1.1499999999999999</v>
      </c>
      <c r="F399" s="179">
        <f>[3]Summary!F398</f>
        <v>180</v>
      </c>
      <c r="G399" s="44">
        <f t="shared" si="6"/>
        <v>206.99999999999997</v>
      </c>
      <c r="H399" s="44" t="s">
        <v>5390</v>
      </c>
      <c r="I399" s="41"/>
    </row>
    <row r="400" spans="1:9" ht="46.5">
      <c r="A400" s="201">
        <v>396</v>
      </c>
      <c r="B400" s="45" t="s">
        <v>882</v>
      </c>
      <c r="C400" s="1" t="s">
        <v>883</v>
      </c>
      <c r="D400" s="46" t="s">
        <v>135</v>
      </c>
      <c r="E400" s="47">
        <f>[3]Summary!E399</f>
        <v>1.37</v>
      </c>
      <c r="F400" s="46">
        <f>[3]Summary!F399</f>
        <v>0</v>
      </c>
      <c r="G400" s="48">
        <f t="shared" si="6"/>
        <v>0</v>
      </c>
      <c r="H400" s="48" t="s">
        <v>5390</v>
      </c>
      <c r="I400" s="45"/>
    </row>
    <row r="401" spans="1:9" ht="23.25">
      <c r="A401" s="177">
        <v>397</v>
      </c>
      <c r="B401" s="41" t="s">
        <v>884</v>
      </c>
      <c r="C401" s="42" t="s">
        <v>885</v>
      </c>
      <c r="D401" s="178" t="s">
        <v>135</v>
      </c>
      <c r="E401" s="43">
        <f>[3]Summary!E400</f>
        <v>25</v>
      </c>
      <c r="F401" s="179">
        <f>[3]Summary!F400</f>
        <v>352</v>
      </c>
      <c r="G401" s="44">
        <f t="shared" si="6"/>
        <v>8800</v>
      </c>
      <c r="H401" s="44" t="s">
        <v>5397</v>
      </c>
      <c r="I401" s="41"/>
    </row>
    <row r="402" spans="1:9" ht="23.25">
      <c r="A402" s="201">
        <v>398</v>
      </c>
      <c r="B402" s="45" t="s">
        <v>886</v>
      </c>
      <c r="C402" s="1" t="s">
        <v>887</v>
      </c>
      <c r="D402" s="46" t="s">
        <v>135</v>
      </c>
      <c r="E402" s="47">
        <f>[3]Summary!E401</f>
        <v>30</v>
      </c>
      <c r="F402" s="46">
        <f>[3]Summary!F401</f>
        <v>607</v>
      </c>
      <c r="G402" s="48">
        <f t="shared" si="6"/>
        <v>18210</v>
      </c>
      <c r="H402" s="48" t="s">
        <v>5397</v>
      </c>
      <c r="I402" s="45"/>
    </row>
    <row r="403" spans="1:9" ht="42">
      <c r="A403" s="177">
        <v>399</v>
      </c>
      <c r="B403" s="41" t="s">
        <v>888</v>
      </c>
      <c r="C403" s="42" t="s">
        <v>889</v>
      </c>
      <c r="D403" s="178" t="s">
        <v>135</v>
      </c>
      <c r="E403" s="43">
        <f>[3]Summary!E402</f>
        <v>42</v>
      </c>
      <c r="F403" s="179">
        <f>[3]Summary!F402</f>
        <v>0</v>
      </c>
      <c r="G403" s="44">
        <f t="shared" si="6"/>
        <v>0</v>
      </c>
      <c r="H403" s="44" t="s">
        <v>5397</v>
      </c>
      <c r="I403" s="41"/>
    </row>
    <row r="404" spans="1:9" ht="46.5">
      <c r="A404" s="201">
        <v>400</v>
      </c>
      <c r="B404" s="45" t="s">
        <v>890</v>
      </c>
      <c r="C404" s="1" t="s">
        <v>891</v>
      </c>
      <c r="D404" s="46" t="s">
        <v>135</v>
      </c>
      <c r="E404" s="47">
        <f>[3]Summary!E403</f>
        <v>48</v>
      </c>
      <c r="F404" s="46">
        <f>[3]Summary!F403</f>
        <v>0</v>
      </c>
      <c r="G404" s="48">
        <f t="shared" si="6"/>
        <v>0</v>
      </c>
      <c r="H404" s="48" t="s">
        <v>5397</v>
      </c>
      <c r="I404" s="45"/>
    </row>
    <row r="405" spans="1:9" ht="46.5">
      <c r="A405" s="177">
        <v>401</v>
      </c>
      <c r="B405" s="41" t="s">
        <v>892</v>
      </c>
      <c r="C405" s="42" t="s">
        <v>893</v>
      </c>
      <c r="D405" s="178" t="s">
        <v>135</v>
      </c>
      <c r="E405" s="43">
        <f>[3]Summary!E404</f>
        <v>0.5</v>
      </c>
      <c r="F405" s="179">
        <f>[3]Summary!F404</f>
        <v>12</v>
      </c>
      <c r="G405" s="44">
        <f t="shared" si="6"/>
        <v>6</v>
      </c>
      <c r="H405" s="44" t="s">
        <v>5397</v>
      </c>
      <c r="I405" s="41"/>
    </row>
    <row r="406" spans="1:9" ht="23.25">
      <c r="A406" s="201">
        <v>402</v>
      </c>
      <c r="B406" s="45" t="s">
        <v>894</v>
      </c>
      <c r="C406" s="1" t="s">
        <v>895</v>
      </c>
      <c r="D406" s="46" t="s">
        <v>135</v>
      </c>
      <c r="E406" s="47">
        <f>[3]Summary!E405</f>
        <v>0.66100000000000003</v>
      </c>
      <c r="F406" s="46">
        <f>[3]Summary!F405</f>
        <v>1926</v>
      </c>
      <c r="G406" s="48">
        <f t="shared" si="6"/>
        <v>1273.086</v>
      </c>
      <c r="H406" s="48" t="s">
        <v>5398</v>
      </c>
      <c r="I406" s="45"/>
    </row>
    <row r="407" spans="1:9" ht="23.25">
      <c r="A407" s="177">
        <v>403</v>
      </c>
      <c r="B407" s="41" t="s">
        <v>896</v>
      </c>
      <c r="C407" s="42" t="s">
        <v>897</v>
      </c>
      <c r="D407" s="178" t="s">
        <v>135</v>
      </c>
      <c r="E407" s="43">
        <f>[3]Summary!E406</f>
        <v>70</v>
      </c>
      <c r="F407" s="179">
        <f>[3]Summary!F406</f>
        <v>0</v>
      </c>
      <c r="G407" s="44">
        <f t="shared" si="6"/>
        <v>0</v>
      </c>
      <c r="H407" s="44" t="s">
        <v>1683</v>
      </c>
      <c r="I407" s="41"/>
    </row>
    <row r="408" spans="1:9" ht="23.25">
      <c r="A408" s="201">
        <v>404</v>
      </c>
      <c r="B408" s="45" t="s">
        <v>898</v>
      </c>
      <c r="C408" s="1" t="s">
        <v>899</v>
      </c>
      <c r="D408" s="46" t="s">
        <v>135</v>
      </c>
      <c r="E408" s="47">
        <f>[3]Summary!E407</f>
        <v>62</v>
      </c>
      <c r="F408" s="46">
        <f>[3]Summary!F407</f>
        <v>0</v>
      </c>
      <c r="G408" s="48">
        <f t="shared" si="6"/>
        <v>0</v>
      </c>
      <c r="H408" s="48" t="s">
        <v>1683</v>
      </c>
      <c r="I408" s="45"/>
    </row>
    <row r="409" spans="1:9" ht="23.25">
      <c r="A409" s="177">
        <v>405</v>
      </c>
      <c r="B409" s="41" t="s">
        <v>900</v>
      </c>
      <c r="C409" s="42" t="s">
        <v>901</v>
      </c>
      <c r="D409" s="178" t="s">
        <v>135</v>
      </c>
      <c r="E409" s="43">
        <f>[3]Summary!E408</f>
        <v>210</v>
      </c>
      <c r="F409" s="179">
        <f>[3]Summary!F408</f>
        <v>0</v>
      </c>
      <c r="G409" s="44">
        <f t="shared" si="6"/>
        <v>0</v>
      </c>
      <c r="H409" s="44" t="s">
        <v>1683</v>
      </c>
      <c r="I409" s="41"/>
    </row>
    <row r="410" spans="1:9" ht="23.25">
      <c r="A410" s="201">
        <v>406</v>
      </c>
      <c r="B410" s="45" t="s">
        <v>902</v>
      </c>
      <c r="C410" s="1" t="s">
        <v>903</v>
      </c>
      <c r="D410" s="46" t="s">
        <v>135</v>
      </c>
      <c r="E410" s="47">
        <f>[3]Summary!E409</f>
        <v>50</v>
      </c>
      <c r="F410" s="46">
        <f>[3]Summary!F409</f>
        <v>12</v>
      </c>
      <c r="G410" s="48">
        <f t="shared" si="6"/>
        <v>600</v>
      </c>
      <c r="H410" s="48" t="s">
        <v>1683</v>
      </c>
      <c r="I410" s="45"/>
    </row>
    <row r="411" spans="1:9" ht="23.25">
      <c r="A411" s="177">
        <v>407</v>
      </c>
      <c r="B411" s="41" t="s">
        <v>904</v>
      </c>
      <c r="C411" s="42" t="s">
        <v>905</v>
      </c>
      <c r="D411" s="178" t="s">
        <v>135</v>
      </c>
      <c r="E411" s="43">
        <f>[3]Summary!E410</f>
        <v>50</v>
      </c>
      <c r="F411" s="179">
        <f>[3]Summary!F410</f>
        <v>21.2</v>
      </c>
      <c r="G411" s="44">
        <f t="shared" si="6"/>
        <v>1060</v>
      </c>
      <c r="H411" s="44" t="s">
        <v>1683</v>
      </c>
      <c r="I411" s="41"/>
    </row>
    <row r="412" spans="1:9" ht="23.25">
      <c r="A412" s="201">
        <v>408</v>
      </c>
      <c r="B412" s="45" t="s">
        <v>906</v>
      </c>
      <c r="C412" s="1" t="s">
        <v>907</v>
      </c>
      <c r="D412" s="46" t="s">
        <v>135</v>
      </c>
      <c r="E412" s="47">
        <f>[3]Summary!E411</f>
        <v>60</v>
      </c>
      <c r="F412" s="46">
        <f>[3]Summary!F411</f>
        <v>0</v>
      </c>
      <c r="G412" s="48">
        <f t="shared" si="6"/>
        <v>0</v>
      </c>
      <c r="H412" s="48" t="s">
        <v>1683</v>
      </c>
      <c r="I412" s="45"/>
    </row>
    <row r="413" spans="1:9" ht="23.25">
      <c r="A413" s="177">
        <v>409</v>
      </c>
      <c r="B413" s="41" t="s">
        <v>908</v>
      </c>
      <c r="C413" s="42" t="s">
        <v>909</v>
      </c>
      <c r="D413" s="178" t="s">
        <v>135</v>
      </c>
      <c r="E413" s="43">
        <f>[3]Summary!E412</f>
        <v>58</v>
      </c>
      <c r="F413" s="179">
        <f>[3]Summary!F412</f>
        <v>0</v>
      </c>
      <c r="G413" s="44">
        <f t="shared" si="6"/>
        <v>0</v>
      </c>
      <c r="H413" s="44" t="s">
        <v>1683</v>
      </c>
      <c r="I413" s="41"/>
    </row>
    <row r="414" spans="1:9" ht="23.25">
      <c r="A414" s="201">
        <v>410</v>
      </c>
      <c r="B414" s="45" t="s">
        <v>910</v>
      </c>
      <c r="C414" s="1" t="s">
        <v>911</v>
      </c>
      <c r="D414" s="46" t="s">
        <v>135</v>
      </c>
      <c r="E414" s="47">
        <f>[3]Summary!E413</f>
        <v>75</v>
      </c>
      <c r="F414" s="46">
        <f>[3]Summary!F413</f>
        <v>9</v>
      </c>
      <c r="G414" s="48">
        <f t="shared" si="6"/>
        <v>675</v>
      </c>
      <c r="H414" s="48" t="s">
        <v>1683</v>
      </c>
      <c r="I414" s="45"/>
    </row>
    <row r="415" spans="1:9" ht="23.25">
      <c r="A415" s="177">
        <v>411</v>
      </c>
      <c r="B415" s="41" t="s">
        <v>912</v>
      </c>
      <c r="C415" s="42" t="s">
        <v>913</v>
      </c>
      <c r="D415" s="178" t="s">
        <v>135</v>
      </c>
      <c r="E415" s="43">
        <f>[3]Summary!E414</f>
        <v>125</v>
      </c>
      <c r="F415" s="179">
        <f>[3]Summary!F414</f>
        <v>0</v>
      </c>
      <c r="G415" s="44">
        <f t="shared" si="6"/>
        <v>0</v>
      </c>
      <c r="H415" s="44" t="s">
        <v>1683</v>
      </c>
      <c r="I415" s="41"/>
    </row>
    <row r="416" spans="1:9" ht="23.25">
      <c r="A416" s="201">
        <v>412</v>
      </c>
      <c r="B416" s="45" t="s">
        <v>914</v>
      </c>
      <c r="C416" s="1" t="s">
        <v>915</v>
      </c>
      <c r="D416" s="46" t="s">
        <v>135</v>
      </c>
      <c r="E416" s="47">
        <f>[3]Summary!E415</f>
        <v>160</v>
      </c>
      <c r="F416" s="46">
        <f>[3]Summary!F415</f>
        <v>0</v>
      </c>
      <c r="G416" s="48">
        <f t="shared" si="6"/>
        <v>0</v>
      </c>
      <c r="H416" s="48" t="s">
        <v>1683</v>
      </c>
      <c r="I416" s="45"/>
    </row>
    <row r="417" spans="1:9" ht="23.25">
      <c r="A417" s="177">
        <v>413</v>
      </c>
      <c r="B417" s="41" t="s">
        <v>916</v>
      </c>
      <c r="C417" s="42" t="s">
        <v>917</v>
      </c>
      <c r="D417" s="178" t="s">
        <v>135</v>
      </c>
      <c r="E417" s="43">
        <f>[3]Summary!E416</f>
        <v>175</v>
      </c>
      <c r="F417" s="179">
        <f>[3]Summary!F416</f>
        <v>0</v>
      </c>
      <c r="G417" s="44">
        <f t="shared" si="6"/>
        <v>0</v>
      </c>
      <c r="H417" s="44" t="s">
        <v>1683</v>
      </c>
      <c r="I417" s="41"/>
    </row>
    <row r="418" spans="1:9" ht="23.25">
      <c r="A418" s="201">
        <v>414</v>
      </c>
      <c r="B418" s="45" t="s">
        <v>918</v>
      </c>
      <c r="C418" s="1" t="s">
        <v>919</v>
      </c>
      <c r="D418" s="46" t="s">
        <v>135</v>
      </c>
      <c r="E418" s="47">
        <f>[3]Summary!E417</f>
        <v>70</v>
      </c>
      <c r="F418" s="46">
        <f>[3]Summary!F417</f>
        <v>0</v>
      </c>
      <c r="G418" s="48">
        <f t="shared" si="6"/>
        <v>0</v>
      </c>
      <c r="H418" s="48" t="s">
        <v>1683</v>
      </c>
      <c r="I418" s="45"/>
    </row>
    <row r="419" spans="1:9" ht="23.25">
      <c r="A419" s="177">
        <v>415</v>
      </c>
      <c r="B419" s="41" t="s">
        <v>920</v>
      </c>
      <c r="C419" s="42" t="s">
        <v>921</v>
      </c>
      <c r="D419" s="178" t="s">
        <v>135</v>
      </c>
      <c r="E419" s="43">
        <f>[3]Summary!E418</f>
        <v>80</v>
      </c>
      <c r="F419" s="179">
        <f>[3]Summary!F418</f>
        <v>3</v>
      </c>
      <c r="G419" s="44">
        <f t="shared" si="6"/>
        <v>240</v>
      </c>
      <c r="H419" s="44" t="s">
        <v>1683</v>
      </c>
      <c r="I419" s="41"/>
    </row>
    <row r="420" spans="1:9" ht="23.25">
      <c r="A420" s="201">
        <v>416</v>
      </c>
      <c r="B420" s="45" t="s">
        <v>922</v>
      </c>
      <c r="C420" s="1" t="s">
        <v>923</v>
      </c>
      <c r="D420" s="46" t="s">
        <v>135</v>
      </c>
      <c r="E420" s="47">
        <f>[3]Summary!E419</f>
        <v>64</v>
      </c>
      <c r="F420" s="46">
        <f>[3]Summary!F419</f>
        <v>0</v>
      </c>
      <c r="G420" s="48">
        <f t="shared" si="6"/>
        <v>0</v>
      </c>
      <c r="H420" s="48" t="s">
        <v>1683</v>
      </c>
      <c r="I420" s="45"/>
    </row>
    <row r="421" spans="1:9" ht="23.25">
      <c r="A421" s="177">
        <v>417</v>
      </c>
      <c r="B421" s="41" t="s">
        <v>924</v>
      </c>
      <c r="C421" s="42" t="s">
        <v>925</v>
      </c>
      <c r="D421" s="178" t="s">
        <v>135</v>
      </c>
      <c r="E421" s="43">
        <f>[3]Summary!E420</f>
        <v>12.5</v>
      </c>
      <c r="F421" s="179">
        <f>[3]Summary!F420</f>
        <v>10</v>
      </c>
      <c r="G421" s="44">
        <f t="shared" si="6"/>
        <v>125</v>
      </c>
      <c r="H421" s="44" t="s">
        <v>1612</v>
      </c>
      <c r="I421" s="41"/>
    </row>
    <row r="422" spans="1:9" ht="46.5">
      <c r="A422" s="201">
        <v>418</v>
      </c>
      <c r="B422" s="45" t="s">
        <v>628</v>
      </c>
      <c r="C422" s="1" t="s">
        <v>926</v>
      </c>
      <c r="D422" s="46" t="s">
        <v>135</v>
      </c>
      <c r="E422" s="47">
        <f>[3]Summary!E421</f>
        <v>23</v>
      </c>
      <c r="F422" s="46">
        <f>[3]Summary!F421</f>
        <v>0</v>
      </c>
      <c r="G422" s="48">
        <f t="shared" si="6"/>
        <v>0</v>
      </c>
      <c r="H422" s="48" t="s">
        <v>5387</v>
      </c>
      <c r="I422" s="45"/>
    </row>
    <row r="423" spans="1:9" ht="46.5">
      <c r="A423" s="177">
        <v>419</v>
      </c>
      <c r="B423" s="41" t="s">
        <v>927</v>
      </c>
      <c r="C423" s="42" t="s">
        <v>928</v>
      </c>
      <c r="D423" s="178" t="s">
        <v>135</v>
      </c>
      <c r="E423" s="43">
        <f>[3]Summary!E422</f>
        <v>695</v>
      </c>
      <c r="F423" s="179">
        <f>[3]Summary!F422</f>
        <v>0</v>
      </c>
      <c r="G423" s="44">
        <f t="shared" si="6"/>
        <v>0</v>
      </c>
      <c r="H423" s="44" t="s">
        <v>5388</v>
      </c>
      <c r="I423" s="41"/>
    </row>
    <row r="424" spans="1:9" ht="42">
      <c r="A424" s="201">
        <v>420</v>
      </c>
      <c r="B424" s="45" t="s">
        <v>929</v>
      </c>
      <c r="C424" s="1" t="s">
        <v>930</v>
      </c>
      <c r="D424" s="46" t="s">
        <v>135</v>
      </c>
      <c r="E424" s="47">
        <f>[3]Summary!E423</f>
        <v>990</v>
      </c>
      <c r="F424" s="46">
        <f>[3]Summary!F423</f>
        <v>0</v>
      </c>
      <c r="G424" s="48">
        <f t="shared" si="6"/>
        <v>0</v>
      </c>
      <c r="H424" s="48" t="s">
        <v>5388</v>
      </c>
      <c r="I424" s="45"/>
    </row>
    <row r="425" spans="1:9" ht="69.75">
      <c r="A425" s="177">
        <v>421</v>
      </c>
      <c r="B425" s="41" t="s">
        <v>931</v>
      </c>
      <c r="C425" s="42" t="s">
        <v>932</v>
      </c>
      <c r="D425" s="178" t="s">
        <v>135</v>
      </c>
      <c r="E425" s="43">
        <f>[3]Summary!E424</f>
        <v>39</v>
      </c>
      <c r="F425" s="179">
        <f>[3]Summary!F424</f>
        <v>10</v>
      </c>
      <c r="G425" s="44">
        <f t="shared" si="6"/>
        <v>390</v>
      </c>
      <c r="H425" s="44" t="s">
        <v>5388</v>
      </c>
      <c r="I425" s="41"/>
    </row>
    <row r="426" spans="1:9" ht="46.5">
      <c r="A426" s="201">
        <v>422</v>
      </c>
      <c r="B426" s="45" t="s">
        <v>933</v>
      </c>
      <c r="C426" s="1" t="s">
        <v>934</v>
      </c>
      <c r="D426" s="46" t="s">
        <v>135</v>
      </c>
      <c r="E426" s="47">
        <f>[3]Summary!E425</f>
        <v>49</v>
      </c>
      <c r="F426" s="46">
        <f>[3]Summary!F425</f>
        <v>0</v>
      </c>
      <c r="G426" s="48">
        <f t="shared" si="6"/>
        <v>0</v>
      </c>
      <c r="H426" s="48" t="s">
        <v>5388</v>
      </c>
      <c r="I426" s="45"/>
    </row>
    <row r="427" spans="1:9" ht="46.5">
      <c r="A427" s="177">
        <v>423</v>
      </c>
      <c r="B427" s="41" t="s">
        <v>933</v>
      </c>
      <c r="C427" s="42" t="s">
        <v>935</v>
      </c>
      <c r="D427" s="178" t="s">
        <v>135</v>
      </c>
      <c r="E427" s="43">
        <f>[3]Summary!E426</f>
        <v>56</v>
      </c>
      <c r="F427" s="179">
        <f>[3]Summary!F426</f>
        <v>0</v>
      </c>
      <c r="G427" s="44">
        <f t="shared" si="6"/>
        <v>0</v>
      </c>
      <c r="H427" s="44" t="s">
        <v>5388</v>
      </c>
      <c r="I427" s="41"/>
    </row>
    <row r="428" spans="1:9" ht="46.5">
      <c r="A428" s="201">
        <v>424</v>
      </c>
      <c r="B428" s="45" t="s">
        <v>936</v>
      </c>
      <c r="C428" s="1" t="s">
        <v>937</v>
      </c>
      <c r="D428" s="46" t="s">
        <v>135</v>
      </c>
      <c r="E428" s="47">
        <f>[3]Summary!E427</f>
        <v>15</v>
      </c>
      <c r="F428" s="46">
        <f>[3]Summary!F427</f>
        <v>0</v>
      </c>
      <c r="G428" s="48">
        <f t="shared" si="6"/>
        <v>0</v>
      </c>
      <c r="H428" s="48" t="s">
        <v>5388</v>
      </c>
      <c r="I428" s="45"/>
    </row>
    <row r="429" spans="1:9" ht="46.5">
      <c r="A429" s="177">
        <v>425</v>
      </c>
      <c r="B429" s="41" t="s">
        <v>938</v>
      </c>
      <c r="C429" s="42" t="s">
        <v>939</v>
      </c>
      <c r="D429" s="178" t="s">
        <v>135</v>
      </c>
      <c r="E429" s="43">
        <f>[3]Summary!E428</f>
        <v>64</v>
      </c>
      <c r="F429" s="179">
        <f>[3]Summary!F428</f>
        <v>0</v>
      </c>
      <c r="G429" s="44">
        <f t="shared" si="6"/>
        <v>0</v>
      </c>
      <c r="H429" s="44" t="s">
        <v>5388</v>
      </c>
      <c r="I429" s="41"/>
    </row>
    <row r="430" spans="1:9" ht="23.25">
      <c r="A430" s="201">
        <v>426</v>
      </c>
      <c r="B430" s="45" t="s">
        <v>940</v>
      </c>
      <c r="C430" s="1" t="s">
        <v>941</v>
      </c>
      <c r="D430" s="46" t="s">
        <v>135</v>
      </c>
      <c r="E430" s="47">
        <f>[3]Summary!E429</f>
        <v>24</v>
      </c>
      <c r="F430" s="46">
        <f>[3]Summary!F429</f>
        <v>0</v>
      </c>
      <c r="G430" s="48">
        <f t="shared" si="6"/>
        <v>0</v>
      </c>
      <c r="H430" s="48" t="s">
        <v>5388</v>
      </c>
      <c r="I430" s="45"/>
    </row>
    <row r="431" spans="1:9" ht="23.25">
      <c r="A431" s="177">
        <v>427</v>
      </c>
      <c r="B431" s="41" t="s">
        <v>942</v>
      </c>
      <c r="C431" s="42" t="s">
        <v>943</v>
      </c>
      <c r="D431" s="178" t="s">
        <v>135</v>
      </c>
      <c r="E431" s="43">
        <f>[3]Summary!E430</f>
        <v>3.5</v>
      </c>
      <c r="F431" s="179">
        <f>[3]Summary!F430</f>
        <v>63</v>
      </c>
      <c r="G431" s="44">
        <f t="shared" si="6"/>
        <v>220.5</v>
      </c>
      <c r="H431" s="44" t="s">
        <v>1612</v>
      </c>
      <c r="I431" s="41"/>
    </row>
    <row r="432" spans="1:9" ht="23.25">
      <c r="A432" s="201">
        <v>428</v>
      </c>
      <c r="B432" s="45" t="s">
        <v>944</v>
      </c>
      <c r="C432" s="1" t="s">
        <v>945</v>
      </c>
      <c r="D432" s="46" t="s">
        <v>135</v>
      </c>
      <c r="E432" s="47">
        <f>[3]Summary!E431</f>
        <v>4.5</v>
      </c>
      <c r="F432" s="46">
        <f>[3]Summary!F431</f>
        <v>102</v>
      </c>
      <c r="G432" s="48">
        <f t="shared" si="6"/>
        <v>459</v>
      </c>
      <c r="H432" s="48" t="s">
        <v>1612</v>
      </c>
      <c r="I432" s="45"/>
    </row>
    <row r="433" spans="1:9" ht="42">
      <c r="A433" s="177">
        <v>429</v>
      </c>
      <c r="B433" s="41" t="s">
        <v>946</v>
      </c>
      <c r="C433" s="42" t="s">
        <v>947</v>
      </c>
      <c r="D433" s="178" t="s">
        <v>135</v>
      </c>
      <c r="E433" s="43">
        <f>[3]Summary!E432</f>
        <v>6</v>
      </c>
      <c r="F433" s="179">
        <f>[3]Summary!F432</f>
        <v>0</v>
      </c>
      <c r="G433" s="44">
        <f t="shared" si="6"/>
        <v>0</v>
      </c>
      <c r="H433" s="44" t="s">
        <v>1612</v>
      </c>
      <c r="I433" s="41"/>
    </row>
    <row r="434" spans="1:9" ht="42">
      <c r="A434" s="201">
        <v>430</v>
      </c>
      <c r="B434" s="45" t="s">
        <v>948</v>
      </c>
      <c r="C434" s="1" t="s">
        <v>949</v>
      </c>
      <c r="D434" s="46" t="s">
        <v>135</v>
      </c>
      <c r="E434" s="47">
        <f>[3]Summary!E433</f>
        <v>9</v>
      </c>
      <c r="F434" s="46">
        <f>[3]Summary!F433</f>
        <v>0</v>
      </c>
      <c r="G434" s="48">
        <f t="shared" si="6"/>
        <v>0</v>
      </c>
      <c r="H434" s="48" t="s">
        <v>5392</v>
      </c>
      <c r="I434" s="45"/>
    </row>
    <row r="435" spans="1:9" ht="23.25">
      <c r="A435" s="177">
        <v>431</v>
      </c>
      <c r="B435" s="41" t="s">
        <v>950</v>
      </c>
      <c r="C435" s="42" t="s">
        <v>951</v>
      </c>
      <c r="D435" s="178" t="s">
        <v>135</v>
      </c>
      <c r="E435" s="43">
        <f>[3]Summary!E434</f>
        <v>7</v>
      </c>
      <c r="F435" s="179">
        <f>[3]Summary!F434</f>
        <v>19</v>
      </c>
      <c r="G435" s="44">
        <f t="shared" si="6"/>
        <v>133</v>
      </c>
      <c r="H435" s="44" t="s">
        <v>1612</v>
      </c>
      <c r="I435" s="41"/>
    </row>
    <row r="436" spans="1:9" ht="23.25">
      <c r="A436" s="201">
        <v>432</v>
      </c>
      <c r="B436" s="45" t="s">
        <v>952</v>
      </c>
      <c r="C436" s="1" t="s">
        <v>953</v>
      </c>
      <c r="D436" s="46" t="s">
        <v>135</v>
      </c>
      <c r="E436" s="47">
        <f>[3]Summary!E435</f>
        <v>1.7</v>
      </c>
      <c r="F436" s="46">
        <f>[3]Summary!F435</f>
        <v>1</v>
      </c>
      <c r="G436" s="48">
        <f t="shared" si="6"/>
        <v>1.7</v>
      </c>
      <c r="H436" s="48" t="s">
        <v>1606</v>
      </c>
      <c r="I436" s="45"/>
    </row>
    <row r="437" spans="1:9" ht="23.25">
      <c r="A437" s="177">
        <v>433</v>
      </c>
      <c r="B437" s="41" t="s">
        <v>954</v>
      </c>
      <c r="C437" s="42" t="s">
        <v>955</v>
      </c>
      <c r="D437" s="178" t="s">
        <v>135</v>
      </c>
      <c r="E437" s="43">
        <f>[3]Summary!E436</f>
        <v>7.5</v>
      </c>
      <c r="F437" s="179">
        <f>[3]Summary!F436</f>
        <v>0</v>
      </c>
      <c r="G437" s="44">
        <f t="shared" si="6"/>
        <v>0</v>
      </c>
      <c r="H437" s="44" t="s">
        <v>5390</v>
      </c>
      <c r="I437" s="41"/>
    </row>
    <row r="438" spans="1:9" ht="46.5">
      <c r="A438" s="201">
        <v>434</v>
      </c>
      <c r="B438" s="45" t="s">
        <v>956</v>
      </c>
      <c r="C438" s="1" t="s">
        <v>957</v>
      </c>
      <c r="D438" s="46" t="s">
        <v>135</v>
      </c>
      <c r="E438" s="47">
        <f>[3]Summary!E437</f>
        <v>7</v>
      </c>
      <c r="F438" s="46">
        <f>[3]Summary!F437</f>
        <v>4</v>
      </c>
      <c r="G438" s="48">
        <f t="shared" si="6"/>
        <v>28</v>
      </c>
      <c r="H438" s="48" t="s">
        <v>1636</v>
      </c>
      <c r="I438" s="45"/>
    </row>
    <row r="439" spans="1:9" ht="23.25">
      <c r="A439" s="177">
        <v>435</v>
      </c>
      <c r="B439" s="41" t="s">
        <v>958</v>
      </c>
      <c r="C439" s="42" t="s">
        <v>959</v>
      </c>
      <c r="D439" s="178" t="s">
        <v>135</v>
      </c>
      <c r="E439" s="43">
        <f>[3]Summary!E438</f>
        <v>4.75</v>
      </c>
      <c r="F439" s="179">
        <f>[3]Summary!F438</f>
        <v>0</v>
      </c>
      <c r="G439" s="44">
        <f t="shared" si="6"/>
        <v>0</v>
      </c>
      <c r="H439" s="44" t="s">
        <v>5390</v>
      </c>
      <c r="I439" s="41"/>
    </row>
    <row r="440" spans="1:9" ht="23.25">
      <c r="A440" s="201">
        <v>436</v>
      </c>
      <c r="B440" s="45" t="s">
        <v>960</v>
      </c>
      <c r="C440" s="1" t="s">
        <v>961</v>
      </c>
      <c r="D440" s="46" t="s">
        <v>135</v>
      </c>
      <c r="E440" s="47">
        <f>[3]Summary!E439</f>
        <v>45</v>
      </c>
      <c r="F440" s="46">
        <f>[3]Summary!F439</f>
        <v>0</v>
      </c>
      <c r="G440" s="48">
        <f t="shared" si="6"/>
        <v>0</v>
      </c>
      <c r="H440" s="48" t="s">
        <v>5390</v>
      </c>
      <c r="I440" s="45"/>
    </row>
    <row r="441" spans="1:9" ht="23.25">
      <c r="A441" s="177">
        <v>437</v>
      </c>
      <c r="B441" s="41" t="s">
        <v>962</v>
      </c>
      <c r="C441" s="42" t="s">
        <v>963</v>
      </c>
      <c r="D441" s="178" t="s">
        <v>135</v>
      </c>
      <c r="E441" s="43">
        <f>[3]Summary!E440</f>
        <v>0.1</v>
      </c>
      <c r="F441" s="179">
        <f>[3]Summary!F440</f>
        <v>2029</v>
      </c>
      <c r="G441" s="44">
        <f t="shared" si="6"/>
        <v>202.9</v>
      </c>
      <c r="H441" s="44" t="s">
        <v>1654</v>
      </c>
      <c r="I441" s="41"/>
    </row>
    <row r="442" spans="1:9" ht="23.25">
      <c r="A442" s="201">
        <v>438</v>
      </c>
      <c r="B442" s="45" t="s">
        <v>964</v>
      </c>
      <c r="C442" s="1" t="s">
        <v>965</v>
      </c>
      <c r="D442" s="46" t="s">
        <v>135</v>
      </c>
      <c r="E442" s="47">
        <f>[3]Summary!E441</f>
        <v>0.09</v>
      </c>
      <c r="F442" s="46">
        <f>[3]Summary!F441</f>
        <v>0</v>
      </c>
      <c r="G442" s="48">
        <f t="shared" si="6"/>
        <v>0</v>
      </c>
      <c r="H442" s="48" t="s">
        <v>1654</v>
      </c>
      <c r="I442" s="45"/>
    </row>
    <row r="443" spans="1:9" ht="23.25">
      <c r="A443" s="177">
        <v>439</v>
      </c>
      <c r="B443" s="41" t="s">
        <v>966</v>
      </c>
      <c r="C443" s="42" t="s">
        <v>967</v>
      </c>
      <c r="D443" s="178" t="s">
        <v>135</v>
      </c>
      <c r="E443" s="43">
        <f>[3]Summary!E442</f>
        <v>0.34</v>
      </c>
      <c r="F443" s="179">
        <f>[3]Summary!F442</f>
        <v>80</v>
      </c>
      <c r="G443" s="44">
        <f t="shared" si="6"/>
        <v>27.200000000000003</v>
      </c>
      <c r="H443" s="44" t="s">
        <v>1654</v>
      </c>
      <c r="I443" s="41"/>
    </row>
    <row r="444" spans="1:9" ht="23.25">
      <c r="A444" s="201">
        <v>440</v>
      </c>
      <c r="B444" s="45" t="s">
        <v>968</v>
      </c>
      <c r="C444" s="1" t="s">
        <v>969</v>
      </c>
      <c r="D444" s="46" t="s">
        <v>135</v>
      </c>
      <c r="E444" s="47">
        <f>[3]Summary!E443</f>
        <v>0.7</v>
      </c>
      <c r="F444" s="46">
        <f>[3]Summary!F443</f>
        <v>173</v>
      </c>
      <c r="G444" s="48">
        <f t="shared" si="6"/>
        <v>121.1</v>
      </c>
      <c r="H444" s="48" t="s">
        <v>1654</v>
      </c>
      <c r="I444" s="45"/>
    </row>
    <row r="445" spans="1:9" ht="23.25">
      <c r="A445" s="177">
        <v>441</v>
      </c>
      <c r="B445" s="41" t="s">
        <v>970</v>
      </c>
      <c r="C445" s="42" t="s">
        <v>971</v>
      </c>
      <c r="D445" s="178" t="s">
        <v>135</v>
      </c>
      <c r="E445" s="43">
        <f>[3]Summary!E444</f>
        <v>6</v>
      </c>
      <c r="F445" s="179">
        <f>[3]Summary!F444</f>
        <v>4</v>
      </c>
      <c r="G445" s="44">
        <f t="shared" si="6"/>
        <v>24</v>
      </c>
      <c r="H445" s="44" t="s">
        <v>1636</v>
      </c>
      <c r="I445" s="41"/>
    </row>
    <row r="446" spans="1:9" ht="46.5">
      <c r="A446" s="201">
        <v>442</v>
      </c>
      <c r="B446" s="45" t="s">
        <v>972</v>
      </c>
      <c r="C446" s="1" t="s">
        <v>973</v>
      </c>
      <c r="D446" s="46" t="s">
        <v>135</v>
      </c>
      <c r="E446" s="47">
        <f>[3]Summary!E445</f>
        <v>18</v>
      </c>
      <c r="F446" s="46">
        <f>[3]Summary!F445</f>
        <v>0</v>
      </c>
      <c r="G446" s="48">
        <f t="shared" si="6"/>
        <v>0</v>
      </c>
      <c r="H446" s="48" t="s">
        <v>1636</v>
      </c>
      <c r="I446" s="45"/>
    </row>
    <row r="447" spans="1:9" ht="23.25">
      <c r="A447" s="177">
        <v>443</v>
      </c>
      <c r="B447" s="41" t="s">
        <v>974</v>
      </c>
      <c r="C447" s="42" t="s">
        <v>975</v>
      </c>
      <c r="D447" s="178" t="s">
        <v>135</v>
      </c>
      <c r="E447" s="43">
        <f>[3]Summary!E446</f>
        <v>0.35</v>
      </c>
      <c r="F447" s="179">
        <f>[3]Summary!F446</f>
        <v>77</v>
      </c>
      <c r="G447" s="44">
        <f t="shared" si="6"/>
        <v>26.95</v>
      </c>
      <c r="H447" s="44" t="s">
        <v>5395</v>
      </c>
      <c r="I447" s="41"/>
    </row>
    <row r="448" spans="1:9" ht="42">
      <c r="A448" s="201">
        <v>444</v>
      </c>
      <c r="B448" s="45" t="s">
        <v>976</v>
      </c>
      <c r="C448" s="1" t="s">
        <v>977</v>
      </c>
      <c r="D448" s="46" t="s">
        <v>135</v>
      </c>
      <c r="E448" s="47">
        <f>[3]Summary!E447</f>
        <v>0.2</v>
      </c>
      <c r="F448" s="46">
        <f>[3]Summary!F447</f>
        <v>195</v>
      </c>
      <c r="G448" s="48">
        <f t="shared" si="6"/>
        <v>39</v>
      </c>
      <c r="H448" s="48" t="s">
        <v>5395</v>
      </c>
      <c r="I448" s="45"/>
    </row>
    <row r="449" spans="1:9" ht="23.25">
      <c r="A449" s="177">
        <v>445</v>
      </c>
      <c r="B449" s="41" t="s">
        <v>978</v>
      </c>
      <c r="C449" s="42" t="s">
        <v>979</v>
      </c>
      <c r="D449" s="178" t="s">
        <v>135</v>
      </c>
      <c r="E449" s="43">
        <f>[3]Summary!E448</f>
        <v>3.5</v>
      </c>
      <c r="F449" s="179">
        <f>[3]Summary!F448</f>
        <v>57</v>
      </c>
      <c r="G449" s="44">
        <f t="shared" si="6"/>
        <v>199.5</v>
      </c>
      <c r="H449" s="44" t="s">
        <v>5393</v>
      </c>
      <c r="I449" s="41"/>
    </row>
    <row r="450" spans="1:9" ht="46.5">
      <c r="A450" s="201">
        <v>446</v>
      </c>
      <c r="B450" s="45" t="s">
        <v>980</v>
      </c>
      <c r="C450" s="1" t="s">
        <v>981</v>
      </c>
      <c r="D450" s="46" t="s">
        <v>135</v>
      </c>
      <c r="E450" s="47">
        <f>[3]Summary!E449</f>
        <v>1</v>
      </c>
      <c r="F450" s="46">
        <f>[3]Summary!F449</f>
        <v>1</v>
      </c>
      <c r="G450" s="48">
        <f t="shared" si="6"/>
        <v>1</v>
      </c>
      <c r="H450" s="48" t="s">
        <v>5397</v>
      </c>
      <c r="I450" s="45"/>
    </row>
    <row r="451" spans="1:9" ht="23.25">
      <c r="A451" s="177">
        <v>447</v>
      </c>
      <c r="B451" s="41" t="s">
        <v>982</v>
      </c>
      <c r="C451" s="42" t="s">
        <v>983</v>
      </c>
      <c r="D451" s="178" t="s">
        <v>135</v>
      </c>
      <c r="E451" s="43">
        <f>[3]Summary!E450</f>
        <v>0.32</v>
      </c>
      <c r="F451" s="179">
        <f>[3]Summary!F450</f>
        <v>43</v>
      </c>
      <c r="G451" s="44">
        <f t="shared" si="6"/>
        <v>13.76</v>
      </c>
      <c r="H451" s="44" t="s">
        <v>1676</v>
      </c>
      <c r="I451" s="41"/>
    </row>
    <row r="452" spans="1:9" ht="42">
      <c r="A452" s="201">
        <v>448</v>
      </c>
      <c r="B452" s="45" t="s">
        <v>984</v>
      </c>
      <c r="C452" s="1" t="s">
        <v>985</v>
      </c>
      <c r="D452" s="46" t="s">
        <v>135</v>
      </c>
      <c r="E452" s="47">
        <f>[3]Summary!E451</f>
        <v>0.27</v>
      </c>
      <c r="F452" s="46">
        <f>[3]Summary!F451</f>
        <v>0</v>
      </c>
      <c r="G452" s="48">
        <f t="shared" si="6"/>
        <v>0</v>
      </c>
      <c r="H452" s="48" t="s">
        <v>1676</v>
      </c>
      <c r="I452" s="45"/>
    </row>
    <row r="453" spans="1:9" ht="46.5">
      <c r="A453" s="177">
        <v>449</v>
      </c>
      <c r="B453" s="41" t="s">
        <v>986</v>
      </c>
      <c r="C453" s="42" t="s">
        <v>987</v>
      </c>
      <c r="D453" s="178" t="s">
        <v>135</v>
      </c>
      <c r="E453" s="43">
        <f>[3]Summary!E452</f>
        <v>16</v>
      </c>
      <c r="F453" s="179">
        <f>[3]Summary!F452</f>
        <v>0</v>
      </c>
      <c r="G453" s="44">
        <f t="shared" ref="G453:G516" si="7">F453*E453</f>
        <v>0</v>
      </c>
      <c r="H453" s="44" t="s">
        <v>5398</v>
      </c>
      <c r="I453" s="41"/>
    </row>
    <row r="454" spans="1:9" ht="46.5">
      <c r="A454" s="201">
        <v>450</v>
      </c>
      <c r="B454" s="45" t="s">
        <v>988</v>
      </c>
      <c r="C454" s="1" t="s">
        <v>989</v>
      </c>
      <c r="D454" s="46" t="s">
        <v>135</v>
      </c>
      <c r="E454" s="47">
        <f>[3]Summary!E453</f>
        <v>0.08</v>
      </c>
      <c r="F454" s="46">
        <f>[3]Summary!F453</f>
        <v>618</v>
      </c>
      <c r="G454" s="48">
        <f t="shared" si="7"/>
        <v>49.44</v>
      </c>
      <c r="H454" s="48" t="s">
        <v>1654</v>
      </c>
      <c r="I454" s="45"/>
    </row>
    <row r="455" spans="1:9" ht="46.5">
      <c r="A455" s="177">
        <v>451</v>
      </c>
      <c r="B455" s="41" t="s">
        <v>990</v>
      </c>
      <c r="C455" s="42" t="s">
        <v>991</v>
      </c>
      <c r="D455" s="178" t="s">
        <v>135</v>
      </c>
      <c r="E455" s="43">
        <f>[3]Summary!E454</f>
        <v>0.09</v>
      </c>
      <c r="F455" s="179">
        <f>[3]Summary!F454</f>
        <v>1509</v>
      </c>
      <c r="G455" s="44">
        <f t="shared" si="7"/>
        <v>135.81</v>
      </c>
      <c r="H455" s="44" t="s">
        <v>1654</v>
      </c>
      <c r="I455" s="41"/>
    </row>
    <row r="456" spans="1:9" ht="46.5">
      <c r="A456" s="201">
        <v>452</v>
      </c>
      <c r="B456" s="45" t="s">
        <v>992</v>
      </c>
      <c r="C456" s="1" t="s">
        <v>993</v>
      </c>
      <c r="D456" s="46" t="s">
        <v>135</v>
      </c>
      <c r="E456" s="47">
        <f>[3]Summary!E455</f>
        <v>0.09</v>
      </c>
      <c r="F456" s="46">
        <f>[3]Summary!F455</f>
        <v>7550</v>
      </c>
      <c r="G456" s="48">
        <f t="shared" si="7"/>
        <v>679.5</v>
      </c>
      <c r="H456" s="48" t="s">
        <v>1654</v>
      </c>
      <c r="I456" s="45"/>
    </row>
    <row r="457" spans="1:9" ht="46.5">
      <c r="A457" s="177">
        <v>453</v>
      </c>
      <c r="B457" s="41" t="s">
        <v>994</v>
      </c>
      <c r="C457" s="42" t="s">
        <v>995</v>
      </c>
      <c r="D457" s="178" t="s">
        <v>135</v>
      </c>
      <c r="E457" s="43">
        <f>[3]Summary!E456</f>
        <v>0.11</v>
      </c>
      <c r="F457" s="179">
        <f>[3]Summary!F456</f>
        <v>6214</v>
      </c>
      <c r="G457" s="44">
        <f t="shared" si="7"/>
        <v>683.54</v>
      </c>
      <c r="H457" s="44" t="s">
        <v>1654</v>
      </c>
      <c r="I457" s="41"/>
    </row>
    <row r="458" spans="1:9" ht="46.5">
      <c r="A458" s="201">
        <v>454</v>
      </c>
      <c r="B458" s="45" t="s">
        <v>996</v>
      </c>
      <c r="C458" s="1" t="s">
        <v>997</v>
      </c>
      <c r="D458" s="46" t="s">
        <v>135</v>
      </c>
      <c r="E458" s="47">
        <f>[3]Summary!E457</f>
        <v>0.27</v>
      </c>
      <c r="F458" s="46">
        <f>[3]Summary!F457</f>
        <v>637</v>
      </c>
      <c r="G458" s="48">
        <f t="shared" si="7"/>
        <v>171.99</v>
      </c>
      <c r="H458" s="48" t="s">
        <v>1654</v>
      </c>
      <c r="I458" s="45"/>
    </row>
    <row r="459" spans="1:9" ht="46.5">
      <c r="A459" s="177">
        <v>455</v>
      </c>
      <c r="B459" s="41" t="s">
        <v>998</v>
      </c>
      <c r="C459" s="42" t="s">
        <v>999</v>
      </c>
      <c r="D459" s="178" t="s">
        <v>135</v>
      </c>
      <c r="E459" s="43">
        <f>[3]Summary!E458</f>
        <v>0.9</v>
      </c>
      <c r="F459" s="179">
        <f>[3]Summary!F458</f>
        <v>254</v>
      </c>
      <c r="G459" s="44">
        <f t="shared" si="7"/>
        <v>228.6</v>
      </c>
      <c r="H459" s="44" t="s">
        <v>1654</v>
      </c>
      <c r="I459" s="41"/>
    </row>
    <row r="460" spans="1:9" ht="46.5">
      <c r="A460" s="201">
        <v>456</v>
      </c>
      <c r="B460" s="45" t="s">
        <v>1000</v>
      </c>
      <c r="C460" s="1" t="s">
        <v>1001</v>
      </c>
      <c r="D460" s="46" t="s">
        <v>135</v>
      </c>
      <c r="E460" s="47">
        <f>[3]Summary!E459</f>
        <v>1.1339999999999999</v>
      </c>
      <c r="F460" s="46">
        <f>[3]Summary!F459</f>
        <v>26</v>
      </c>
      <c r="G460" s="48">
        <f t="shared" si="7"/>
        <v>29.483999999999998</v>
      </c>
      <c r="H460" s="48" t="s">
        <v>1654</v>
      </c>
      <c r="I460" s="45"/>
    </row>
    <row r="461" spans="1:9" ht="46.5">
      <c r="A461" s="177">
        <v>457</v>
      </c>
      <c r="B461" s="41" t="s">
        <v>1002</v>
      </c>
      <c r="C461" s="42" t="s">
        <v>1003</v>
      </c>
      <c r="D461" s="178" t="s">
        <v>135</v>
      </c>
      <c r="E461" s="43">
        <f>[3]Summary!E460</f>
        <v>2.4</v>
      </c>
      <c r="F461" s="179">
        <f>[3]Summary!F460</f>
        <v>160</v>
      </c>
      <c r="G461" s="44">
        <f t="shared" si="7"/>
        <v>384</v>
      </c>
      <c r="H461" s="44" t="s">
        <v>1654</v>
      </c>
      <c r="I461" s="41"/>
    </row>
    <row r="462" spans="1:9" ht="46.5">
      <c r="A462" s="201">
        <v>458</v>
      </c>
      <c r="B462" s="45" t="s">
        <v>1004</v>
      </c>
      <c r="C462" s="1" t="s">
        <v>1005</v>
      </c>
      <c r="D462" s="46" t="s">
        <v>135</v>
      </c>
      <c r="E462" s="47">
        <f>[3]Summary!E461</f>
        <v>5</v>
      </c>
      <c r="F462" s="46">
        <f>[3]Summary!F461</f>
        <v>19</v>
      </c>
      <c r="G462" s="48">
        <f t="shared" si="7"/>
        <v>95</v>
      </c>
      <c r="H462" s="48" t="s">
        <v>1654</v>
      </c>
      <c r="I462" s="45"/>
    </row>
    <row r="463" spans="1:9" ht="46.5">
      <c r="A463" s="177">
        <v>459</v>
      </c>
      <c r="B463" s="41" t="s">
        <v>1006</v>
      </c>
      <c r="C463" s="42" t="s">
        <v>1007</v>
      </c>
      <c r="D463" s="178" t="s">
        <v>135</v>
      </c>
      <c r="E463" s="43">
        <f>[3]Summary!E462</f>
        <v>35</v>
      </c>
      <c r="F463" s="179">
        <f>[3]Summary!F462</f>
        <v>0</v>
      </c>
      <c r="G463" s="44">
        <f t="shared" si="7"/>
        <v>0</v>
      </c>
      <c r="H463" s="44" t="s">
        <v>5390</v>
      </c>
      <c r="I463" s="41"/>
    </row>
    <row r="464" spans="1:9" ht="23.25">
      <c r="A464" s="201">
        <v>460</v>
      </c>
      <c r="B464" s="45" t="s">
        <v>1008</v>
      </c>
      <c r="C464" s="1" t="s">
        <v>1009</v>
      </c>
      <c r="D464" s="46" t="s">
        <v>135</v>
      </c>
      <c r="E464" s="47">
        <f>[3]Summary!E463</f>
        <v>1.75</v>
      </c>
      <c r="F464" s="46">
        <f>[3]Summary!F463</f>
        <v>341</v>
      </c>
      <c r="G464" s="48">
        <f t="shared" si="7"/>
        <v>596.75</v>
      </c>
      <c r="H464" s="48" t="s">
        <v>1612</v>
      </c>
      <c r="I464" s="45"/>
    </row>
    <row r="465" spans="1:9" ht="23.25">
      <c r="A465" s="177">
        <v>461</v>
      </c>
      <c r="B465" s="41" t="s">
        <v>1010</v>
      </c>
      <c r="C465" s="42" t="s">
        <v>1011</v>
      </c>
      <c r="D465" s="178" t="s">
        <v>135</v>
      </c>
      <c r="E465" s="43">
        <f>[3]Summary!E464</f>
        <v>49.5</v>
      </c>
      <c r="F465" s="179">
        <f>[3]Summary!F464</f>
        <v>0</v>
      </c>
      <c r="G465" s="44">
        <f t="shared" si="7"/>
        <v>0</v>
      </c>
      <c r="H465" s="44" t="s">
        <v>1612</v>
      </c>
      <c r="I465" s="41"/>
    </row>
    <row r="466" spans="1:9" ht="23.25">
      <c r="A466" s="201">
        <v>462</v>
      </c>
      <c r="B466" s="45" t="s">
        <v>1012</v>
      </c>
      <c r="C466" s="1" t="s">
        <v>1013</v>
      </c>
      <c r="D466" s="46" t="s">
        <v>135</v>
      </c>
      <c r="E466" s="47">
        <f>[3]Summary!E465</f>
        <v>70</v>
      </c>
      <c r="F466" s="46">
        <f>[3]Summary!F465</f>
        <v>0</v>
      </c>
      <c r="G466" s="48">
        <f t="shared" si="7"/>
        <v>0</v>
      </c>
      <c r="H466" s="48" t="s">
        <v>1612</v>
      </c>
      <c r="I466" s="45"/>
    </row>
    <row r="467" spans="1:9" ht="42">
      <c r="A467" s="177">
        <v>463</v>
      </c>
      <c r="B467" s="41" t="s">
        <v>1014</v>
      </c>
      <c r="C467" s="42" t="s">
        <v>1015</v>
      </c>
      <c r="D467" s="178" t="s">
        <v>135</v>
      </c>
      <c r="E467" s="43">
        <f>[3]Summary!E466</f>
        <v>27.5</v>
      </c>
      <c r="F467" s="179">
        <f>[3]Summary!F466</f>
        <v>0</v>
      </c>
      <c r="G467" s="44">
        <f t="shared" si="7"/>
        <v>0</v>
      </c>
      <c r="H467" s="44" t="s">
        <v>1612</v>
      </c>
      <c r="I467" s="41"/>
    </row>
    <row r="468" spans="1:9" ht="42">
      <c r="A468" s="201">
        <v>464</v>
      </c>
      <c r="B468" s="45" t="s">
        <v>1016</v>
      </c>
      <c r="C468" s="1" t="s">
        <v>1017</v>
      </c>
      <c r="D468" s="46" t="s">
        <v>135</v>
      </c>
      <c r="E468" s="47">
        <f>[3]Summary!E467</f>
        <v>7</v>
      </c>
      <c r="F468" s="46">
        <f>[3]Summary!F467</f>
        <v>0</v>
      </c>
      <c r="G468" s="48">
        <f t="shared" si="7"/>
        <v>0</v>
      </c>
      <c r="H468" s="48" t="s">
        <v>5395</v>
      </c>
      <c r="I468" s="45"/>
    </row>
    <row r="469" spans="1:9" ht="46.5">
      <c r="A469" s="177">
        <v>465</v>
      </c>
      <c r="B469" s="41" t="s">
        <v>1018</v>
      </c>
      <c r="C469" s="42" t="s">
        <v>1019</v>
      </c>
      <c r="D469" s="178" t="s">
        <v>135</v>
      </c>
      <c r="E469" s="43">
        <f>[3]Summary!E468</f>
        <v>0</v>
      </c>
      <c r="F469" s="179">
        <f>[3]Summary!F468</f>
        <v>39</v>
      </c>
      <c r="G469" s="44">
        <f t="shared" si="7"/>
        <v>0</v>
      </c>
      <c r="H469" s="44" t="s">
        <v>1636</v>
      </c>
      <c r="I469" s="41"/>
    </row>
    <row r="470" spans="1:9" ht="23.25">
      <c r="A470" s="201">
        <v>466</v>
      </c>
      <c r="B470" s="45" t="s">
        <v>1020</v>
      </c>
      <c r="C470" s="1" t="s">
        <v>1021</v>
      </c>
      <c r="D470" s="46" t="s">
        <v>135</v>
      </c>
      <c r="E470" s="47">
        <f>[3]Summary!E469</f>
        <v>18</v>
      </c>
      <c r="F470" s="46">
        <f>[3]Summary!F469</f>
        <v>20</v>
      </c>
      <c r="G470" s="48">
        <f t="shared" si="7"/>
        <v>360</v>
      </c>
      <c r="H470" s="48" t="s">
        <v>1641</v>
      </c>
      <c r="I470" s="45"/>
    </row>
    <row r="471" spans="1:9" ht="23.25">
      <c r="A471" s="177">
        <v>467</v>
      </c>
      <c r="B471" s="41" t="s">
        <v>1022</v>
      </c>
      <c r="C471" s="42" t="s">
        <v>1023</v>
      </c>
      <c r="D471" s="178" t="s">
        <v>135</v>
      </c>
      <c r="E471" s="43">
        <f>[3]Summary!E470</f>
        <v>38</v>
      </c>
      <c r="F471" s="179">
        <f>[3]Summary!F470</f>
        <v>135</v>
      </c>
      <c r="G471" s="44">
        <f t="shared" si="7"/>
        <v>5130</v>
      </c>
      <c r="H471" s="44" t="s">
        <v>1641</v>
      </c>
      <c r="I471" s="41"/>
    </row>
    <row r="472" spans="1:9" ht="23.25">
      <c r="A472" s="201">
        <v>468</v>
      </c>
      <c r="B472" s="45" t="s">
        <v>1024</v>
      </c>
      <c r="C472" s="1" t="s">
        <v>1025</v>
      </c>
      <c r="D472" s="46" t="s">
        <v>135</v>
      </c>
      <c r="E472" s="47">
        <f>[3]Summary!E471</f>
        <v>25</v>
      </c>
      <c r="F472" s="46">
        <f>[3]Summary!F471</f>
        <v>0</v>
      </c>
      <c r="G472" s="48">
        <f t="shared" si="7"/>
        <v>0</v>
      </c>
      <c r="H472" s="48" t="s">
        <v>1641</v>
      </c>
      <c r="I472" s="45"/>
    </row>
    <row r="473" spans="1:9" ht="23.25">
      <c r="A473" s="177">
        <v>469</v>
      </c>
      <c r="B473" s="41" t="s">
        <v>1024</v>
      </c>
      <c r="C473" s="42" t="s">
        <v>1026</v>
      </c>
      <c r="D473" s="178" t="s">
        <v>135</v>
      </c>
      <c r="E473" s="43">
        <f>[3]Summary!E472</f>
        <v>18</v>
      </c>
      <c r="F473" s="179">
        <f>[3]Summary!F472</f>
        <v>0</v>
      </c>
      <c r="G473" s="44">
        <f t="shared" si="7"/>
        <v>0</v>
      </c>
      <c r="H473" s="44" t="s">
        <v>1641</v>
      </c>
      <c r="I473" s="41"/>
    </row>
    <row r="474" spans="1:9" ht="23.25">
      <c r="A474" s="201">
        <v>470</v>
      </c>
      <c r="B474" s="45" t="s">
        <v>1027</v>
      </c>
      <c r="C474" s="1" t="s">
        <v>1028</v>
      </c>
      <c r="D474" s="46" t="s">
        <v>135</v>
      </c>
      <c r="E474" s="47">
        <f>[3]Summary!E473</f>
        <v>18</v>
      </c>
      <c r="F474" s="46">
        <f>[3]Summary!F473</f>
        <v>47</v>
      </c>
      <c r="G474" s="48">
        <f t="shared" si="7"/>
        <v>846</v>
      </c>
      <c r="H474" s="48" t="s">
        <v>1641</v>
      </c>
      <c r="I474" s="45"/>
    </row>
    <row r="475" spans="1:9" ht="23.25">
      <c r="A475" s="177">
        <v>471</v>
      </c>
      <c r="B475" s="41" t="s">
        <v>1029</v>
      </c>
      <c r="C475" s="42" t="s">
        <v>1030</v>
      </c>
      <c r="D475" s="178" t="s">
        <v>135</v>
      </c>
      <c r="E475" s="43">
        <f>[3]Summary!E474</f>
        <v>18.5</v>
      </c>
      <c r="F475" s="179">
        <f>[3]Summary!F474</f>
        <v>48</v>
      </c>
      <c r="G475" s="44">
        <f t="shared" si="7"/>
        <v>888</v>
      </c>
      <c r="H475" s="44" t="s">
        <v>1641</v>
      </c>
      <c r="I475" s="41"/>
    </row>
    <row r="476" spans="1:9" ht="23.25">
      <c r="A476" s="201">
        <v>472</v>
      </c>
      <c r="B476" s="45" t="s">
        <v>1031</v>
      </c>
      <c r="C476" s="1" t="s">
        <v>1032</v>
      </c>
      <c r="D476" s="46" t="s">
        <v>135</v>
      </c>
      <c r="E476" s="47">
        <f>[3]Summary!E475</f>
        <v>18.5</v>
      </c>
      <c r="F476" s="46">
        <f>[3]Summary!F475</f>
        <v>114</v>
      </c>
      <c r="G476" s="48">
        <f t="shared" si="7"/>
        <v>2109</v>
      </c>
      <c r="H476" s="48" t="s">
        <v>1641</v>
      </c>
      <c r="I476" s="45"/>
    </row>
    <row r="477" spans="1:9" ht="23.25">
      <c r="A477" s="177">
        <v>473</v>
      </c>
      <c r="B477" s="41" t="s">
        <v>1033</v>
      </c>
      <c r="C477" s="42" t="s">
        <v>1034</v>
      </c>
      <c r="D477" s="178" t="s">
        <v>135</v>
      </c>
      <c r="E477" s="43">
        <f>[3]Summary!E476</f>
        <v>15</v>
      </c>
      <c r="F477" s="179">
        <f>[3]Summary!F476</f>
        <v>21</v>
      </c>
      <c r="G477" s="44">
        <f t="shared" si="7"/>
        <v>315</v>
      </c>
      <c r="H477" s="44" t="s">
        <v>1641</v>
      </c>
      <c r="I477" s="41"/>
    </row>
    <row r="478" spans="1:9" ht="23.25">
      <c r="A478" s="201">
        <v>474</v>
      </c>
      <c r="B478" s="45" t="s">
        <v>1035</v>
      </c>
      <c r="C478" s="1" t="s">
        <v>1036</v>
      </c>
      <c r="D478" s="46" t="s">
        <v>135</v>
      </c>
      <c r="E478" s="47">
        <f>[3]Summary!E477</f>
        <v>17</v>
      </c>
      <c r="F478" s="46">
        <f>[3]Summary!F477</f>
        <v>55</v>
      </c>
      <c r="G478" s="48">
        <f t="shared" si="7"/>
        <v>935</v>
      </c>
      <c r="H478" s="48" t="s">
        <v>1641</v>
      </c>
      <c r="I478" s="45"/>
    </row>
    <row r="479" spans="1:9" ht="23.25">
      <c r="A479" s="177">
        <v>475</v>
      </c>
      <c r="B479" s="41" t="s">
        <v>1037</v>
      </c>
      <c r="C479" s="42" t="s">
        <v>1038</v>
      </c>
      <c r="D479" s="178" t="s">
        <v>135</v>
      </c>
      <c r="E479" s="43">
        <f>[3]Summary!E478</f>
        <v>55</v>
      </c>
      <c r="F479" s="179">
        <f>[3]Summary!F478</f>
        <v>0</v>
      </c>
      <c r="G479" s="44">
        <f t="shared" si="7"/>
        <v>0</v>
      </c>
      <c r="H479" s="44" t="s">
        <v>1641</v>
      </c>
      <c r="I479" s="41"/>
    </row>
    <row r="480" spans="1:9" ht="23.25">
      <c r="A480" s="201">
        <v>476</v>
      </c>
      <c r="B480" s="45" t="s">
        <v>1039</v>
      </c>
      <c r="C480" s="1" t="s">
        <v>1040</v>
      </c>
      <c r="D480" s="46" t="s">
        <v>135</v>
      </c>
      <c r="E480" s="47">
        <f>[3]Summary!E479</f>
        <v>0</v>
      </c>
      <c r="F480" s="46">
        <f>[3]Summary!F479</f>
        <v>0</v>
      </c>
      <c r="G480" s="48">
        <f t="shared" si="7"/>
        <v>0</v>
      </c>
      <c r="H480" s="48" t="s">
        <v>1641</v>
      </c>
      <c r="I480" s="45"/>
    </row>
    <row r="481" spans="1:9" ht="23.25">
      <c r="A481" s="177">
        <v>477</v>
      </c>
      <c r="B481" s="41" t="s">
        <v>1041</v>
      </c>
      <c r="C481" s="42" t="s">
        <v>1042</v>
      </c>
      <c r="D481" s="178" t="s">
        <v>135</v>
      </c>
      <c r="E481" s="43">
        <f>[3]Summary!E480</f>
        <v>24</v>
      </c>
      <c r="F481" s="179">
        <f>[3]Summary!F480</f>
        <v>23</v>
      </c>
      <c r="G481" s="44">
        <f t="shared" si="7"/>
        <v>552</v>
      </c>
      <c r="H481" s="44" t="s">
        <v>1641</v>
      </c>
      <c r="I481" s="41"/>
    </row>
    <row r="482" spans="1:9" ht="23.25">
      <c r="A482" s="201">
        <v>478</v>
      </c>
      <c r="B482" s="45" t="s">
        <v>1041</v>
      </c>
      <c r="C482" s="1" t="s">
        <v>1043</v>
      </c>
      <c r="D482" s="46" t="s">
        <v>135</v>
      </c>
      <c r="E482" s="47">
        <f>[3]Summary!E481</f>
        <v>35</v>
      </c>
      <c r="F482" s="46">
        <f>[3]Summary!F481</f>
        <v>14</v>
      </c>
      <c r="G482" s="48">
        <f t="shared" si="7"/>
        <v>490</v>
      </c>
      <c r="H482" s="48" t="s">
        <v>1641</v>
      </c>
      <c r="I482" s="45"/>
    </row>
    <row r="483" spans="1:9" ht="23.25">
      <c r="A483" s="177">
        <v>479</v>
      </c>
      <c r="B483" s="41" t="s">
        <v>1044</v>
      </c>
      <c r="C483" s="42" t="s">
        <v>1045</v>
      </c>
      <c r="D483" s="178" t="s">
        <v>135</v>
      </c>
      <c r="E483" s="43">
        <f>[3]Summary!E482</f>
        <v>15</v>
      </c>
      <c r="F483" s="179">
        <f>[3]Summary!F482</f>
        <v>0</v>
      </c>
      <c r="G483" s="44">
        <f t="shared" si="7"/>
        <v>0</v>
      </c>
      <c r="H483" s="44" t="s">
        <v>1612</v>
      </c>
      <c r="I483" s="41"/>
    </row>
    <row r="484" spans="1:9" ht="46.5">
      <c r="A484" s="201">
        <v>480</v>
      </c>
      <c r="B484" s="45" t="s">
        <v>1046</v>
      </c>
      <c r="C484" s="1" t="s">
        <v>1047</v>
      </c>
      <c r="D484" s="46" t="s">
        <v>135</v>
      </c>
      <c r="E484" s="47">
        <f>[3]Summary!E483</f>
        <v>3.8</v>
      </c>
      <c r="F484" s="46">
        <f>[3]Summary!F483</f>
        <v>443</v>
      </c>
      <c r="G484" s="48">
        <f t="shared" si="7"/>
        <v>1683.3999999999999</v>
      </c>
      <c r="H484" s="48" t="s">
        <v>5395</v>
      </c>
      <c r="I484" s="45"/>
    </row>
    <row r="485" spans="1:9" ht="23.25">
      <c r="A485" s="177">
        <v>481</v>
      </c>
      <c r="B485" s="41" t="s">
        <v>1048</v>
      </c>
      <c r="C485" s="42" t="s">
        <v>1049</v>
      </c>
      <c r="D485" s="178" t="s">
        <v>135</v>
      </c>
      <c r="E485" s="43">
        <f>[3]Summary!E484</f>
        <v>0.5</v>
      </c>
      <c r="F485" s="179">
        <f>[3]Summary!F484</f>
        <v>58</v>
      </c>
      <c r="G485" s="44">
        <f t="shared" si="7"/>
        <v>29</v>
      </c>
      <c r="H485" s="44" t="s">
        <v>5392</v>
      </c>
      <c r="I485" s="41"/>
    </row>
    <row r="486" spans="1:9" ht="23.25">
      <c r="A486" s="201">
        <v>482</v>
      </c>
      <c r="B486" s="45" t="s">
        <v>1050</v>
      </c>
      <c r="C486" s="1" t="s">
        <v>1051</v>
      </c>
      <c r="D486" s="46" t="s">
        <v>180</v>
      </c>
      <c r="E486" s="47">
        <f>[3]Summary!E485</f>
        <v>15</v>
      </c>
      <c r="F486" s="46">
        <f>[3]Summary!F485</f>
        <v>44</v>
      </c>
      <c r="G486" s="48">
        <f t="shared" si="7"/>
        <v>660</v>
      </c>
      <c r="H486" s="48" t="s">
        <v>1616</v>
      </c>
      <c r="I486" s="45"/>
    </row>
    <row r="487" spans="1:9" ht="23.25">
      <c r="A487" s="177">
        <v>483</v>
      </c>
      <c r="B487" s="41" t="s">
        <v>1052</v>
      </c>
      <c r="C487" s="42" t="s">
        <v>1053</v>
      </c>
      <c r="D487" s="178" t="s">
        <v>180</v>
      </c>
      <c r="E487" s="43">
        <f>[3]Summary!E486</f>
        <v>25</v>
      </c>
      <c r="F487" s="179">
        <f>[3]Summary!F486</f>
        <v>0</v>
      </c>
      <c r="G487" s="44">
        <f t="shared" si="7"/>
        <v>0</v>
      </c>
      <c r="H487" s="44" t="s">
        <v>1616</v>
      </c>
      <c r="I487" s="41"/>
    </row>
    <row r="488" spans="1:9" ht="23.25">
      <c r="A488" s="201">
        <v>484</v>
      </c>
      <c r="B488" s="45" t="s">
        <v>1054</v>
      </c>
      <c r="C488" s="1" t="s">
        <v>1055</v>
      </c>
      <c r="D488" s="46" t="s">
        <v>180</v>
      </c>
      <c r="E488" s="47">
        <f>[3]Summary!E487</f>
        <v>37</v>
      </c>
      <c r="F488" s="46">
        <f>[3]Summary!F487</f>
        <v>44</v>
      </c>
      <c r="G488" s="48">
        <f t="shared" si="7"/>
        <v>1628</v>
      </c>
      <c r="H488" s="48" t="s">
        <v>1616</v>
      </c>
      <c r="I488" s="45"/>
    </row>
    <row r="489" spans="1:9" ht="42">
      <c r="A489" s="177">
        <v>485</v>
      </c>
      <c r="B489" s="41" t="s">
        <v>1056</v>
      </c>
      <c r="C489" s="42" t="s">
        <v>1057</v>
      </c>
      <c r="D489" s="178" t="s">
        <v>135</v>
      </c>
      <c r="E489" s="43">
        <f>[3]Summary!E488</f>
        <v>2</v>
      </c>
      <c r="F489" s="179">
        <f>[3]Summary!F488</f>
        <v>3</v>
      </c>
      <c r="G489" s="44">
        <f t="shared" si="7"/>
        <v>6</v>
      </c>
      <c r="H489" s="44" t="s">
        <v>1676</v>
      </c>
      <c r="I489" s="41"/>
    </row>
    <row r="490" spans="1:9" ht="42">
      <c r="A490" s="201">
        <v>486</v>
      </c>
      <c r="B490" s="45" t="s">
        <v>1058</v>
      </c>
      <c r="C490" s="1" t="s">
        <v>5788</v>
      </c>
      <c r="D490" s="46" t="s">
        <v>135</v>
      </c>
      <c r="E490" s="47">
        <f>[3]Summary!E489</f>
        <v>1.75</v>
      </c>
      <c r="F490" s="46">
        <f>[3]Summary!F489</f>
        <v>12</v>
      </c>
      <c r="G490" s="48">
        <f t="shared" si="7"/>
        <v>21</v>
      </c>
      <c r="H490" s="48" t="s">
        <v>1676</v>
      </c>
      <c r="I490" s="45"/>
    </row>
    <row r="491" spans="1:9" ht="42">
      <c r="A491" s="177">
        <v>487</v>
      </c>
      <c r="B491" s="41" t="s">
        <v>1059</v>
      </c>
      <c r="C491" s="42" t="s">
        <v>5789</v>
      </c>
      <c r="D491" s="178" t="s">
        <v>135</v>
      </c>
      <c r="E491" s="43">
        <f>[3]Summary!E490</f>
        <v>1</v>
      </c>
      <c r="F491" s="179">
        <f>[3]Summary!F490</f>
        <v>0</v>
      </c>
      <c r="G491" s="44">
        <f t="shared" si="7"/>
        <v>0</v>
      </c>
      <c r="H491" s="44" t="s">
        <v>1676</v>
      </c>
      <c r="I491" s="41"/>
    </row>
    <row r="492" spans="1:9" ht="23.25">
      <c r="A492" s="201">
        <v>488</v>
      </c>
      <c r="B492" s="45" t="s">
        <v>1060</v>
      </c>
      <c r="C492" s="1" t="s">
        <v>5790</v>
      </c>
      <c r="D492" s="46" t="s">
        <v>135</v>
      </c>
      <c r="E492" s="47">
        <f>[3]Summary!E491</f>
        <v>0.8</v>
      </c>
      <c r="F492" s="46">
        <f>[3]Summary!F491</f>
        <v>0</v>
      </c>
      <c r="G492" s="48">
        <f t="shared" si="7"/>
        <v>0</v>
      </c>
      <c r="H492" s="48" t="s">
        <v>1676</v>
      </c>
      <c r="I492" s="45"/>
    </row>
    <row r="493" spans="1:9" ht="23.25">
      <c r="A493" s="177">
        <v>489</v>
      </c>
      <c r="B493" s="41" t="s">
        <v>1061</v>
      </c>
      <c r="C493" s="42" t="s">
        <v>1062</v>
      </c>
      <c r="D493" s="178" t="s">
        <v>135</v>
      </c>
      <c r="E493" s="43">
        <f>[3]Summary!E492</f>
        <v>5</v>
      </c>
      <c r="F493" s="179">
        <f>[3]Summary!F492</f>
        <v>22</v>
      </c>
      <c r="G493" s="44">
        <f t="shared" si="7"/>
        <v>110</v>
      </c>
      <c r="H493" s="44" t="s">
        <v>5390</v>
      </c>
      <c r="I493" s="41"/>
    </row>
    <row r="494" spans="1:9" ht="23.25">
      <c r="A494" s="201">
        <v>490</v>
      </c>
      <c r="B494" s="45" t="s">
        <v>764</v>
      </c>
      <c r="C494" s="1" t="s">
        <v>1063</v>
      </c>
      <c r="D494" s="46" t="s">
        <v>135</v>
      </c>
      <c r="E494" s="47">
        <f>[3]Summary!E493</f>
        <v>65</v>
      </c>
      <c r="F494" s="46">
        <f>[3]Summary!F493</f>
        <v>0</v>
      </c>
      <c r="G494" s="48">
        <f t="shared" si="7"/>
        <v>0</v>
      </c>
      <c r="H494" s="48" t="s">
        <v>5390</v>
      </c>
      <c r="I494" s="45"/>
    </row>
    <row r="495" spans="1:9" ht="23.25">
      <c r="A495" s="177">
        <v>491</v>
      </c>
      <c r="B495" s="41" t="s">
        <v>1064</v>
      </c>
      <c r="C495" s="42" t="s">
        <v>1065</v>
      </c>
      <c r="D495" s="178" t="s">
        <v>135</v>
      </c>
      <c r="E495" s="43">
        <f>[3]Summary!E494</f>
        <v>7</v>
      </c>
      <c r="F495" s="179">
        <f>[3]Summary!F494</f>
        <v>0</v>
      </c>
      <c r="G495" s="44">
        <f t="shared" si="7"/>
        <v>0</v>
      </c>
      <c r="H495" s="44" t="s">
        <v>5390</v>
      </c>
      <c r="I495" s="41"/>
    </row>
    <row r="496" spans="1:9" ht="23.25">
      <c r="A496" s="201">
        <v>492</v>
      </c>
      <c r="B496" s="45" t="s">
        <v>1066</v>
      </c>
      <c r="C496" s="1" t="s">
        <v>1067</v>
      </c>
      <c r="D496" s="46" t="s">
        <v>135</v>
      </c>
      <c r="E496" s="47">
        <f>[3]Summary!E495</f>
        <v>40</v>
      </c>
      <c r="F496" s="46">
        <f>[3]Summary!F495</f>
        <v>1</v>
      </c>
      <c r="G496" s="48">
        <f t="shared" si="7"/>
        <v>40</v>
      </c>
      <c r="H496" s="48" t="s">
        <v>5390</v>
      </c>
      <c r="I496" s="45"/>
    </row>
    <row r="497" spans="1:9" ht="23.25">
      <c r="A497" s="177">
        <v>493</v>
      </c>
      <c r="B497" s="41" t="s">
        <v>1068</v>
      </c>
      <c r="C497" s="42" t="s">
        <v>1069</v>
      </c>
      <c r="D497" s="178" t="s">
        <v>135</v>
      </c>
      <c r="E497" s="43">
        <f>[3]Summary!E496</f>
        <v>75</v>
      </c>
      <c r="F497" s="179">
        <f>[3]Summary!F496</f>
        <v>0</v>
      </c>
      <c r="G497" s="44">
        <f t="shared" si="7"/>
        <v>0</v>
      </c>
      <c r="H497" s="44" t="s">
        <v>1612</v>
      </c>
      <c r="I497" s="41"/>
    </row>
    <row r="498" spans="1:9" ht="46.5">
      <c r="A498" s="201">
        <v>494</v>
      </c>
      <c r="B498" s="45" t="s">
        <v>1070</v>
      </c>
      <c r="C498" s="1" t="s">
        <v>1071</v>
      </c>
      <c r="D498" s="46" t="s">
        <v>135</v>
      </c>
      <c r="E498" s="47">
        <f>[3]Summary!E497</f>
        <v>0.1</v>
      </c>
      <c r="F498" s="46">
        <f>[3]Summary!F497</f>
        <v>163</v>
      </c>
      <c r="G498" s="48">
        <f t="shared" si="7"/>
        <v>16.3</v>
      </c>
      <c r="H498" s="48" t="s">
        <v>1629</v>
      </c>
      <c r="I498" s="45"/>
    </row>
    <row r="499" spans="1:9" ht="23.25">
      <c r="A499" s="177">
        <v>495</v>
      </c>
      <c r="B499" s="41" t="s">
        <v>1072</v>
      </c>
      <c r="C499" s="42" t="s">
        <v>1073</v>
      </c>
      <c r="D499" s="178" t="s">
        <v>135</v>
      </c>
      <c r="E499" s="43">
        <f>[3]Summary!E498</f>
        <v>53</v>
      </c>
      <c r="F499" s="179">
        <f>[3]Summary!F498</f>
        <v>0</v>
      </c>
      <c r="G499" s="44">
        <f t="shared" si="7"/>
        <v>0</v>
      </c>
      <c r="H499" s="44" t="s">
        <v>1629</v>
      </c>
      <c r="I499" s="41"/>
    </row>
    <row r="500" spans="1:9" ht="46.5">
      <c r="A500" s="201">
        <v>496</v>
      </c>
      <c r="B500" s="45" t="s">
        <v>1074</v>
      </c>
      <c r="C500" s="1" t="s">
        <v>1075</v>
      </c>
      <c r="D500" s="46" t="s">
        <v>135</v>
      </c>
      <c r="E500" s="47">
        <f>[3]Summary!E499</f>
        <v>2.5</v>
      </c>
      <c r="F500" s="46">
        <f>[3]Summary!F499</f>
        <v>0</v>
      </c>
      <c r="G500" s="48">
        <f t="shared" si="7"/>
        <v>0</v>
      </c>
      <c r="H500" s="48" t="s">
        <v>5389</v>
      </c>
      <c r="I500" s="45"/>
    </row>
    <row r="501" spans="1:9" ht="46.5">
      <c r="A501" s="177">
        <v>497</v>
      </c>
      <c r="B501" s="41" t="s">
        <v>1076</v>
      </c>
      <c r="C501" s="42" t="s">
        <v>1077</v>
      </c>
      <c r="D501" s="178" t="s">
        <v>135</v>
      </c>
      <c r="E501" s="43">
        <f>[3]Summary!E500</f>
        <v>6.5</v>
      </c>
      <c r="F501" s="179">
        <f>[3]Summary!F500</f>
        <v>0</v>
      </c>
      <c r="G501" s="44">
        <f t="shared" si="7"/>
        <v>0</v>
      </c>
      <c r="H501" s="44" t="s">
        <v>5389</v>
      </c>
      <c r="I501" s="41"/>
    </row>
    <row r="502" spans="1:9" ht="23.25">
      <c r="A502" s="201">
        <v>498</v>
      </c>
      <c r="B502" s="45" t="s">
        <v>1078</v>
      </c>
      <c r="C502" s="1" t="s">
        <v>1079</v>
      </c>
      <c r="D502" s="46" t="s">
        <v>135</v>
      </c>
      <c r="E502" s="47">
        <f>[3]Summary!E501</f>
        <v>0.5</v>
      </c>
      <c r="F502" s="46">
        <f>[3]Summary!F501</f>
        <v>0</v>
      </c>
      <c r="G502" s="48">
        <f t="shared" si="7"/>
        <v>0</v>
      </c>
      <c r="H502" s="48" t="s">
        <v>5390</v>
      </c>
      <c r="I502" s="45"/>
    </row>
    <row r="503" spans="1:9" ht="23.25">
      <c r="A503" s="177">
        <v>499</v>
      </c>
      <c r="B503" s="41" t="s">
        <v>1080</v>
      </c>
      <c r="C503" s="42" t="s">
        <v>1081</v>
      </c>
      <c r="D503" s="178" t="s">
        <v>135</v>
      </c>
      <c r="E503" s="43">
        <f>[3]Summary!E502</f>
        <v>1.6</v>
      </c>
      <c r="F503" s="179">
        <f>[3]Summary!F502</f>
        <v>28</v>
      </c>
      <c r="G503" s="44">
        <f t="shared" si="7"/>
        <v>44.800000000000004</v>
      </c>
      <c r="H503" s="44" t="s">
        <v>5395</v>
      </c>
      <c r="I503" s="41"/>
    </row>
    <row r="504" spans="1:9" ht="42">
      <c r="A504" s="201">
        <v>500</v>
      </c>
      <c r="B504" s="45" t="s">
        <v>1082</v>
      </c>
      <c r="C504" s="1" t="s">
        <v>1083</v>
      </c>
      <c r="D504" s="46" t="s">
        <v>135</v>
      </c>
      <c r="E504" s="47">
        <f>[3]Summary!E503</f>
        <v>5.5</v>
      </c>
      <c r="F504" s="46">
        <f>[3]Summary!F503</f>
        <v>0</v>
      </c>
      <c r="G504" s="48">
        <f t="shared" si="7"/>
        <v>0</v>
      </c>
      <c r="H504" s="48" t="s">
        <v>1612</v>
      </c>
      <c r="I504" s="45"/>
    </row>
    <row r="505" spans="1:9" ht="23.25">
      <c r="A505" s="177">
        <v>501</v>
      </c>
      <c r="B505" s="41" t="s">
        <v>1084</v>
      </c>
      <c r="C505" s="42" t="s">
        <v>1085</v>
      </c>
      <c r="D505" s="178" t="s">
        <v>135</v>
      </c>
      <c r="E505" s="43">
        <f>[3]Summary!E504</f>
        <v>7</v>
      </c>
      <c r="F505" s="179">
        <f>[3]Summary!F504</f>
        <v>36</v>
      </c>
      <c r="G505" s="44">
        <f t="shared" si="7"/>
        <v>252</v>
      </c>
      <c r="H505" s="44" t="s">
        <v>5390</v>
      </c>
      <c r="I505" s="41"/>
    </row>
    <row r="506" spans="1:9" ht="46.5">
      <c r="A506" s="201">
        <v>502</v>
      </c>
      <c r="B506" s="45" t="s">
        <v>1086</v>
      </c>
      <c r="C506" s="1" t="s">
        <v>1087</v>
      </c>
      <c r="D506" s="46" t="s">
        <v>135</v>
      </c>
      <c r="E506" s="47">
        <f>[3]Summary!E505</f>
        <v>7</v>
      </c>
      <c r="F506" s="46">
        <f>[3]Summary!F505</f>
        <v>36</v>
      </c>
      <c r="G506" s="48">
        <f t="shared" si="7"/>
        <v>252</v>
      </c>
      <c r="H506" s="48" t="s">
        <v>5387</v>
      </c>
      <c r="I506" s="45"/>
    </row>
    <row r="507" spans="1:9" ht="23.25">
      <c r="A507" s="177">
        <v>503</v>
      </c>
      <c r="B507" s="41" t="s">
        <v>927</v>
      </c>
      <c r="C507" s="42" t="s">
        <v>1088</v>
      </c>
      <c r="D507" s="178" t="s">
        <v>135</v>
      </c>
      <c r="E507" s="43">
        <f>[3]Summary!E506</f>
        <v>28</v>
      </c>
      <c r="F507" s="179">
        <f>[3]Summary!F506</f>
        <v>4</v>
      </c>
      <c r="G507" s="44">
        <f t="shared" si="7"/>
        <v>112</v>
      </c>
      <c r="H507" s="44" t="s">
        <v>5387</v>
      </c>
      <c r="I507" s="41"/>
    </row>
    <row r="508" spans="1:9" ht="46.5">
      <c r="A508" s="201">
        <v>504</v>
      </c>
      <c r="B508" s="45" t="s">
        <v>1089</v>
      </c>
      <c r="C508" s="1" t="s">
        <v>1090</v>
      </c>
      <c r="D508" s="46" t="s">
        <v>135</v>
      </c>
      <c r="E508" s="47">
        <f>[3]Summary!E507</f>
        <v>4.25</v>
      </c>
      <c r="F508" s="46">
        <f>[3]Summary!F507</f>
        <v>35</v>
      </c>
      <c r="G508" s="48">
        <f t="shared" si="7"/>
        <v>148.75</v>
      </c>
      <c r="H508" s="48" t="s">
        <v>5387</v>
      </c>
      <c r="I508" s="45"/>
    </row>
    <row r="509" spans="1:9" ht="46.5">
      <c r="A509" s="177">
        <v>505</v>
      </c>
      <c r="B509" s="41" t="s">
        <v>1091</v>
      </c>
      <c r="C509" s="42" t="s">
        <v>1092</v>
      </c>
      <c r="D509" s="178" t="s">
        <v>135</v>
      </c>
      <c r="E509" s="43">
        <f>[3]Summary!E508</f>
        <v>3</v>
      </c>
      <c r="F509" s="179">
        <f>[3]Summary!F508</f>
        <v>0</v>
      </c>
      <c r="G509" s="44">
        <f t="shared" si="7"/>
        <v>0</v>
      </c>
      <c r="H509" s="44" t="s">
        <v>5402</v>
      </c>
      <c r="I509" s="41"/>
    </row>
    <row r="510" spans="1:9" ht="46.5">
      <c r="A510" s="201">
        <v>506</v>
      </c>
      <c r="B510" s="45" t="s">
        <v>1093</v>
      </c>
      <c r="C510" s="1" t="s">
        <v>1094</v>
      </c>
      <c r="D510" s="46" t="s">
        <v>135</v>
      </c>
      <c r="E510" s="47">
        <f>[3]Summary!E509</f>
        <v>4</v>
      </c>
      <c r="F510" s="46">
        <f>[3]Summary!F509</f>
        <v>9</v>
      </c>
      <c r="G510" s="48">
        <f t="shared" si="7"/>
        <v>36</v>
      </c>
      <c r="H510" s="48" t="s">
        <v>1606</v>
      </c>
      <c r="I510" s="45"/>
    </row>
    <row r="511" spans="1:9" ht="46.5">
      <c r="A511" s="177">
        <v>507</v>
      </c>
      <c r="B511" s="41" t="s">
        <v>1095</v>
      </c>
      <c r="C511" s="42" t="s">
        <v>1096</v>
      </c>
      <c r="D511" s="178" t="s">
        <v>135</v>
      </c>
      <c r="E511" s="43">
        <f>[3]Summary!E510</f>
        <v>7</v>
      </c>
      <c r="F511" s="179">
        <f>[3]Summary!F510</f>
        <v>10</v>
      </c>
      <c r="G511" s="44">
        <f t="shared" si="7"/>
        <v>70</v>
      </c>
      <c r="H511" s="44" t="s">
        <v>1606</v>
      </c>
      <c r="I511" s="41"/>
    </row>
    <row r="512" spans="1:9" ht="46.5">
      <c r="A512" s="201">
        <v>508</v>
      </c>
      <c r="B512" s="45" t="s">
        <v>1097</v>
      </c>
      <c r="C512" s="1" t="s">
        <v>1098</v>
      </c>
      <c r="D512" s="46" t="s">
        <v>135</v>
      </c>
      <c r="E512" s="47">
        <f>[3]Summary!E511</f>
        <v>7.5</v>
      </c>
      <c r="F512" s="46">
        <f>[3]Summary!F511</f>
        <v>7</v>
      </c>
      <c r="G512" s="48">
        <f t="shared" si="7"/>
        <v>52.5</v>
      </c>
      <c r="H512" s="48" t="s">
        <v>1606</v>
      </c>
      <c r="I512" s="45"/>
    </row>
    <row r="513" spans="1:9" ht="46.5">
      <c r="A513" s="177">
        <v>509</v>
      </c>
      <c r="B513" s="41" t="s">
        <v>1099</v>
      </c>
      <c r="C513" s="42" t="s">
        <v>1100</v>
      </c>
      <c r="D513" s="178" t="s">
        <v>135</v>
      </c>
      <c r="E513" s="43">
        <f>[3]Summary!E512</f>
        <v>0.5</v>
      </c>
      <c r="F513" s="179">
        <f>[3]Summary!F512</f>
        <v>932</v>
      </c>
      <c r="G513" s="44">
        <f t="shared" si="7"/>
        <v>466</v>
      </c>
      <c r="H513" s="44" t="s">
        <v>1606</v>
      </c>
      <c r="I513" s="41"/>
    </row>
    <row r="514" spans="1:9" ht="46.5">
      <c r="A514" s="201">
        <v>510</v>
      </c>
      <c r="B514" s="45" t="s">
        <v>1101</v>
      </c>
      <c r="C514" s="1" t="s">
        <v>1102</v>
      </c>
      <c r="D514" s="46" t="s">
        <v>135</v>
      </c>
      <c r="E514" s="47">
        <f>[3]Summary!E513</f>
        <v>2.25</v>
      </c>
      <c r="F514" s="46">
        <f>[3]Summary!F513</f>
        <v>4</v>
      </c>
      <c r="G514" s="48">
        <f t="shared" si="7"/>
        <v>9</v>
      </c>
      <c r="H514" s="48" t="s">
        <v>1606</v>
      </c>
      <c r="I514" s="45"/>
    </row>
    <row r="515" spans="1:9" ht="46.5">
      <c r="A515" s="177">
        <v>511</v>
      </c>
      <c r="B515" s="41" t="s">
        <v>1103</v>
      </c>
      <c r="C515" s="42" t="s">
        <v>1104</v>
      </c>
      <c r="D515" s="178" t="s">
        <v>135</v>
      </c>
      <c r="E515" s="43">
        <f>[3]Summary!E514</f>
        <v>6</v>
      </c>
      <c r="F515" s="179">
        <f>[3]Summary!F514</f>
        <v>2</v>
      </c>
      <c r="G515" s="44">
        <f t="shared" si="7"/>
        <v>12</v>
      </c>
      <c r="H515" s="44" t="s">
        <v>1606</v>
      </c>
      <c r="I515" s="41"/>
    </row>
    <row r="516" spans="1:9" ht="46.5">
      <c r="A516" s="201">
        <v>512</v>
      </c>
      <c r="B516" s="45" t="s">
        <v>1105</v>
      </c>
      <c r="C516" s="1" t="s">
        <v>1106</v>
      </c>
      <c r="D516" s="46" t="s">
        <v>135</v>
      </c>
      <c r="E516" s="47">
        <f>[3]Summary!E515</f>
        <v>0</v>
      </c>
      <c r="F516" s="46">
        <f>[3]Summary!F515</f>
        <v>0</v>
      </c>
      <c r="G516" s="48">
        <f t="shared" si="7"/>
        <v>0</v>
      </c>
      <c r="H516" s="48" t="s">
        <v>1606</v>
      </c>
      <c r="I516" s="45"/>
    </row>
    <row r="517" spans="1:9" ht="23.25">
      <c r="A517" s="177">
        <v>513</v>
      </c>
      <c r="B517" s="41" t="s">
        <v>1107</v>
      </c>
      <c r="C517" s="42" t="s">
        <v>1108</v>
      </c>
      <c r="D517" s="178" t="s">
        <v>135</v>
      </c>
      <c r="E517" s="43">
        <f>[3]Summary!E516</f>
        <v>3.75</v>
      </c>
      <c r="F517" s="179">
        <f>[3]Summary!F516</f>
        <v>67</v>
      </c>
      <c r="G517" s="44">
        <f t="shared" ref="G517:G580" si="8">F517*E517</f>
        <v>251.25</v>
      </c>
      <c r="H517" s="44" t="s">
        <v>1606</v>
      </c>
      <c r="I517" s="41"/>
    </row>
    <row r="518" spans="1:9" ht="23.25">
      <c r="A518" s="201">
        <v>514</v>
      </c>
      <c r="B518" s="45" t="s">
        <v>1109</v>
      </c>
      <c r="C518" s="1" t="s">
        <v>1110</v>
      </c>
      <c r="D518" s="46" t="s">
        <v>135</v>
      </c>
      <c r="E518" s="47">
        <f>[3]Summary!E517</f>
        <v>5.5</v>
      </c>
      <c r="F518" s="46">
        <f>[3]Summary!F517</f>
        <v>1</v>
      </c>
      <c r="G518" s="48">
        <f t="shared" si="8"/>
        <v>5.5</v>
      </c>
      <c r="H518" s="48" t="s">
        <v>1612</v>
      </c>
      <c r="I518" s="45"/>
    </row>
    <row r="519" spans="1:9" ht="23.25">
      <c r="A519" s="177">
        <v>515</v>
      </c>
      <c r="B519" s="41" t="s">
        <v>1111</v>
      </c>
      <c r="C519" s="42" t="s">
        <v>1112</v>
      </c>
      <c r="D519" s="178" t="s">
        <v>135</v>
      </c>
      <c r="E519" s="43">
        <f>[3]Summary!E518</f>
        <v>6</v>
      </c>
      <c r="F519" s="179">
        <f>[3]Summary!F518</f>
        <v>0</v>
      </c>
      <c r="G519" s="44">
        <f t="shared" si="8"/>
        <v>0</v>
      </c>
      <c r="H519" s="44" t="s">
        <v>1612</v>
      </c>
      <c r="I519" s="41"/>
    </row>
    <row r="520" spans="1:9" ht="23.25">
      <c r="A520" s="201">
        <v>516</v>
      </c>
      <c r="B520" s="45" t="s">
        <v>1113</v>
      </c>
      <c r="C520" s="1" t="s">
        <v>1114</v>
      </c>
      <c r="D520" s="46" t="s">
        <v>135</v>
      </c>
      <c r="E520" s="47">
        <f>[3]Summary!E519</f>
        <v>3.25</v>
      </c>
      <c r="F520" s="46">
        <f>[3]Summary!F519</f>
        <v>0</v>
      </c>
      <c r="G520" s="48">
        <f t="shared" si="8"/>
        <v>0</v>
      </c>
      <c r="H520" s="48" t="s">
        <v>1612</v>
      </c>
      <c r="I520" s="45"/>
    </row>
    <row r="521" spans="1:9" ht="23.25">
      <c r="A521" s="177">
        <v>517</v>
      </c>
      <c r="B521" s="41" t="s">
        <v>1115</v>
      </c>
      <c r="C521" s="42" t="s">
        <v>1116</v>
      </c>
      <c r="D521" s="178" t="s">
        <v>135</v>
      </c>
      <c r="E521" s="43">
        <f>[3]Summary!E520</f>
        <v>5</v>
      </c>
      <c r="F521" s="179">
        <f>[3]Summary!F520</f>
        <v>0</v>
      </c>
      <c r="G521" s="44">
        <f t="shared" si="8"/>
        <v>0</v>
      </c>
      <c r="H521" s="44" t="s">
        <v>1612</v>
      </c>
      <c r="I521" s="41"/>
    </row>
    <row r="522" spans="1:9" ht="42">
      <c r="A522" s="201">
        <v>518</v>
      </c>
      <c r="B522" s="45" t="s">
        <v>1117</v>
      </c>
      <c r="C522" s="1" t="s">
        <v>1118</v>
      </c>
      <c r="D522" s="46" t="s">
        <v>135</v>
      </c>
      <c r="E522" s="47">
        <f>[3]Summary!E521</f>
        <v>6</v>
      </c>
      <c r="F522" s="46">
        <f>[3]Summary!F521</f>
        <v>10</v>
      </c>
      <c r="G522" s="48">
        <f t="shared" si="8"/>
        <v>60</v>
      </c>
      <c r="H522" s="48" t="s">
        <v>1612</v>
      </c>
      <c r="I522" s="45"/>
    </row>
    <row r="523" spans="1:9" ht="23.25">
      <c r="A523" s="177">
        <v>519</v>
      </c>
      <c r="B523" s="41" t="s">
        <v>1119</v>
      </c>
      <c r="C523" s="42" t="s">
        <v>1120</v>
      </c>
      <c r="D523" s="178" t="s">
        <v>135</v>
      </c>
      <c r="E523" s="43">
        <f>[3]Summary!E522</f>
        <v>1.98</v>
      </c>
      <c r="F523" s="179">
        <f>[3]Summary!F522</f>
        <v>0</v>
      </c>
      <c r="G523" s="44">
        <f t="shared" si="8"/>
        <v>0</v>
      </c>
      <c r="H523" s="44" t="s">
        <v>1612</v>
      </c>
      <c r="I523" s="41"/>
    </row>
    <row r="524" spans="1:9" ht="23.25">
      <c r="A524" s="201">
        <v>520</v>
      </c>
      <c r="B524" s="45" t="s">
        <v>1121</v>
      </c>
      <c r="C524" s="1" t="s">
        <v>1122</v>
      </c>
      <c r="D524" s="46" t="s">
        <v>135</v>
      </c>
      <c r="E524" s="47">
        <f>[3]Summary!E523</f>
        <v>12</v>
      </c>
      <c r="F524" s="46">
        <f>[3]Summary!F523</f>
        <v>0</v>
      </c>
      <c r="G524" s="48">
        <f t="shared" si="8"/>
        <v>0</v>
      </c>
      <c r="H524" s="48" t="s">
        <v>1638</v>
      </c>
      <c r="I524" s="45"/>
    </row>
    <row r="525" spans="1:9" ht="23.25">
      <c r="A525" s="177">
        <v>521</v>
      </c>
      <c r="B525" s="41" t="s">
        <v>1123</v>
      </c>
      <c r="C525" s="42" t="s">
        <v>1124</v>
      </c>
      <c r="D525" s="178" t="s">
        <v>135</v>
      </c>
      <c r="E525" s="43">
        <f>[3]Summary!E524</f>
        <v>14</v>
      </c>
      <c r="F525" s="179">
        <f>[3]Summary!F524</f>
        <v>0</v>
      </c>
      <c r="G525" s="44">
        <f t="shared" si="8"/>
        <v>0</v>
      </c>
      <c r="H525" s="44" t="s">
        <v>1638</v>
      </c>
      <c r="I525" s="41"/>
    </row>
    <row r="526" spans="1:9" ht="23.25">
      <c r="A526" s="201">
        <v>522</v>
      </c>
      <c r="B526" s="45" t="s">
        <v>1125</v>
      </c>
      <c r="C526" s="1" t="s">
        <v>1126</v>
      </c>
      <c r="D526" s="46" t="s">
        <v>135</v>
      </c>
      <c r="E526" s="47">
        <f>[3]Summary!E525</f>
        <v>20</v>
      </c>
      <c r="F526" s="46">
        <f>[3]Summary!F525</f>
        <v>0</v>
      </c>
      <c r="G526" s="48">
        <f t="shared" si="8"/>
        <v>0</v>
      </c>
      <c r="H526" s="48" t="s">
        <v>1638</v>
      </c>
      <c r="I526" s="45"/>
    </row>
    <row r="527" spans="1:9" ht="23.25">
      <c r="A527" s="177">
        <v>523</v>
      </c>
      <c r="B527" s="41" t="s">
        <v>1127</v>
      </c>
      <c r="C527" s="42" t="s">
        <v>1128</v>
      </c>
      <c r="D527" s="178" t="s">
        <v>135</v>
      </c>
      <c r="E527" s="43">
        <f>[3]Summary!E526</f>
        <v>33.799999999999997</v>
      </c>
      <c r="F527" s="179">
        <f>[3]Summary!F526</f>
        <v>0</v>
      </c>
      <c r="G527" s="44">
        <f t="shared" si="8"/>
        <v>0</v>
      </c>
      <c r="H527" s="44" t="s">
        <v>1638</v>
      </c>
      <c r="I527" s="41"/>
    </row>
    <row r="528" spans="1:9" ht="46.5">
      <c r="A528" s="201">
        <v>524</v>
      </c>
      <c r="B528" s="45" t="s">
        <v>1129</v>
      </c>
      <c r="C528" s="1" t="s">
        <v>1130</v>
      </c>
      <c r="D528" s="46" t="s">
        <v>135</v>
      </c>
      <c r="E528" s="47">
        <f>[3]Summary!E527</f>
        <v>7.5</v>
      </c>
      <c r="F528" s="46">
        <f>[3]Summary!F527</f>
        <v>1</v>
      </c>
      <c r="G528" s="48">
        <f t="shared" si="8"/>
        <v>7.5</v>
      </c>
      <c r="H528" s="48" t="s">
        <v>5390</v>
      </c>
      <c r="I528" s="45"/>
    </row>
    <row r="529" spans="1:9" ht="23.25">
      <c r="A529" s="177">
        <v>525</v>
      </c>
      <c r="B529" s="41" t="s">
        <v>1131</v>
      </c>
      <c r="C529" s="42" t="s">
        <v>1132</v>
      </c>
      <c r="D529" s="178" t="s">
        <v>135</v>
      </c>
      <c r="E529" s="43">
        <f>[3]Summary!E528</f>
        <v>5.75</v>
      </c>
      <c r="F529" s="179">
        <f>[3]Summary!F528</f>
        <v>0</v>
      </c>
      <c r="G529" s="44">
        <f t="shared" si="8"/>
        <v>0</v>
      </c>
      <c r="H529" s="44" t="s">
        <v>1617</v>
      </c>
      <c r="I529" s="41"/>
    </row>
    <row r="530" spans="1:9" ht="23.25">
      <c r="A530" s="201">
        <v>526</v>
      </c>
      <c r="B530" s="45" t="s">
        <v>1133</v>
      </c>
      <c r="C530" s="1" t="s">
        <v>1134</v>
      </c>
      <c r="D530" s="46" t="s">
        <v>135</v>
      </c>
      <c r="E530" s="47">
        <f>[3]Summary!E529</f>
        <v>14</v>
      </c>
      <c r="F530" s="46">
        <f>[3]Summary!F529</f>
        <v>0</v>
      </c>
      <c r="G530" s="48">
        <f t="shared" si="8"/>
        <v>0</v>
      </c>
      <c r="H530" s="48" t="s">
        <v>5395</v>
      </c>
      <c r="I530" s="45"/>
    </row>
    <row r="531" spans="1:9" ht="23.25">
      <c r="A531" s="177">
        <v>527</v>
      </c>
      <c r="B531" s="41" t="s">
        <v>1135</v>
      </c>
      <c r="C531" s="42" t="s">
        <v>1136</v>
      </c>
      <c r="D531" s="178" t="s">
        <v>135</v>
      </c>
      <c r="E531" s="43">
        <f>[3]Summary!E530</f>
        <v>100</v>
      </c>
      <c r="F531" s="179">
        <f>[3]Summary!F530</f>
        <v>2</v>
      </c>
      <c r="G531" s="44">
        <f t="shared" si="8"/>
        <v>200</v>
      </c>
      <c r="H531" s="44" t="s">
        <v>5395</v>
      </c>
      <c r="I531" s="41"/>
    </row>
    <row r="532" spans="1:9" ht="42">
      <c r="A532" s="201">
        <v>528</v>
      </c>
      <c r="B532" s="45" t="s">
        <v>1137</v>
      </c>
      <c r="C532" s="1" t="s">
        <v>1138</v>
      </c>
      <c r="D532" s="46" t="s">
        <v>135</v>
      </c>
      <c r="E532" s="47">
        <f>[3]Summary!E531</f>
        <v>15</v>
      </c>
      <c r="F532" s="46">
        <f>[3]Summary!F531</f>
        <v>0</v>
      </c>
      <c r="G532" s="48">
        <f t="shared" si="8"/>
        <v>0</v>
      </c>
      <c r="H532" s="48" t="s">
        <v>5395</v>
      </c>
      <c r="I532" s="45"/>
    </row>
    <row r="533" spans="1:9" ht="42">
      <c r="A533" s="177">
        <v>529</v>
      </c>
      <c r="B533" s="41" t="s">
        <v>5791</v>
      </c>
      <c r="C533" s="42" t="s">
        <v>1139</v>
      </c>
      <c r="D533" s="178" t="s">
        <v>135</v>
      </c>
      <c r="E533" s="43">
        <f>[3]Summary!E532</f>
        <v>17</v>
      </c>
      <c r="F533" s="179">
        <f>[3]Summary!F532</f>
        <v>0</v>
      </c>
      <c r="G533" s="44">
        <f t="shared" si="8"/>
        <v>0</v>
      </c>
      <c r="H533" s="44" t="s">
        <v>5395</v>
      </c>
      <c r="I533" s="41"/>
    </row>
    <row r="534" spans="1:9" ht="42">
      <c r="A534" s="201">
        <v>530</v>
      </c>
      <c r="B534" s="45" t="s">
        <v>1140</v>
      </c>
      <c r="C534" s="1" t="s">
        <v>1141</v>
      </c>
      <c r="D534" s="46" t="s">
        <v>135</v>
      </c>
      <c r="E534" s="47">
        <f>[3]Summary!E533</f>
        <v>8.3699999999999992</v>
      </c>
      <c r="F534" s="46">
        <f>[3]Summary!F533</f>
        <v>1</v>
      </c>
      <c r="G534" s="48">
        <f t="shared" si="8"/>
        <v>8.3699999999999992</v>
      </c>
      <c r="H534" s="48" t="s">
        <v>5395</v>
      </c>
      <c r="I534" s="45"/>
    </row>
    <row r="535" spans="1:9" ht="42">
      <c r="A535" s="177">
        <v>531</v>
      </c>
      <c r="B535" s="41" t="s">
        <v>1142</v>
      </c>
      <c r="C535" s="42" t="s">
        <v>1143</v>
      </c>
      <c r="D535" s="178" t="s">
        <v>135</v>
      </c>
      <c r="E535" s="43">
        <f>[3]Summary!E534</f>
        <v>16.2</v>
      </c>
      <c r="F535" s="179">
        <f>[3]Summary!F534</f>
        <v>0</v>
      </c>
      <c r="G535" s="44">
        <f t="shared" si="8"/>
        <v>0</v>
      </c>
      <c r="H535" s="44" t="s">
        <v>5395</v>
      </c>
      <c r="I535" s="41"/>
    </row>
    <row r="536" spans="1:9" ht="42">
      <c r="A536" s="201">
        <v>532</v>
      </c>
      <c r="B536" s="45" t="s">
        <v>1144</v>
      </c>
      <c r="C536" s="1" t="s">
        <v>1145</v>
      </c>
      <c r="D536" s="46" t="s">
        <v>135</v>
      </c>
      <c r="E536" s="47">
        <f>[3]Summary!E535</f>
        <v>18.5</v>
      </c>
      <c r="F536" s="46">
        <f>[3]Summary!F535</f>
        <v>1</v>
      </c>
      <c r="G536" s="48">
        <f t="shared" si="8"/>
        <v>18.5</v>
      </c>
      <c r="H536" s="48" t="s">
        <v>5395</v>
      </c>
      <c r="I536" s="45"/>
    </row>
    <row r="537" spans="1:9" ht="42">
      <c r="A537" s="177">
        <v>533</v>
      </c>
      <c r="B537" s="41" t="s">
        <v>1146</v>
      </c>
      <c r="C537" s="42" t="s">
        <v>1147</v>
      </c>
      <c r="D537" s="178" t="s">
        <v>135</v>
      </c>
      <c r="E537" s="43">
        <f>[3]Summary!E536</f>
        <v>28</v>
      </c>
      <c r="F537" s="179">
        <f>[3]Summary!F536</f>
        <v>0</v>
      </c>
      <c r="G537" s="44">
        <f t="shared" si="8"/>
        <v>0</v>
      </c>
      <c r="H537" s="44" t="s">
        <v>5395</v>
      </c>
      <c r="I537" s="41"/>
    </row>
    <row r="538" spans="1:9" ht="42">
      <c r="A538" s="201">
        <v>534</v>
      </c>
      <c r="B538" s="45" t="s">
        <v>1148</v>
      </c>
      <c r="C538" s="1" t="s">
        <v>1149</v>
      </c>
      <c r="D538" s="46" t="s">
        <v>135</v>
      </c>
      <c r="E538" s="47">
        <f>[3]Summary!E537</f>
        <v>55</v>
      </c>
      <c r="F538" s="46">
        <f>[3]Summary!F537</f>
        <v>0</v>
      </c>
      <c r="G538" s="48">
        <f t="shared" si="8"/>
        <v>0</v>
      </c>
      <c r="H538" s="48" t="s">
        <v>5395</v>
      </c>
      <c r="I538" s="45"/>
    </row>
    <row r="539" spans="1:9" ht="46.5">
      <c r="A539" s="177">
        <v>535</v>
      </c>
      <c r="B539" s="41" t="s">
        <v>1150</v>
      </c>
      <c r="C539" s="42" t="s">
        <v>1151</v>
      </c>
      <c r="D539" s="178" t="s">
        <v>135</v>
      </c>
      <c r="E539" s="43">
        <f>[3]Summary!E538</f>
        <v>13</v>
      </c>
      <c r="F539" s="179">
        <f>[3]Summary!F538</f>
        <v>0</v>
      </c>
      <c r="G539" s="44">
        <f t="shared" si="8"/>
        <v>0</v>
      </c>
      <c r="H539" s="44" t="s">
        <v>5395</v>
      </c>
      <c r="I539" s="41"/>
    </row>
    <row r="540" spans="1:9" ht="46.5">
      <c r="A540" s="201">
        <v>536</v>
      </c>
      <c r="B540" s="45" t="s">
        <v>1152</v>
      </c>
      <c r="C540" s="1" t="s">
        <v>1153</v>
      </c>
      <c r="D540" s="46" t="s">
        <v>135</v>
      </c>
      <c r="E540" s="47">
        <f>[3]Summary!E539</f>
        <v>3</v>
      </c>
      <c r="F540" s="46">
        <f>[3]Summary!F539</f>
        <v>43</v>
      </c>
      <c r="G540" s="48">
        <f t="shared" si="8"/>
        <v>129</v>
      </c>
      <c r="H540" s="48" t="s">
        <v>5395</v>
      </c>
      <c r="I540" s="45"/>
    </row>
    <row r="541" spans="1:9" ht="23.25">
      <c r="A541" s="177">
        <v>537</v>
      </c>
      <c r="B541" s="41" t="s">
        <v>1154</v>
      </c>
      <c r="C541" s="42" t="s">
        <v>1155</v>
      </c>
      <c r="D541" s="178" t="s">
        <v>135</v>
      </c>
      <c r="E541" s="43">
        <f>[3]Summary!E540</f>
        <v>2.75</v>
      </c>
      <c r="F541" s="179">
        <f>[3]Summary!F540</f>
        <v>304</v>
      </c>
      <c r="G541" s="44">
        <f t="shared" si="8"/>
        <v>836</v>
      </c>
      <c r="H541" s="44" t="s">
        <v>5395</v>
      </c>
      <c r="I541" s="41"/>
    </row>
    <row r="542" spans="1:9" ht="23.25">
      <c r="A542" s="201">
        <v>538</v>
      </c>
      <c r="B542" s="45" t="s">
        <v>1156</v>
      </c>
      <c r="C542" s="1" t="s">
        <v>1157</v>
      </c>
      <c r="D542" s="46" t="s">
        <v>135</v>
      </c>
      <c r="E542" s="47">
        <f>[3]Summary!E541</f>
        <v>1</v>
      </c>
      <c r="F542" s="46">
        <f>[3]Summary!F541</f>
        <v>905</v>
      </c>
      <c r="G542" s="48">
        <f t="shared" si="8"/>
        <v>905</v>
      </c>
      <c r="H542" s="48" t="s">
        <v>1612</v>
      </c>
      <c r="I542" s="45"/>
    </row>
    <row r="543" spans="1:9" ht="23.25">
      <c r="A543" s="177">
        <v>539</v>
      </c>
      <c r="B543" s="41" t="s">
        <v>1158</v>
      </c>
      <c r="C543" s="42" t="s">
        <v>1159</v>
      </c>
      <c r="D543" s="178" t="s">
        <v>135</v>
      </c>
      <c r="E543" s="43">
        <f>[3]Summary!E542</f>
        <v>2</v>
      </c>
      <c r="F543" s="179">
        <f>[3]Summary!F542</f>
        <v>858</v>
      </c>
      <c r="G543" s="44">
        <f t="shared" si="8"/>
        <v>1716</v>
      </c>
      <c r="H543" s="44" t="s">
        <v>1612</v>
      </c>
      <c r="I543" s="41"/>
    </row>
    <row r="544" spans="1:9" ht="46.5">
      <c r="A544" s="201">
        <v>540</v>
      </c>
      <c r="B544" s="45" t="s">
        <v>1160</v>
      </c>
      <c r="C544" s="1" t="s">
        <v>1161</v>
      </c>
      <c r="D544" s="46" t="s">
        <v>135</v>
      </c>
      <c r="E544" s="47">
        <f>[3]Summary!E543</f>
        <v>24</v>
      </c>
      <c r="F544" s="46">
        <f>[3]Summary!F543</f>
        <v>0</v>
      </c>
      <c r="G544" s="48">
        <f t="shared" si="8"/>
        <v>0</v>
      </c>
      <c r="H544" s="48" t="s">
        <v>5395</v>
      </c>
      <c r="I544" s="45"/>
    </row>
    <row r="545" spans="1:9" ht="23.25">
      <c r="A545" s="177">
        <v>541</v>
      </c>
      <c r="B545" s="41" t="s">
        <v>1162</v>
      </c>
      <c r="C545" s="42" t="s">
        <v>1163</v>
      </c>
      <c r="D545" s="178" t="s">
        <v>135</v>
      </c>
      <c r="E545" s="43">
        <f>[3]Summary!E544</f>
        <v>3.5</v>
      </c>
      <c r="F545" s="179">
        <f>[3]Summary!F544</f>
        <v>0</v>
      </c>
      <c r="G545" s="44">
        <f t="shared" si="8"/>
        <v>0</v>
      </c>
      <c r="H545" s="44" t="s">
        <v>5395</v>
      </c>
      <c r="I545" s="41"/>
    </row>
    <row r="546" spans="1:9" ht="23.25">
      <c r="A546" s="201">
        <v>542</v>
      </c>
      <c r="B546" s="45" t="s">
        <v>1164</v>
      </c>
      <c r="C546" s="1" t="s">
        <v>1165</v>
      </c>
      <c r="D546" s="46" t="s">
        <v>135</v>
      </c>
      <c r="E546" s="47">
        <f>[3]Summary!E545</f>
        <v>6.4</v>
      </c>
      <c r="F546" s="46">
        <f>[3]Summary!F545</f>
        <v>6</v>
      </c>
      <c r="G546" s="48">
        <f t="shared" si="8"/>
        <v>38.400000000000006</v>
      </c>
      <c r="H546" s="48" t="s">
        <v>1606</v>
      </c>
      <c r="I546" s="45"/>
    </row>
    <row r="547" spans="1:9" ht="30" customHeight="1">
      <c r="A547" s="177">
        <v>543</v>
      </c>
      <c r="B547" s="41" t="s">
        <v>1166</v>
      </c>
      <c r="C547" s="42" t="s">
        <v>1167</v>
      </c>
      <c r="D547" s="178" t="s">
        <v>135</v>
      </c>
      <c r="E547" s="43">
        <f>[3]Summary!E546</f>
        <v>8.5</v>
      </c>
      <c r="F547" s="179">
        <f>[3]Summary!F546</f>
        <v>0</v>
      </c>
      <c r="G547" s="44">
        <f t="shared" si="8"/>
        <v>0</v>
      </c>
      <c r="H547" s="44" t="s">
        <v>5394</v>
      </c>
      <c r="I547" s="41"/>
    </row>
    <row r="548" spans="1:9" ht="23.25">
      <c r="A548" s="201">
        <v>544</v>
      </c>
      <c r="B548" s="45" t="s">
        <v>1168</v>
      </c>
      <c r="C548" s="1" t="s">
        <v>1169</v>
      </c>
      <c r="D548" s="46" t="s">
        <v>135</v>
      </c>
      <c r="E548" s="47">
        <f>[3]Summary!E547</f>
        <v>0</v>
      </c>
      <c r="F548" s="46">
        <f>[3]Summary!F547</f>
        <v>0</v>
      </c>
      <c r="G548" s="48">
        <f t="shared" si="8"/>
        <v>0</v>
      </c>
      <c r="H548" s="48" t="s">
        <v>5394</v>
      </c>
      <c r="I548" s="45"/>
    </row>
    <row r="549" spans="1:9" ht="46.5">
      <c r="A549" s="177">
        <v>545</v>
      </c>
      <c r="B549" s="41" t="s">
        <v>1170</v>
      </c>
      <c r="C549" s="42" t="s">
        <v>1171</v>
      </c>
      <c r="D549" s="178" t="s">
        <v>135</v>
      </c>
      <c r="E549" s="43">
        <f>[3]Summary!E548</f>
        <v>10</v>
      </c>
      <c r="F549" s="179">
        <f>[3]Summary!F548</f>
        <v>3</v>
      </c>
      <c r="G549" s="44">
        <f t="shared" si="8"/>
        <v>30</v>
      </c>
      <c r="H549" s="44" t="s">
        <v>5389</v>
      </c>
      <c r="I549" s="41"/>
    </row>
    <row r="550" spans="1:9" ht="46.5">
      <c r="A550" s="201">
        <v>546</v>
      </c>
      <c r="B550" s="45" t="s">
        <v>1172</v>
      </c>
      <c r="C550" s="1" t="s">
        <v>1173</v>
      </c>
      <c r="D550" s="46" t="s">
        <v>135</v>
      </c>
      <c r="E550" s="47">
        <f>[3]Summary!E549</f>
        <v>0.08</v>
      </c>
      <c r="F550" s="46">
        <f>[3]Summary!F549</f>
        <v>890</v>
      </c>
      <c r="G550" s="48">
        <f t="shared" si="8"/>
        <v>71.2</v>
      </c>
      <c r="H550" s="48" t="s">
        <v>5389</v>
      </c>
      <c r="I550" s="45"/>
    </row>
    <row r="551" spans="1:9" ht="46.5">
      <c r="A551" s="177">
        <v>547</v>
      </c>
      <c r="B551" s="41" t="s">
        <v>1174</v>
      </c>
      <c r="C551" s="42" t="s">
        <v>1175</v>
      </c>
      <c r="D551" s="178" t="s">
        <v>135</v>
      </c>
      <c r="E551" s="43">
        <f>[3]Summary!E550</f>
        <v>1.5</v>
      </c>
      <c r="F551" s="179">
        <f>[3]Summary!F550</f>
        <v>12</v>
      </c>
      <c r="G551" s="44">
        <f t="shared" si="8"/>
        <v>18</v>
      </c>
      <c r="H551" s="44" t="s">
        <v>5389</v>
      </c>
      <c r="I551" s="41"/>
    </row>
    <row r="552" spans="1:9" ht="46.5">
      <c r="A552" s="201">
        <v>548</v>
      </c>
      <c r="B552" s="45" t="s">
        <v>1176</v>
      </c>
      <c r="C552" s="1" t="s">
        <v>1177</v>
      </c>
      <c r="D552" s="46" t="s">
        <v>135</v>
      </c>
      <c r="E552" s="47">
        <f>[3]Summary!E551</f>
        <v>1.65</v>
      </c>
      <c r="F552" s="46">
        <f>[3]Summary!F551</f>
        <v>168</v>
      </c>
      <c r="G552" s="48">
        <f t="shared" si="8"/>
        <v>277.2</v>
      </c>
      <c r="H552" s="48" t="s">
        <v>5389</v>
      </c>
      <c r="I552" s="45"/>
    </row>
    <row r="553" spans="1:9" ht="46.5">
      <c r="A553" s="177">
        <v>549</v>
      </c>
      <c r="B553" s="41" t="s">
        <v>1178</v>
      </c>
      <c r="C553" s="42" t="s">
        <v>1179</v>
      </c>
      <c r="D553" s="178" t="s">
        <v>135</v>
      </c>
      <c r="E553" s="43">
        <f>[3]Summary!E552</f>
        <v>0.11</v>
      </c>
      <c r="F553" s="179">
        <f>[3]Summary!F552</f>
        <v>0</v>
      </c>
      <c r="G553" s="44">
        <f t="shared" si="8"/>
        <v>0</v>
      </c>
      <c r="H553" s="44" t="s">
        <v>5389</v>
      </c>
      <c r="I553" s="41"/>
    </row>
    <row r="554" spans="1:9" ht="46.5">
      <c r="A554" s="201">
        <v>550</v>
      </c>
      <c r="B554" s="45" t="s">
        <v>1180</v>
      </c>
      <c r="C554" s="1" t="s">
        <v>1181</v>
      </c>
      <c r="D554" s="46" t="s">
        <v>135</v>
      </c>
      <c r="E554" s="47">
        <f>[3]Summary!E553</f>
        <v>2</v>
      </c>
      <c r="F554" s="46">
        <f>[3]Summary!F553</f>
        <v>0</v>
      </c>
      <c r="G554" s="48">
        <f t="shared" si="8"/>
        <v>0</v>
      </c>
      <c r="H554" s="48" t="s">
        <v>5389</v>
      </c>
      <c r="I554" s="45"/>
    </row>
    <row r="555" spans="1:9" ht="46.5">
      <c r="A555" s="177">
        <v>551</v>
      </c>
      <c r="B555" s="41" t="s">
        <v>1182</v>
      </c>
      <c r="C555" s="42" t="s">
        <v>1183</v>
      </c>
      <c r="D555" s="178" t="s">
        <v>135</v>
      </c>
      <c r="E555" s="43">
        <f>[3]Summary!E554</f>
        <v>0.38</v>
      </c>
      <c r="F555" s="179">
        <f>[3]Summary!F554</f>
        <v>250</v>
      </c>
      <c r="G555" s="44">
        <f t="shared" si="8"/>
        <v>95</v>
      </c>
      <c r="H555" s="44" t="s">
        <v>5389</v>
      </c>
      <c r="I555" s="41"/>
    </row>
    <row r="556" spans="1:9" ht="46.5">
      <c r="A556" s="201">
        <v>552</v>
      </c>
      <c r="B556" s="45" t="s">
        <v>1184</v>
      </c>
      <c r="C556" s="1" t="s">
        <v>1185</v>
      </c>
      <c r="D556" s="46" t="s">
        <v>135</v>
      </c>
      <c r="E556" s="47">
        <f>[3]Summary!E555</f>
        <v>3.5</v>
      </c>
      <c r="F556" s="46">
        <f>[3]Summary!F555</f>
        <v>0</v>
      </c>
      <c r="G556" s="48">
        <f t="shared" si="8"/>
        <v>0</v>
      </c>
      <c r="H556" s="48" t="s">
        <v>5389</v>
      </c>
      <c r="I556" s="45"/>
    </row>
    <row r="557" spans="1:9" ht="46.5">
      <c r="A557" s="177">
        <v>553</v>
      </c>
      <c r="B557" s="41" t="s">
        <v>1186</v>
      </c>
      <c r="C557" s="42" t="s">
        <v>1187</v>
      </c>
      <c r="D557" s="178" t="s">
        <v>135</v>
      </c>
      <c r="E557" s="43">
        <f>[3]Summary!E556</f>
        <v>0.22</v>
      </c>
      <c r="F557" s="179">
        <f>[3]Summary!F556</f>
        <v>0</v>
      </c>
      <c r="G557" s="44">
        <f t="shared" si="8"/>
        <v>0</v>
      </c>
      <c r="H557" s="44" t="s">
        <v>5389</v>
      </c>
      <c r="I557" s="41"/>
    </row>
    <row r="558" spans="1:9" ht="46.5">
      <c r="A558" s="201">
        <v>554</v>
      </c>
      <c r="B558" s="45" t="s">
        <v>1188</v>
      </c>
      <c r="C558" s="1" t="s">
        <v>1189</v>
      </c>
      <c r="D558" s="46" t="s">
        <v>135</v>
      </c>
      <c r="E558" s="47">
        <f>[3]Summary!E557</f>
        <v>0.5</v>
      </c>
      <c r="F558" s="46">
        <f>[3]Summary!F557</f>
        <v>249</v>
      </c>
      <c r="G558" s="48">
        <f t="shared" si="8"/>
        <v>124.5</v>
      </c>
      <c r="H558" s="48" t="s">
        <v>5389</v>
      </c>
      <c r="I558" s="45"/>
    </row>
    <row r="559" spans="1:9" ht="46.5">
      <c r="A559" s="177">
        <v>555</v>
      </c>
      <c r="B559" s="41" t="s">
        <v>1190</v>
      </c>
      <c r="C559" s="42" t="s">
        <v>1191</v>
      </c>
      <c r="D559" s="178" t="s">
        <v>135</v>
      </c>
      <c r="E559" s="43">
        <f>[3]Summary!E558</f>
        <v>1.4E-2</v>
      </c>
      <c r="F559" s="179">
        <f>[3]Summary!F558</f>
        <v>50</v>
      </c>
      <c r="G559" s="44">
        <f t="shared" si="8"/>
        <v>0.70000000000000007</v>
      </c>
      <c r="H559" s="44" t="s">
        <v>5389</v>
      </c>
      <c r="I559" s="41"/>
    </row>
    <row r="560" spans="1:9" ht="46.5">
      <c r="A560" s="201">
        <v>556</v>
      </c>
      <c r="B560" s="45" t="s">
        <v>1192</v>
      </c>
      <c r="C560" s="1" t="s">
        <v>1193</v>
      </c>
      <c r="D560" s="46" t="s">
        <v>135</v>
      </c>
      <c r="E560" s="47">
        <f>[3]Summary!E559</f>
        <v>0.75</v>
      </c>
      <c r="F560" s="46">
        <f>[3]Summary!F559</f>
        <v>111</v>
      </c>
      <c r="G560" s="48">
        <f t="shared" si="8"/>
        <v>83.25</v>
      </c>
      <c r="H560" s="48" t="s">
        <v>5389</v>
      </c>
      <c r="I560" s="45"/>
    </row>
    <row r="561" spans="1:9" ht="46.5">
      <c r="A561" s="177">
        <v>557</v>
      </c>
      <c r="B561" s="41" t="s">
        <v>1194</v>
      </c>
      <c r="C561" s="42" t="s">
        <v>1195</v>
      </c>
      <c r="D561" s="178" t="s">
        <v>135</v>
      </c>
      <c r="E561" s="43">
        <f>[3]Summary!E560</f>
        <v>0.75</v>
      </c>
      <c r="F561" s="179">
        <f>[3]Summary!F560</f>
        <v>40</v>
      </c>
      <c r="G561" s="44">
        <f t="shared" si="8"/>
        <v>30</v>
      </c>
      <c r="H561" s="44" t="s">
        <v>5389</v>
      </c>
      <c r="I561" s="41"/>
    </row>
    <row r="562" spans="1:9" ht="46.5">
      <c r="A562" s="201">
        <v>558</v>
      </c>
      <c r="B562" s="45" t="s">
        <v>1703</v>
      </c>
      <c r="C562" s="1" t="s">
        <v>1704</v>
      </c>
      <c r="D562" s="46" t="s">
        <v>135</v>
      </c>
      <c r="E562" s="47">
        <f>[3]Summary!E561</f>
        <v>0.2</v>
      </c>
      <c r="F562" s="46">
        <f>[3]Summary!F561</f>
        <v>0</v>
      </c>
      <c r="G562" s="48">
        <f t="shared" si="8"/>
        <v>0</v>
      </c>
      <c r="H562" s="48" t="s">
        <v>5389</v>
      </c>
      <c r="I562" s="45"/>
    </row>
    <row r="563" spans="1:9" ht="23.25">
      <c r="A563" s="177">
        <v>559</v>
      </c>
      <c r="B563" s="41" t="s">
        <v>1196</v>
      </c>
      <c r="C563" s="42" t="s">
        <v>1197</v>
      </c>
      <c r="D563" s="178" t="s">
        <v>135</v>
      </c>
      <c r="E563" s="43">
        <f>[3]Summary!E562</f>
        <v>25</v>
      </c>
      <c r="F563" s="179">
        <f>[3]Summary!F562</f>
        <v>0</v>
      </c>
      <c r="G563" s="44">
        <f t="shared" si="8"/>
        <v>0</v>
      </c>
      <c r="H563" s="44" t="s">
        <v>5390</v>
      </c>
      <c r="I563" s="41"/>
    </row>
    <row r="564" spans="1:9" ht="23.25">
      <c r="A564" s="201">
        <v>560</v>
      </c>
      <c r="B564" s="45" t="s">
        <v>1198</v>
      </c>
      <c r="C564" s="1" t="s">
        <v>1199</v>
      </c>
      <c r="D564" s="46" t="s">
        <v>135</v>
      </c>
      <c r="E564" s="47">
        <f>[3]Summary!E563</f>
        <v>40</v>
      </c>
      <c r="F564" s="46">
        <f>[3]Summary!F563</f>
        <v>0</v>
      </c>
      <c r="G564" s="48">
        <f t="shared" si="8"/>
        <v>0</v>
      </c>
      <c r="H564" s="48" t="s">
        <v>5390</v>
      </c>
      <c r="I564" s="45"/>
    </row>
    <row r="565" spans="1:9" ht="23.25">
      <c r="A565" s="177">
        <v>561</v>
      </c>
      <c r="B565" s="41" t="s">
        <v>1200</v>
      </c>
      <c r="C565" s="42" t="s">
        <v>1201</v>
      </c>
      <c r="D565" s="178" t="s">
        <v>135</v>
      </c>
      <c r="E565" s="43">
        <f>[3]Summary!E564</f>
        <v>75</v>
      </c>
      <c r="F565" s="179">
        <f>[3]Summary!F564</f>
        <v>0</v>
      </c>
      <c r="G565" s="44">
        <f t="shared" si="8"/>
        <v>0</v>
      </c>
      <c r="H565" s="44" t="s">
        <v>5390</v>
      </c>
      <c r="I565" s="41"/>
    </row>
    <row r="566" spans="1:9" ht="23.25">
      <c r="A566" s="201">
        <v>562</v>
      </c>
      <c r="B566" s="45" t="s">
        <v>1202</v>
      </c>
      <c r="C566" s="1" t="s">
        <v>1203</v>
      </c>
      <c r="D566" s="46" t="s">
        <v>135</v>
      </c>
      <c r="E566" s="47">
        <f>[3]Summary!E565</f>
        <v>25</v>
      </c>
      <c r="F566" s="46">
        <f>[3]Summary!F565</f>
        <v>0</v>
      </c>
      <c r="G566" s="48">
        <f t="shared" si="8"/>
        <v>0</v>
      </c>
      <c r="H566" s="48" t="s">
        <v>5395</v>
      </c>
      <c r="I566" s="45"/>
    </row>
    <row r="567" spans="1:9" ht="46.5">
      <c r="A567" s="177">
        <v>563</v>
      </c>
      <c r="B567" s="41" t="s">
        <v>1204</v>
      </c>
      <c r="C567" s="42" t="s">
        <v>1205</v>
      </c>
      <c r="D567" s="178" t="s">
        <v>135</v>
      </c>
      <c r="E567" s="43">
        <f>[3]Summary!E566</f>
        <v>1.75</v>
      </c>
      <c r="F567" s="179">
        <f>[3]Summary!F566</f>
        <v>42</v>
      </c>
      <c r="G567" s="44">
        <f t="shared" si="8"/>
        <v>73.5</v>
      </c>
      <c r="H567" s="44" t="s">
        <v>5397</v>
      </c>
      <c r="I567" s="41"/>
    </row>
    <row r="568" spans="1:9" ht="23.25">
      <c r="A568" s="201">
        <v>564</v>
      </c>
      <c r="B568" s="45" t="s">
        <v>1206</v>
      </c>
      <c r="C568" s="1" t="s">
        <v>1207</v>
      </c>
      <c r="D568" s="46" t="s">
        <v>135</v>
      </c>
      <c r="E568" s="47">
        <f>[3]Summary!E567</f>
        <v>7.5</v>
      </c>
      <c r="F568" s="46">
        <f>[3]Summary!F567</f>
        <v>7</v>
      </c>
      <c r="G568" s="48">
        <f t="shared" si="8"/>
        <v>52.5</v>
      </c>
      <c r="H568" s="48" t="s">
        <v>1606</v>
      </c>
      <c r="I568" s="45"/>
    </row>
    <row r="569" spans="1:9" ht="23.25">
      <c r="A569" s="177">
        <v>565</v>
      </c>
      <c r="B569" s="41" t="s">
        <v>5792</v>
      </c>
      <c r="C569" s="42" t="s">
        <v>1208</v>
      </c>
      <c r="D569" s="178" t="s">
        <v>135</v>
      </c>
      <c r="E569" s="43">
        <f>[3]Summary!E568</f>
        <v>3.125</v>
      </c>
      <c r="F569" s="179">
        <f>[3]Summary!F568</f>
        <v>16.5</v>
      </c>
      <c r="G569" s="44">
        <f t="shared" si="8"/>
        <v>51.5625</v>
      </c>
      <c r="H569" s="44" t="s">
        <v>1606</v>
      </c>
      <c r="I569" s="41"/>
    </row>
    <row r="570" spans="1:9" ht="23.25">
      <c r="A570" s="201">
        <v>566</v>
      </c>
      <c r="B570" s="45" t="s">
        <v>5793</v>
      </c>
      <c r="C570" s="1" t="s">
        <v>1209</v>
      </c>
      <c r="D570" s="46" t="s">
        <v>135</v>
      </c>
      <c r="E570" s="47">
        <f>[3]Summary!E569</f>
        <v>2.2000000000000002</v>
      </c>
      <c r="F570" s="46">
        <f>[3]Summary!F569</f>
        <v>11</v>
      </c>
      <c r="G570" s="48">
        <f t="shared" si="8"/>
        <v>24.200000000000003</v>
      </c>
      <c r="H570" s="48" t="s">
        <v>1606</v>
      </c>
      <c r="I570" s="45"/>
    </row>
    <row r="571" spans="1:9" ht="46.5">
      <c r="A571" s="177">
        <v>567</v>
      </c>
      <c r="B571" s="41" t="s">
        <v>1705</v>
      </c>
      <c r="C571" s="42" t="s">
        <v>1706</v>
      </c>
      <c r="D571" s="178" t="s">
        <v>135</v>
      </c>
      <c r="E571" s="43">
        <f>[3]Summary!E570</f>
        <v>2</v>
      </c>
      <c r="F571" s="179">
        <f>[3]Summary!F570</f>
        <v>0</v>
      </c>
      <c r="G571" s="44">
        <f t="shared" si="8"/>
        <v>0</v>
      </c>
      <c r="H571" s="44" t="s">
        <v>1606</v>
      </c>
      <c r="I571" s="41"/>
    </row>
    <row r="572" spans="1:9" ht="46.5">
      <c r="A572" s="201">
        <v>568</v>
      </c>
      <c r="B572" s="45" t="s">
        <v>1210</v>
      </c>
      <c r="C572" s="1" t="s">
        <v>1211</v>
      </c>
      <c r="D572" s="46" t="s">
        <v>135</v>
      </c>
      <c r="E572" s="47">
        <f>[3]Summary!E571</f>
        <v>0.54</v>
      </c>
      <c r="F572" s="46">
        <f>[3]Summary!F571</f>
        <v>0</v>
      </c>
      <c r="G572" s="48">
        <f t="shared" si="8"/>
        <v>0</v>
      </c>
      <c r="H572" s="48" t="s">
        <v>1606</v>
      </c>
      <c r="I572" s="45"/>
    </row>
    <row r="573" spans="1:9" ht="23.25">
      <c r="A573" s="177">
        <v>569</v>
      </c>
      <c r="B573" s="41" t="s">
        <v>1212</v>
      </c>
      <c r="C573" s="42" t="s">
        <v>1213</v>
      </c>
      <c r="D573" s="178" t="s">
        <v>135</v>
      </c>
      <c r="E573" s="43">
        <f>[3]Summary!E572</f>
        <v>2.5</v>
      </c>
      <c r="F573" s="179">
        <f>[3]Summary!F572</f>
        <v>0</v>
      </c>
      <c r="G573" s="44">
        <f t="shared" si="8"/>
        <v>0</v>
      </c>
      <c r="H573" s="44" t="s">
        <v>1606</v>
      </c>
      <c r="I573" s="41"/>
    </row>
    <row r="574" spans="1:9" ht="23.25">
      <c r="A574" s="201">
        <v>570</v>
      </c>
      <c r="B574" s="45" t="s">
        <v>1214</v>
      </c>
      <c r="C574" s="1" t="s">
        <v>1215</v>
      </c>
      <c r="D574" s="46" t="s">
        <v>135</v>
      </c>
      <c r="E574" s="47">
        <f>[3]Summary!E573</f>
        <v>6.875</v>
      </c>
      <c r="F574" s="46">
        <f>[3]Summary!F573</f>
        <v>2</v>
      </c>
      <c r="G574" s="48">
        <f t="shared" si="8"/>
        <v>13.75</v>
      </c>
      <c r="H574" s="48" t="s">
        <v>1606</v>
      </c>
      <c r="I574" s="45"/>
    </row>
    <row r="575" spans="1:9" ht="23.25">
      <c r="A575" s="177">
        <v>571</v>
      </c>
      <c r="B575" s="41" t="s">
        <v>1216</v>
      </c>
      <c r="C575" s="42" t="s">
        <v>1217</v>
      </c>
      <c r="D575" s="178" t="s">
        <v>135</v>
      </c>
      <c r="E575" s="43">
        <f>[3]Summary!E574</f>
        <v>13.125</v>
      </c>
      <c r="F575" s="179">
        <f>[3]Summary!F574</f>
        <v>2</v>
      </c>
      <c r="G575" s="44">
        <f t="shared" si="8"/>
        <v>26.25</v>
      </c>
      <c r="H575" s="44" t="s">
        <v>1606</v>
      </c>
      <c r="I575" s="41"/>
    </row>
    <row r="576" spans="1:9" ht="23.25">
      <c r="A576" s="201">
        <v>572</v>
      </c>
      <c r="B576" s="45" t="s">
        <v>1218</v>
      </c>
      <c r="C576" s="1" t="s">
        <v>1219</v>
      </c>
      <c r="D576" s="46" t="s">
        <v>135</v>
      </c>
      <c r="E576" s="47">
        <f>[3]Summary!E575</f>
        <v>3</v>
      </c>
      <c r="F576" s="46">
        <f>[3]Summary!F575</f>
        <v>544</v>
      </c>
      <c r="G576" s="48">
        <f t="shared" si="8"/>
        <v>1632</v>
      </c>
      <c r="H576" s="48" t="s">
        <v>1606</v>
      </c>
      <c r="I576" s="45"/>
    </row>
    <row r="577" spans="1:9" ht="46.5">
      <c r="A577" s="177">
        <v>573</v>
      </c>
      <c r="B577" s="41" t="s">
        <v>1220</v>
      </c>
      <c r="C577" s="42" t="s">
        <v>1221</v>
      </c>
      <c r="D577" s="178" t="s">
        <v>135</v>
      </c>
      <c r="E577" s="43">
        <f>[3]Summary!E576</f>
        <v>22.5</v>
      </c>
      <c r="F577" s="179">
        <f>[3]Summary!F576</f>
        <v>0</v>
      </c>
      <c r="G577" s="44">
        <f t="shared" si="8"/>
        <v>0</v>
      </c>
      <c r="H577" s="44" t="s">
        <v>1606</v>
      </c>
      <c r="I577" s="41"/>
    </row>
    <row r="578" spans="1:9" ht="23.25">
      <c r="A578" s="201">
        <v>574</v>
      </c>
      <c r="B578" s="45" t="s">
        <v>1222</v>
      </c>
      <c r="C578" s="1" t="s">
        <v>1223</v>
      </c>
      <c r="D578" s="46" t="s">
        <v>135</v>
      </c>
      <c r="E578" s="47">
        <f>[3]Summary!E577</f>
        <v>5.5</v>
      </c>
      <c r="F578" s="46">
        <f>[3]Summary!F577</f>
        <v>3451</v>
      </c>
      <c r="G578" s="48">
        <f t="shared" si="8"/>
        <v>18980.5</v>
      </c>
      <c r="H578" s="48" t="s">
        <v>1606</v>
      </c>
      <c r="I578" s="45"/>
    </row>
    <row r="579" spans="1:9" ht="23.25">
      <c r="A579" s="177">
        <v>575</v>
      </c>
      <c r="B579" s="41" t="s">
        <v>1224</v>
      </c>
      <c r="C579" s="42" t="s">
        <v>1225</v>
      </c>
      <c r="D579" s="178" t="s">
        <v>135</v>
      </c>
      <c r="E579" s="43">
        <f>[3]Summary!E578</f>
        <v>3.5</v>
      </c>
      <c r="F579" s="179">
        <f>[3]Summary!F578</f>
        <v>79</v>
      </c>
      <c r="G579" s="44">
        <f t="shared" si="8"/>
        <v>276.5</v>
      </c>
      <c r="H579" s="44" t="s">
        <v>1606</v>
      </c>
      <c r="I579" s="41"/>
    </row>
    <row r="580" spans="1:9" ht="23.25">
      <c r="A580" s="201">
        <v>576</v>
      </c>
      <c r="B580" s="45" t="s">
        <v>1226</v>
      </c>
      <c r="C580" s="1" t="s">
        <v>1227</v>
      </c>
      <c r="D580" s="46" t="s">
        <v>135</v>
      </c>
      <c r="E580" s="47">
        <f>[3]Summary!E579</f>
        <v>3.5</v>
      </c>
      <c r="F580" s="46">
        <f>[3]Summary!F579</f>
        <v>4025</v>
      </c>
      <c r="G580" s="48">
        <f t="shared" si="8"/>
        <v>14087.5</v>
      </c>
      <c r="H580" s="48" t="s">
        <v>1606</v>
      </c>
      <c r="I580" s="45"/>
    </row>
    <row r="581" spans="1:9" ht="23.25">
      <c r="A581" s="177">
        <v>577</v>
      </c>
      <c r="B581" s="41" t="s">
        <v>1228</v>
      </c>
      <c r="C581" s="42" t="s">
        <v>1229</v>
      </c>
      <c r="D581" s="178" t="s">
        <v>135</v>
      </c>
      <c r="E581" s="43">
        <f>[3]Summary!E580</f>
        <v>42.5</v>
      </c>
      <c r="F581" s="179">
        <f>[3]Summary!F580</f>
        <v>0</v>
      </c>
      <c r="G581" s="44">
        <f t="shared" ref="G581:G644" si="9">F581*E581</f>
        <v>0</v>
      </c>
      <c r="H581" s="44" t="s">
        <v>1606</v>
      </c>
      <c r="I581" s="41"/>
    </row>
    <row r="582" spans="1:9" ht="23.25">
      <c r="A582" s="201">
        <v>578</v>
      </c>
      <c r="B582" s="45" t="s">
        <v>1230</v>
      </c>
      <c r="C582" s="1" t="s">
        <v>1231</v>
      </c>
      <c r="D582" s="46" t="s">
        <v>135</v>
      </c>
      <c r="E582" s="47">
        <f>[3]Summary!E581</f>
        <v>4</v>
      </c>
      <c r="F582" s="46">
        <f>[3]Summary!F581</f>
        <v>7</v>
      </c>
      <c r="G582" s="48">
        <f t="shared" si="9"/>
        <v>28</v>
      </c>
      <c r="H582" s="48" t="s">
        <v>1606</v>
      </c>
      <c r="I582" s="45"/>
    </row>
    <row r="583" spans="1:9" ht="46.5">
      <c r="A583" s="177">
        <v>579</v>
      </c>
      <c r="B583" s="41" t="s">
        <v>1232</v>
      </c>
      <c r="C583" s="42" t="s">
        <v>1233</v>
      </c>
      <c r="D583" s="178" t="s">
        <v>135</v>
      </c>
      <c r="E583" s="43">
        <f>[3]Summary!E582</f>
        <v>185</v>
      </c>
      <c r="F583" s="179">
        <f>[3]Summary!F582</f>
        <v>2</v>
      </c>
      <c r="G583" s="44">
        <f t="shared" si="9"/>
        <v>370</v>
      </c>
      <c r="H583" s="44" t="s">
        <v>5402</v>
      </c>
      <c r="I583" s="41"/>
    </row>
    <row r="584" spans="1:9" ht="23.25">
      <c r="A584" s="201">
        <v>580</v>
      </c>
      <c r="B584" s="45" t="s">
        <v>1234</v>
      </c>
      <c r="C584" s="1" t="s">
        <v>1235</v>
      </c>
      <c r="D584" s="46" t="s">
        <v>135</v>
      </c>
      <c r="E584" s="47">
        <f>[3]Summary!E583</f>
        <v>10</v>
      </c>
      <c r="F584" s="46">
        <f>[3]Summary!F583</f>
        <v>0</v>
      </c>
      <c r="G584" s="48">
        <f t="shared" si="9"/>
        <v>0</v>
      </c>
      <c r="H584" s="48" t="s">
        <v>5393</v>
      </c>
      <c r="I584" s="45"/>
    </row>
    <row r="585" spans="1:9" ht="23.25">
      <c r="A585" s="177">
        <v>581</v>
      </c>
      <c r="B585" s="41" t="s">
        <v>1236</v>
      </c>
      <c r="C585" s="42" t="s">
        <v>1237</v>
      </c>
      <c r="D585" s="178" t="s">
        <v>135</v>
      </c>
      <c r="E585" s="43">
        <f>[3]Summary!E584</f>
        <v>40</v>
      </c>
      <c r="F585" s="179">
        <f>[3]Summary!F584</f>
        <v>0</v>
      </c>
      <c r="G585" s="44">
        <f t="shared" si="9"/>
        <v>0</v>
      </c>
      <c r="H585" s="44" t="s">
        <v>5393</v>
      </c>
      <c r="I585" s="41"/>
    </row>
    <row r="586" spans="1:9" ht="23.25">
      <c r="A586" s="201">
        <v>582</v>
      </c>
      <c r="B586" s="45" t="s">
        <v>1238</v>
      </c>
      <c r="C586" s="1" t="s">
        <v>1239</v>
      </c>
      <c r="D586" s="46" t="s">
        <v>135</v>
      </c>
      <c r="E586" s="47">
        <f>[3]Summary!E585</f>
        <v>22</v>
      </c>
      <c r="F586" s="46">
        <f>[3]Summary!F585</f>
        <v>7</v>
      </c>
      <c r="G586" s="48">
        <f t="shared" si="9"/>
        <v>154</v>
      </c>
      <c r="H586" s="48" t="s">
        <v>5393</v>
      </c>
      <c r="I586" s="45"/>
    </row>
    <row r="587" spans="1:9" ht="23.25">
      <c r="A587" s="177">
        <v>583</v>
      </c>
      <c r="B587" s="41" t="s">
        <v>1240</v>
      </c>
      <c r="C587" s="42" t="s">
        <v>1241</v>
      </c>
      <c r="D587" s="178" t="s">
        <v>135</v>
      </c>
      <c r="E587" s="43">
        <f>[3]Summary!E586</f>
        <v>28</v>
      </c>
      <c r="F587" s="179">
        <f>[3]Summary!F586</f>
        <v>7</v>
      </c>
      <c r="G587" s="44">
        <f t="shared" si="9"/>
        <v>196</v>
      </c>
      <c r="H587" s="44" t="s">
        <v>5393</v>
      </c>
      <c r="I587" s="41"/>
    </row>
    <row r="588" spans="1:9" ht="23.25">
      <c r="A588" s="201">
        <v>584</v>
      </c>
      <c r="B588" s="45" t="s">
        <v>1242</v>
      </c>
      <c r="C588" s="1" t="s">
        <v>1243</v>
      </c>
      <c r="D588" s="46" t="s">
        <v>135</v>
      </c>
      <c r="E588" s="47">
        <f>[3]Summary!E587</f>
        <v>18</v>
      </c>
      <c r="F588" s="46">
        <f>[3]Summary!F587</f>
        <v>0</v>
      </c>
      <c r="G588" s="48">
        <f t="shared" si="9"/>
        <v>0</v>
      </c>
      <c r="H588" s="48" t="s">
        <v>5393</v>
      </c>
      <c r="I588" s="45"/>
    </row>
    <row r="589" spans="1:9" ht="23.25">
      <c r="A589" s="177">
        <v>585</v>
      </c>
      <c r="B589" s="41" t="s">
        <v>1244</v>
      </c>
      <c r="C589" s="42" t="s">
        <v>1245</v>
      </c>
      <c r="D589" s="178" t="s">
        <v>135</v>
      </c>
      <c r="E589" s="43">
        <f>[3]Summary!E588</f>
        <v>7</v>
      </c>
      <c r="F589" s="179">
        <f>[3]Summary!F588</f>
        <v>0</v>
      </c>
      <c r="G589" s="44">
        <f t="shared" si="9"/>
        <v>0</v>
      </c>
      <c r="H589" s="44" t="s">
        <v>5393</v>
      </c>
      <c r="I589" s="41"/>
    </row>
    <row r="590" spans="1:9" ht="23.25">
      <c r="A590" s="201">
        <v>586</v>
      </c>
      <c r="B590" s="45" t="s">
        <v>1707</v>
      </c>
      <c r="C590" s="1" t="s">
        <v>1708</v>
      </c>
      <c r="D590" s="46" t="s">
        <v>135</v>
      </c>
      <c r="E590" s="47">
        <f>[3]Summary!E589</f>
        <v>14</v>
      </c>
      <c r="F590" s="46">
        <f>[3]Summary!F589</f>
        <v>0</v>
      </c>
      <c r="G590" s="48">
        <f t="shared" si="9"/>
        <v>0</v>
      </c>
      <c r="H590" s="48" t="s">
        <v>5393</v>
      </c>
      <c r="I590" s="45"/>
    </row>
    <row r="591" spans="1:9" ht="46.5">
      <c r="A591" s="177">
        <v>587</v>
      </c>
      <c r="B591" s="41" t="s">
        <v>1246</v>
      </c>
      <c r="C591" s="42" t="s">
        <v>1247</v>
      </c>
      <c r="D591" s="178" t="s">
        <v>135</v>
      </c>
      <c r="E591" s="43">
        <f>[3]Summary!E590</f>
        <v>32</v>
      </c>
      <c r="F591" s="179">
        <f>[3]Summary!F590</f>
        <v>57</v>
      </c>
      <c r="G591" s="44">
        <f t="shared" si="9"/>
        <v>1824</v>
      </c>
      <c r="H591" s="44" t="s">
        <v>5393</v>
      </c>
      <c r="I591" s="41"/>
    </row>
    <row r="592" spans="1:9" ht="23.25">
      <c r="A592" s="201">
        <v>588</v>
      </c>
      <c r="B592" s="45" t="s">
        <v>1248</v>
      </c>
      <c r="C592" s="1" t="s">
        <v>1249</v>
      </c>
      <c r="D592" s="46" t="s">
        <v>135</v>
      </c>
      <c r="E592" s="47">
        <f>[3]Summary!E591</f>
        <v>15</v>
      </c>
      <c r="F592" s="46">
        <f>[3]Summary!F591</f>
        <v>84</v>
      </c>
      <c r="G592" s="48">
        <f t="shared" si="9"/>
        <v>1260</v>
      </c>
      <c r="H592" s="48" t="s">
        <v>5393</v>
      </c>
      <c r="I592" s="45"/>
    </row>
    <row r="593" spans="1:9" ht="46.5">
      <c r="A593" s="177">
        <v>589</v>
      </c>
      <c r="B593" s="41" t="s">
        <v>1250</v>
      </c>
      <c r="C593" s="42" t="s">
        <v>1251</v>
      </c>
      <c r="D593" s="178" t="s">
        <v>135</v>
      </c>
      <c r="E593" s="43">
        <f>[3]Summary!E592</f>
        <v>30</v>
      </c>
      <c r="F593" s="179">
        <f>[3]Summary!F592</f>
        <v>0</v>
      </c>
      <c r="G593" s="44">
        <f t="shared" si="9"/>
        <v>0</v>
      </c>
      <c r="H593" s="44" t="s">
        <v>5393</v>
      </c>
      <c r="I593" s="41"/>
    </row>
    <row r="594" spans="1:9" ht="23.25">
      <c r="A594" s="201">
        <v>590</v>
      </c>
      <c r="B594" s="45" t="s">
        <v>1252</v>
      </c>
      <c r="C594" s="1" t="s">
        <v>1253</v>
      </c>
      <c r="D594" s="46" t="s">
        <v>135</v>
      </c>
      <c r="E594" s="47">
        <f>[3]Summary!E593</f>
        <v>8.5</v>
      </c>
      <c r="F594" s="46">
        <f>[3]Summary!F593</f>
        <v>0</v>
      </c>
      <c r="G594" s="48">
        <f t="shared" si="9"/>
        <v>0</v>
      </c>
      <c r="H594" s="48" t="s">
        <v>5393</v>
      </c>
      <c r="I594" s="45"/>
    </row>
    <row r="595" spans="1:9" ht="46.5">
      <c r="A595" s="177">
        <v>591</v>
      </c>
      <c r="B595" s="41" t="s">
        <v>1254</v>
      </c>
      <c r="C595" s="42" t="s">
        <v>1255</v>
      </c>
      <c r="D595" s="178" t="s">
        <v>135</v>
      </c>
      <c r="E595" s="43">
        <f>[3]Summary!E594</f>
        <v>38</v>
      </c>
      <c r="F595" s="179">
        <f>[3]Summary!F594</f>
        <v>0</v>
      </c>
      <c r="G595" s="44">
        <f t="shared" si="9"/>
        <v>0</v>
      </c>
      <c r="H595" s="44" t="s">
        <v>5393</v>
      </c>
      <c r="I595" s="41"/>
    </row>
    <row r="596" spans="1:9" ht="23.25">
      <c r="A596" s="201">
        <v>592</v>
      </c>
      <c r="B596" s="45" t="s">
        <v>1256</v>
      </c>
      <c r="C596" s="1" t="s">
        <v>1257</v>
      </c>
      <c r="D596" s="46" t="s">
        <v>135</v>
      </c>
      <c r="E596" s="47">
        <f>[3]Summary!E595</f>
        <v>120</v>
      </c>
      <c r="F596" s="46">
        <f>[3]Summary!F595</f>
        <v>0</v>
      </c>
      <c r="G596" s="48">
        <f t="shared" si="9"/>
        <v>0</v>
      </c>
      <c r="H596" s="48" t="s">
        <v>5393</v>
      </c>
      <c r="I596" s="45"/>
    </row>
    <row r="597" spans="1:9" ht="23.25">
      <c r="A597" s="177">
        <v>593</v>
      </c>
      <c r="B597" s="41" t="s">
        <v>1258</v>
      </c>
      <c r="C597" s="42" t="s">
        <v>1259</v>
      </c>
      <c r="D597" s="178" t="s">
        <v>135</v>
      </c>
      <c r="E597" s="43">
        <f>[3]Summary!E596</f>
        <v>65</v>
      </c>
      <c r="F597" s="179">
        <f>[3]Summary!F596</f>
        <v>1</v>
      </c>
      <c r="G597" s="44">
        <f t="shared" si="9"/>
        <v>65</v>
      </c>
      <c r="H597" s="44" t="s">
        <v>5393</v>
      </c>
      <c r="I597" s="41"/>
    </row>
    <row r="598" spans="1:9" ht="23.25">
      <c r="A598" s="201">
        <v>594</v>
      </c>
      <c r="B598" s="45" t="s">
        <v>1260</v>
      </c>
      <c r="C598" s="1" t="s">
        <v>1261</v>
      </c>
      <c r="D598" s="46" t="s">
        <v>135</v>
      </c>
      <c r="E598" s="47">
        <f>[3]Summary!E597</f>
        <v>55</v>
      </c>
      <c r="F598" s="46">
        <f>[3]Summary!F597</f>
        <v>0</v>
      </c>
      <c r="G598" s="48">
        <f t="shared" si="9"/>
        <v>0</v>
      </c>
      <c r="H598" s="48" t="s">
        <v>5393</v>
      </c>
      <c r="I598" s="45"/>
    </row>
    <row r="599" spans="1:9" ht="23.25">
      <c r="A599" s="177">
        <v>595</v>
      </c>
      <c r="B599" s="41" t="s">
        <v>1262</v>
      </c>
      <c r="C599" s="42" t="s">
        <v>1263</v>
      </c>
      <c r="D599" s="178" t="s">
        <v>135</v>
      </c>
      <c r="E599" s="43">
        <f>[3]Summary!E598</f>
        <v>90</v>
      </c>
      <c r="F599" s="179">
        <f>[3]Summary!F598</f>
        <v>1</v>
      </c>
      <c r="G599" s="44">
        <f t="shared" si="9"/>
        <v>90</v>
      </c>
      <c r="H599" s="44" t="s">
        <v>5393</v>
      </c>
      <c r="I599" s="41"/>
    </row>
    <row r="600" spans="1:9" ht="46.5">
      <c r="A600" s="201">
        <v>596</v>
      </c>
      <c r="B600" s="45" t="s">
        <v>1264</v>
      </c>
      <c r="C600" s="1" t="s">
        <v>1265</v>
      </c>
      <c r="D600" s="46" t="s">
        <v>135</v>
      </c>
      <c r="E600" s="47">
        <f>[3]Summary!E599</f>
        <v>4</v>
      </c>
      <c r="F600" s="46">
        <f>[3]Summary!F599</f>
        <v>0</v>
      </c>
      <c r="G600" s="48">
        <f t="shared" si="9"/>
        <v>0</v>
      </c>
      <c r="H600" s="48" t="s">
        <v>5393</v>
      </c>
      <c r="I600" s="45"/>
    </row>
    <row r="601" spans="1:9" ht="23.25">
      <c r="A601" s="177">
        <v>597</v>
      </c>
      <c r="B601" s="41" t="s">
        <v>1266</v>
      </c>
      <c r="C601" s="42" t="s">
        <v>1267</v>
      </c>
      <c r="D601" s="178" t="s">
        <v>135</v>
      </c>
      <c r="E601" s="43">
        <f>[3]Summary!E600</f>
        <v>32</v>
      </c>
      <c r="F601" s="179">
        <f>[3]Summary!F600</f>
        <v>0</v>
      </c>
      <c r="G601" s="44">
        <f t="shared" si="9"/>
        <v>0</v>
      </c>
      <c r="H601" s="44" t="s">
        <v>5393</v>
      </c>
      <c r="I601" s="41"/>
    </row>
    <row r="602" spans="1:9" ht="23.25">
      <c r="A602" s="201">
        <v>598</v>
      </c>
      <c r="B602" s="45" t="s">
        <v>1268</v>
      </c>
      <c r="C602" s="1" t="s">
        <v>1269</v>
      </c>
      <c r="D602" s="46" t="s">
        <v>135</v>
      </c>
      <c r="E602" s="47">
        <f>[3]Summary!E601</f>
        <v>11</v>
      </c>
      <c r="F602" s="46">
        <f>[3]Summary!F601</f>
        <v>1</v>
      </c>
      <c r="G602" s="48">
        <f t="shared" si="9"/>
        <v>11</v>
      </c>
      <c r="H602" s="48" t="s">
        <v>5393</v>
      </c>
      <c r="I602" s="45"/>
    </row>
    <row r="603" spans="1:9" ht="46.5">
      <c r="A603" s="177">
        <v>599</v>
      </c>
      <c r="B603" s="41" t="s">
        <v>1270</v>
      </c>
      <c r="C603" s="42" t="s">
        <v>1271</v>
      </c>
      <c r="D603" s="178" t="s">
        <v>135</v>
      </c>
      <c r="E603" s="43">
        <f>[3]Summary!E602</f>
        <v>27</v>
      </c>
      <c r="F603" s="179">
        <f>[3]Summary!F602</f>
        <v>86</v>
      </c>
      <c r="G603" s="44">
        <f t="shared" si="9"/>
        <v>2322</v>
      </c>
      <c r="H603" s="44" t="s">
        <v>5393</v>
      </c>
      <c r="I603" s="41"/>
    </row>
    <row r="604" spans="1:9" ht="23.25">
      <c r="A604" s="201">
        <v>600</v>
      </c>
      <c r="B604" s="45" t="s">
        <v>1272</v>
      </c>
      <c r="C604" s="1" t="s">
        <v>1273</v>
      </c>
      <c r="D604" s="46" t="s">
        <v>135</v>
      </c>
      <c r="E604" s="47">
        <f>[3]Summary!E603</f>
        <v>8.5</v>
      </c>
      <c r="F604" s="46">
        <f>[3]Summary!F603</f>
        <v>1</v>
      </c>
      <c r="G604" s="48">
        <f t="shared" si="9"/>
        <v>8.5</v>
      </c>
      <c r="H604" s="48" t="s">
        <v>5393</v>
      </c>
      <c r="I604" s="45"/>
    </row>
    <row r="605" spans="1:9" ht="23.25">
      <c r="A605" s="177">
        <v>601</v>
      </c>
      <c r="B605" s="41" t="s">
        <v>1274</v>
      </c>
      <c r="C605" s="42" t="s">
        <v>1275</v>
      </c>
      <c r="D605" s="178" t="s">
        <v>135</v>
      </c>
      <c r="E605" s="43">
        <f>[3]Summary!E604</f>
        <v>28</v>
      </c>
      <c r="F605" s="179">
        <f>[3]Summary!F604</f>
        <v>1</v>
      </c>
      <c r="G605" s="44">
        <f t="shared" si="9"/>
        <v>28</v>
      </c>
      <c r="H605" s="44" t="s">
        <v>5393</v>
      </c>
      <c r="I605" s="41"/>
    </row>
    <row r="606" spans="1:9" ht="23.25">
      <c r="A606" s="201">
        <v>602</v>
      </c>
      <c r="B606" s="45" t="s">
        <v>1276</v>
      </c>
      <c r="C606" s="1" t="s">
        <v>1277</v>
      </c>
      <c r="D606" s="46" t="s">
        <v>135</v>
      </c>
      <c r="E606" s="47">
        <f>[3]Summary!E605</f>
        <v>16</v>
      </c>
      <c r="F606" s="46">
        <f>[3]Summary!F605</f>
        <v>0</v>
      </c>
      <c r="G606" s="48">
        <f t="shared" si="9"/>
        <v>0</v>
      </c>
      <c r="H606" s="48" t="s">
        <v>5390</v>
      </c>
      <c r="I606" s="45"/>
    </row>
    <row r="607" spans="1:9" ht="23.25">
      <c r="A607" s="177">
        <v>603</v>
      </c>
      <c r="B607" s="41" t="s">
        <v>1278</v>
      </c>
      <c r="C607" s="42" t="s">
        <v>1279</v>
      </c>
      <c r="D607" s="178" t="s">
        <v>135</v>
      </c>
      <c r="E607" s="43">
        <f>[3]Summary!E606</f>
        <v>25</v>
      </c>
      <c r="F607" s="179">
        <f>[3]Summary!F606</f>
        <v>0</v>
      </c>
      <c r="G607" s="44">
        <f t="shared" si="9"/>
        <v>0</v>
      </c>
      <c r="H607" s="44" t="s">
        <v>1612</v>
      </c>
      <c r="I607" s="41"/>
    </row>
    <row r="608" spans="1:9" ht="23.25">
      <c r="A608" s="201">
        <v>604</v>
      </c>
      <c r="B608" s="45" t="s">
        <v>1280</v>
      </c>
      <c r="C608" s="1" t="s">
        <v>1281</v>
      </c>
      <c r="D608" s="46" t="s">
        <v>135</v>
      </c>
      <c r="E608" s="47">
        <f>[3]Summary!E607</f>
        <v>55</v>
      </c>
      <c r="F608" s="46">
        <f>[3]Summary!F607</f>
        <v>0</v>
      </c>
      <c r="G608" s="48">
        <f t="shared" si="9"/>
        <v>0</v>
      </c>
      <c r="H608" s="48" t="s">
        <v>5393</v>
      </c>
      <c r="I608" s="45"/>
    </row>
    <row r="609" spans="1:9" ht="46.5">
      <c r="A609" s="177">
        <v>605</v>
      </c>
      <c r="B609" s="41" t="s">
        <v>1282</v>
      </c>
      <c r="C609" s="42" t="s">
        <v>1283</v>
      </c>
      <c r="D609" s="178" t="s">
        <v>135</v>
      </c>
      <c r="E609" s="43">
        <f>[3]Summary!E608</f>
        <v>1</v>
      </c>
      <c r="F609" s="179">
        <f>[3]Summary!F608</f>
        <v>0</v>
      </c>
      <c r="G609" s="44">
        <f t="shared" si="9"/>
        <v>0</v>
      </c>
      <c r="H609" s="44" t="s">
        <v>1606</v>
      </c>
      <c r="I609" s="41"/>
    </row>
    <row r="610" spans="1:9" ht="46.5">
      <c r="A610" s="201">
        <v>606</v>
      </c>
      <c r="B610" s="45" t="s">
        <v>1284</v>
      </c>
      <c r="C610" s="1" t="s">
        <v>1285</v>
      </c>
      <c r="D610" s="46" t="s">
        <v>135</v>
      </c>
      <c r="E610" s="47">
        <f>[3]Summary!E609</f>
        <v>55</v>
      </c>
      <c r="F610" s="46">
        <f>[3]Summary!F609</f>
        <v>0</v>
      </c>
      <c r="G610" s="48">
        <f t="shared" si="9"/>
        <v>0</v>
      </c>
      <c r="H610" s="48" t="s">
        <v>5393</v>
      </c>
      <c r="I610" s="45"/>
    </row>
    <row r="611" spans="1:9" ht="23.25">
      <c r="A611" s="177">
        <v>607</v>
      </c>
      <c r="B611" s="41" t="s">
        <v>1286</v>
      </c>
      <c r="C611" s="42" t="s">
        <v>1287</v>
      </c>
      <c r="D611" s="178" t="s">
        <v>135</v>
      </c>
      <c r="E611" s="43">
        <f>[3]Summary!E610</f>
        <v>15</v>
      </c>
      <c r="F611" s="179">
        <f>[3]Summary!F610</f>
        <v>54.300000000000004</v>
      </c>
      <c r="G611" s="44">
        <f t="shared" si="9"/>
        <v>814.50000000000011</v>
      </c>
      <c r="H611" s="44" t="s">
        <v>1616</v>
      </c>
      <c r="I611" s="41"/>
    </row>
    <row r="612" spans="1:9" ht="23.25">
      <c r="A612" s="201">
        <v>608</v>
      </c>
      <c r="B612" s="45" t="s">
        <v>1288</v>
      </c>
      <c r="C612" s="1" t="s">
        <v>1289</v>
      </c>
      <c r="D612" s="46" t="s">
        <v>135</v>
      </c>
      <c r="E612" s="47">
        <f>[3]Summary!E611</f>
        <v>25</v>
      </c>
      <c r="F612" s="46">
        <f>[3]Summary!F611</f>
        <v>5</v>
      </c>
      <c r="G612" s="48">
        <f t="shared" si="9"/>
        <v>125</v>
      </c>
      <c r="H612" s="48" t="s">
        <v>1616</v>
      </c>
      <c r="I612" s="45"/>
    </row>
    <row r="613" spans="1:9" ht="23.25">
      <c r="A613" s="177">
        <v>609</v>
      </c>
      <c r="B613" s="41" t="s">
        <v>1290</v>
      </c>
      <c r="C613" s="42" t="s">
        <v>1291</v>
      </c>
      <c r="D613" s="178" t="s">
        <v>135</v>
      </c>
      <c r="E613" s="43">
        <f>[3]Summary!E612</f>
        <v>37</v>
      </c>
      <c r="F613" s="179">
        <f>[3]Summary!F612</f>
        <v>0</v>
      </c>
      <c r="G613" s="44">
        <f t="shared" si="9"/>
        <v>0</v>
      </c>
      <c r="H613" s="44" t="s">
        <v>1616</v>
      </c>
      <c r="I613" s="41"/>
    </row>
    <row r="614" spans="1:9" ht="23.25">
      <c r="A614" s="201">
        <v>610</v>
      </c>
      <c r="B614" s="45" t="s">
        <v>1292</v>
      </c>
      <c r="C614" s="1" t="s">
        <v>1293</v>
      </c>
      <c r="D614" s="46" t="s">
        <v>135</v>
      </c>
      <c r="E614" s="47">
        <f>[3]Summary!E613</f>
        <v>60</v>
      </c>
      <c r="F614" s="46">
        <f>[3]Summary!F613</f>
        <v>5</v>
      </c>
      <c r="G614" s="48">
        <f t="shared" si="9"/>
        <v>300</v>
      </c>
      <c r="H614" s="48" t="s">
        <v>1616</v>
      </c>
      <c r="I614" s="45"/>
    </row>
    <row r="615" spans="1:9" ht="23.25">
      <c r="A615" s="177">
        <v>611</v>
      </c>
      <c r="B615" s="41" t="s">
        <v>1294</v>
      </c>
      <c r="C615" s="42" t="s">
        <v>1295</v>
      </c>
      <c r="D615" s="178" t="s">
        <v>135</v>
      </c>
      <c r="E615" s="43">
        <f>[3]Summary!E614</f>
        <v>50</v>
      </c>
      <c r="F615" s="179">
        <f>[3]Summary!F614</f>
        <v>5.72</v>
      </c>
      <c r="G615" s="44">
        <f t="shared" si="9"/>
        <v>286</v>
      </c>
      <c r="H615" s="44" t="s">
        <v>1616</v>
      </c>
      <c r="I615" s="41"/>
    </row>
    <row r="616" spans="1:9" ht="42">
      <c r="A616" s="201">
        <v>612</v>
      </c>
      <c r="B616" s="45" t="s">
        <v>1296</v>
      </c>
      <c r="C616" s="1" t="s">
        <v>1297</v>
      </c>
      <c r="D616" s="46" t="s">
        <v>135</v>
      </c>
      <c r="E616" s="47">
        <f>[3]Summary!E615</f>
        <v>17</v>
      </c>
      <c r="F616" s="46">
        <f>[3]Summary!F615</f>
        <v>0</v>
      </c>
      <c r="G616" s="48">
        <f t="shared" si="9"/>
        <v>0</v>
      </c>
      <c r="H616" s="48" t="s">
        <v>1612</v>
      </c>
      <c r="I616" s="45"/>
    </row>
    <row r="617" spans="1:9" ht="46.5">
      <c r="A617" s="177">
        <v>613</v>
      </c>
      <c r="B617" s="41" t="s">
        <v>1298</v>
      </c>
      <c r="C617" s="42" t="s">
        <v>1299</v>
      </c>
      <c r="D617" s="178" t="s">
        <v>135</v>
      </c>
      <c r="E617" s="43">
        <f>[3]Summary!E616</f>
        <v>1.5</v>
      </c>
      <c r="F617" s="179">
        <f>[3]Summary!F616</f>
        <v>1</v>
      </c>
      <c r="G617" s="44">
        <f t="shared" si="9"/>
        <v>1.5</v>
      </c>
      <c r="H617" s="44" t="s">
        <v>1606</v>
      </c>
      <c r="I617" s="41"/>
    </row>
    <row r="618" spans="1:9" ht="46.5">
      <c r="A618" s="201">
        <v>614</v>
      </c>
      <c r="B618" s="45" t="s">
        <v>1300</v>
      </c>
      <c r="C618" s="1" t="s">
        <v>1301</v>
      </c>
      <c r="D618" s="46" t="s">
        <v>135</v>
      </c>
      <c r="E618" s="47">
        <f>[3]Summary!E617</f>
        <v>7</v>
      </c>
      <c r="F618" s="46">
        <f>[3]Summary!F617</f>
        <v>0</v>
      </c>
      <c r="G618" s="48">
        <f t="shared" si="9"/>
        <v>0</v>
      </c>
      <c r="H618" s="48" t="s">
        <v>5390</v>
      </c>
      <c r="I618" s="45"/>
    </row>
    <row r="619" spans="1:9" ht="46.5">
      <c r="A619" s="177">
        <v>615</v>
      </c>
      <c r="B619" s="41" t="s">
        <v>1302</v>
      </c>
      <c r="C619" s="42" t="s">
        <v>1303</v>
      </c>
      <c r="D619" s="178" t="s">
        <v>135</v>
      </c>
      <c r="E619" s="43">
        <f>[3]Summary!E618</f>
        <v>9</v>
      </c>
      <c r="F619" s="179">
        <f>[3]Summary!F618</f>
        <v>13</v>
      </c>
      <c r="G619" s="44">
        <f t="shared" si="9"/>
        <v>117</v>
      </c>
      <c r="H619" s="44" t="s">
        <v>5395</v>
      </c>
      <c r="I619" s="41"/>
    </row>
    <row r="620" spans="1:9" ht="46.5">
      <c r="A620" s="201">
        <v>616</v>
      </c>
      <c r="B620" s="45" t="s">
        <v>1304</v>
      </c>
      <c r="C620" s="1" t="s">
        <v>1305</v>
      </c>
      <c r="D620" s="46" t="s">
        <v>135</v>
      </c>
      <c r="E620" s="47">
        <f>[3]Summary!E619</f>
        <v>8</v>
      </c>
      <c r="F620" s="46">
        <f>[3]Summary!F619</f>
        <v>81</v>
      </c>
      <c r="G620" s="48">
        <f t="shared" si="9"/>
        <v>648</v>
      </c>
      <c r="H620" s="48" t="s">
        <v>5395</v>
      </c>
      <c r="I620" s="45"/>
    </row>
    <row r="621" spans="1:9" ht="46.5">
      <c r="A621" s="177">
        <v>617</v>
      </c>
      <c r="B621" s="41" t="s">
        <v>1306</v>
      </c>
      <c r="C621" s="42" t="s">
        <v>1307</v>
      </c>
      <c r="D621" s="178" t="s">
        <v>135</v>
      </c>
      <c r="E621" s="43">
        <f>[3]Summary!E620</f>
        <v>163.5</v>
      </c>
      <c r="F621" s="179">
        <f>[3]Summary!F620</f>
        <v>221</v>
      </c>
      <c r="G621" s="44">
        <f t="shared" si="9"/>
        <v>36133.5</v>
      </c>
      <c r="H621" s="44" t="s">
        <v>1636</v>
      </c>
      <c r="I621" s="41"/>
    </row>
    <row r="622" spans="1:9" ht="42">
      <c r="A622" s="201">
        <v>618</v>
      </c>
      <c r="B622" s="45" t="s">
        <v>1308</v>
      </c>
      <c r="C622" s="1" t="s">
        <v>1309</v>
      </c>
      <c r="D622" s="46" t="s">
        <v>135</v>
      </c>
      <c r="E622" s="47">
        <f>[3]Summary!E621</f>
        <v>150</v>
      </c>
      <c r="F622" s="46">
        <f>[3]Summary!F621</f>
        <v>0</v>
      </c>
      <c r="G622" s="48">
        <f t="shared" si="9"/>
        <v>0</v>
      </c>
      <c r="H622" s="48" t="s">
        <v>5392</v>
      </c>
      <c r="I622" s="45"/>
    </row>
    <row r="623" spans="1:9" ht="42">
      <c r="A623" s="177">
        <v>619</v>
      </c>
      <c r="B623" s="41" t="s">
        <v>1310</v>
      </c>
      <c r="C623" s="42" t="s">
        <v>1311</v>
      </c>
      <c r="D623" s="178" t="s">
        <v>135</v>
      </c>
      <c r="E623" s="43">
        <f>[3]Summary!E622</f>
        <v>150</v>
      </c>
      <c r="F623" s="179">
        <f>[3]Summary!F622</f>
        <v>0</v>
      </c>
      <c r="G623" s="44">
        <f t="shared" si="9"/>
        <v>0</v>
      </c>
      <c r="H623" s="44" t="s">
        <v>5390</v>
      </c>
      <c r="I623" s="41"/>
    </row>
    <row r="624" spans="1:9" ht="23.25">
      <c r="A624" s="201">
        <v>620</v>
      </c>
      <c r="B624" s="45" t="s">
        <v>1312</v>
      </c>
      <c r="C624" s="1" t="s">
        <v>1313</v>
      </c>
      <c r="D624" s="46" t="s">
        <v>135</v>
      </c>
      <c r="E624" s="47">
        <f>[3]Summary!E623</f>
        <v>8</v>
      </c>
      <c r="F624" s="46">
        <f>[3]Summary!F623</f>
        <v>0</v>
      </c>
      <c r="G624" s="48">
        <f t="shared" si="9"/>
        <v>0</v>
      </c>
      <c r="H624" s="48" t="s">
        <v>5390</v>
      </c>
      <c r="I624" s="45"/>
    </row>
    <row r="625" spans="1:9" ht="42">
      <c r="A625" s="177">
        <v>621</v>
      </c>
      <c r="B625" s="41" t="s">
        <v>1314</v>
      </c>
      <c r="C625" s="42" t="s">
        <v>1315</v>
      </c>
      <c r="D625" s="178" t="s">
        <v>135</v>
      </c>
      <c r="E625" s="43">
        <f>[3]Summary!E624</f>
        <v>0.1</v>
      </c>
      <c r="F625" s="179">
        <f>[3]Summary!F624</f>
        <v>2006</v>
      </c>
      <c r="G625" s="44">
        <f t="shared" si="9"/>
        <v>200.60000000000002</v>
      </c>
      <c r="H625" s="44" t="s">
        <v>5392</v>
      </c>
      <c r="I625" s="41"/>
    </row>
    <row r="626" spans="1:9" ht="23.25">
      <c r="A626" s="201">
        <v>622</v>
      </c>
      <c r="B626" s="45" t="s">
        <v>1316</v>
      </c>
      <c r="C626" s="1" t="s">
        <v>1317</v>
      </c>
      <c r="D626" s="46" t="s">
        <v>135</v>
      </c>
      <c r="E626" s="47">
        <f>[3]Summary!E625</f>
        <v>0.5</v>
      </c>
      <c r="F626" s="46">
        <f>[3]Summary!F625</f>
        <v>0</v>
      </c>
      <c r="G626" s="48">
        <f t="shared" si="9"/>
        <v>0</v>
      </c>
      <c r="H626" s="48" t="s">
        <v>1612</v>
      </c>
      <c r="I626" s="45"/>
    </row>
    <row r="627" spans="1:9" ht="23.25">
      <c r="A627" s="177">
        <v>623</v>
      </c>
      <c r="B627" s="41" t="s">
        <v>1318</v>
      </c>
      <c r="C627" s="42" t="s">
        <v>1319</v>
      </c>
      <c r="D627" s="178" t="s">
        <v>135</v>
      </c>
      <c r="E627" s="43">
        <f>[3]Summary!E626</f>
        <v>1.1499999999999999</v>
      </c>
      <c r="F627" s="179">
        <f>[3]Summary!F626</f>
        <v>0</v>
      </c>
      <c r="G627" s="44">
        <f t="shared" si="9"/>
        <v>0</v>
      </c>
      <c r="H627" s="44" t="s">
        <v>5390</v>
      </c>
      <c r="I627" s="41"/>
    </row>
    <row r="628" spans="1:9" ht="23.25">
      <c r="A628" s="201">
        <v>624</v>
      </c>
      <c r="B628" s="45" t="s">
        <v>1320</v>
      </c>
      <c r="C628" s="1" t="s">
        <v>1321</v>
      </c>
      <c r="D628" s="46" t="s">
        <v>135</v>
      </c>
      <c r="E628" s="47">
        <f>[3]Summary!E627</f>
        <v>3.5</v>
      </c>
      <c r="F628" s="46">
        <f>[3]Summary!F627</f>
        <v>40</v>
      </c>
      <c r="G628" s="48">
        <f t="shared" si="9"/>
        <v>140</v>
      </c>
      <c r="H628" s="48" t="s">
        <v>5390</v>
      </c>
      <c r="I628" s="45"/>
    </row>
    <row r="629" spans="1:9" ht="23.25">
      <c r="A629" s="177">
        <v>625</v>
      </c>
      <c r="B629" s="41" t="s">
        <v>1322</v>
      </c>
      <c r="C629" s="42" t="s">
        <v>1323</v>
      </c>
      <c r="D629" s="178" t="s">
        <v>135</v>
      </c>
      <c r="E629" s="43">
        <f>[3]Summary!E628</f>
        <v>14</v>
      </c>
      <c r="F629" s="179">
        <f>[3]Summary!F628</f>
        <v>0</v>
      </c>
      <c r="G629" s="44">
        <f t="shared" si="9"/>
        <v>0</v>
      </c>
      <c r="H629" s="44" t="s">
        <v>5390</v>
      </c>
      <c r="I629" s="41"/>
    </row>
    <row r="630" spans="1:9" ht="23.25">
      <c r="A630" s="201">
        <v>626</v>
      </c>
      <c r="B630" s="45" t="s">
        <v>1324</v>
      </c>
      <c r="C630" s="1" t="s">
        <v>1325</v>
      </c>
      <c r="D630" s="46" t="s">
        <v>135</v>
      </c>
      <c r="E630" s="47">
        <f>[3]Summary!E629</f>
        <v>100</v>
      </c>
      <c r="F630" s="46">
        <f>[3]Summary!F629</f>
        <v>0</v>
      </c>
      <c r="G630" s="48">
        <f t="shared" si="9"/>
        <v>0</v>
      </c>
      <c r="H630" s="48" t="s">
        <v>1616</v>
      </c>
      <c r="I630" s="45"/>
    </row>
    <row r="631" spans="1:9" ht="23.25">
      <c r="A631" s="177">
        <v>627</v>
      </c>
      <c r="B631" s="41" t="s">
        <v>1326</v>
      </c>
      <c r="C631" s="42" t="s">
        <v>1327</v>
      </c>
      <c r="D631" s="178" t="s">
        <v>135</v>
      </c>
      <c r="E631" s="43">
        <f>[3]Summary!E630</f>
        <v>54</v>
      </c>
      <c r="F631" s="179">
        <f>[3]Summary!F630</f>
        <v>1</v>
      </c>
      <c r="G631" s="44">
        <f t="shared" si="9"/>
        <v>54</v>
      </c>
      <c r="H631" s="44" t="s">
        <v>1616</v>
      </c>
      <c r="I631" s="41"/>
    </row>
    <row r="632" spans="1:9" ht="23.25">
      <c r="A632" s="201">
        <v>628</v>
      </c>
      <c r="B632" s="45" t="s">
        <v>1328</v>
      </c>
      <c r="C632" s="1" t="s">
        <v>1329</v>
      </c>
      <c r="D632" s="46" t="s">
        <v>135</v>
      </c>
      <c r="E632" s="47">
        <f>[3]Summary!E631</f>
        <v>57</v>
      </c>
      <c r="F632" s="46">
        <f>[3]Summary!F631</f>
        <v>0</v>
      </c>
      <c r="G632" s="48">
        <f t="shared" si="9"/>
        <v>0</v>
      </c>
      <c r="H632" s="48" t="s">
        <v>1616</v>
      </c>
      <c r="I632" s="45"/>
    </row>
    <row r="633" spans="1:9" ht="23.25">
      <c r="A633" s="177">
        <v>629</v>
      </c>
      <c r="B633" s="41" t="s">
        <v>1330</v>
      </c>
      <c r="C633" s="42" t="s">
        <v>1331</v>
      </c>
      <c r="D633" s="178" t="s">
        <v>135</v>
      </c>
      <c r="E633" s="43">
        <f>[3]Summary!E632</f>
        <v>81</v>
      </c>
      <c r="F633" s="179">
        <f>[3]Summary!F632</f>
        <v>0</v>
      </c>
      <c r="G633" s="44">
        <f t="shared" si="9"/>
        <v>0</v>
      </c>
      <c r="H633" s="44" t="s">
        <v>1616</v>
      </c>
      <c r="I633" s="41"/>
    </row>
    <row r="634" spans="1:9" ht="23.25">
      <c r="A634" s="201">
        <v>630</v>
      </c>
      <c r="B634" s="45" t="s">
        <v>1332</v>
      </c>
      <c r="C634" s="1" t="s">
        <v>1333</v>
      </c>
      <c r="D634" s="46" t="s">
        <v>135</v>
      </c>
      <c r="E634" s="47">
        <f>[3]Summary!E633</f>
        <v>83</v>
      </c>
      <c r="F634" s="46">
        <f>[3]Summary!F633</f>
        <v>2</v>
      </c>
      <c r="G634" s="48">
        <f t="shared" si="9"/>
        <v>166</v>
      </c>
      <c r="H634" s="48" t="s">
        <v>1616</v>
      </c>
      <c r="I634" s="45"/>
    </row>
    <row r="635" spans="1:9" ht="23.25">
      <c r="A635" s="177">
        <v>631</v>
      </c>
      <c r="B635" s="41" t="s">
        <v>1334</v>
      </c>
      <c r="C635" s="42" t="s">
        <v>1335</v>
      </c>
      <c r="D635" s="178" t="s">
        <v>135</v>
      </c>
      <c r="E635" s="43">
        <f>[3]Summary!E634</f>
        <v>93</v>
      </c>
      <c r="F635" s="179">
        <f>[3]Summary!F634</f>
        <v>0</v>
      </c>
      <c r="G635" s="44">
        <f t="shared" si="9"/>
        <v>0</v>
      </c>
      <c r="H635" s="44" t="s">
        <v>1616</v>
      </c>
      <c r="I635" s="41"/>
    </row>
    <row r="636" spans="1:9" ht="23.25">
      <c r="A636" s="201">
        <v>632</v>
      </c>
      <c r="B636" s="45" t="s">
        <v>1336</v>
      </c>
      <c r="C636" s="1" t="s">
        <v>1337</v>
      </c>
      <c r="D636" s="46" t="s">
        <v>135</v>
      </c>
      <c r="E636" s="47">
        <f>[3]Summary!E635</f>
        <v>107</v>
      </c>
      <c r="F636" s="46">
        <f>[3]Summary!F635</f>
        <v>1.5</v>
      </c>
      <c r="G636" s="48">
        <f t="shared" si="9"/>
        <v>160.5</v>
      </c>
      <c r="H636" s="48" t="s">
        <v>1616</v>
      </c>
      <c r="I636" s="45"/>
    </row>
    <row r="637" spans="1:9" ht="23.25">
      <c r="A637" s="177">
        <v>633</v>
      </c>
      <c r="B637" s="41" t="s">
        <v>1338</v>
      </c>
      <c r="C637" s="42" t="s">
        <v>1339</v>
      </c>
      <c r="D637" s="178" t="s">
        <v>135</v>
      </c>
      <c r="E637" s="43">
        <f>[3]Summary!E636</f>
        <v>121.5</v>
      </c>
      <c r="F637" s="179">
        <f>[3]Summary!F636</f>
        <v>2</v>
      </c>
      <c r="G637" s="44">
        <f t="shared" si="9"/>
        <v>243</v>
      </c>
      <c r="H637" s="44" t="s">
        <v>1616</v>
      </c>
      <c r="I637" s="41"/>
    </row>
    <row r="638" spans="1:9" ht="23.25">
      <c r="A638" s="201">
        <v>634</v>
      </c>
      <c r="B638" s="45" t="s">
        <v>1340</v>
      </c>
      <c r="C638" s="1" t="s">
        <v>1341</v>
      </c>
      <c r="D638" s="46" t="s">
        <v>135</v>
      </c>
      <c r="E638" s="47">
        <f>[3]Summary!E637</f>
        <v>125</v>
      </c>
      <c r="F638" s="46">
        <f>[3]Summary!F637</f>
        <v>4</v>
      </c>
      <c r="G638" s="48">
        <f t="shared" si="9"/>
        <v>500</v>
      </c>
      <c r="H638" s="48" t="s">
        <v>1616</v>
      </c>
      <c r="I638" s="45"/>
    </row>
    <row r="639" spans="1:9" ht="23.25">
      <c r="A639" s="177">
        <v>635</v>
      </c>
      <c r="B639" s="41" t="s">
        <v>1342</v>
      </c>
      <c r="C639" s="42" t="s">
        <v>1343</v>
      </c>
      <c r="D639" s="178" t="s">
        <v>135</v>
      </c>
      <c r="E639" s="43">
        <f>[3]Summary!E638</f>
        <v>133</v>
      </c>
      <c r="F639" s="179">
        <f>[3]Summary!F638</f>
        <v>0</v>
      </c>
      <c r="G639" s="44">
        <f t="shared" si="9"/>
        <v>0</v>
      </c>
      <c r="H639" s="44" t="s">
        <v>1616</v>
      </c>
      <c r="I639" s="41"/>
    </row>
    <row r="640" spans="1:9" ht="23.25">
      <c r="A640" s="201">
        <v>636</v>
      </c>
      <c r="B640" s="45" t="s">
        <v>1344</v>
      </c>
      <c r="C640" s="1" t="s">
        <v>1345</v>
      </c>
      <c r="D640" s="46" t="s">
        <v>135</v>
      </c>
      <c r="E640" s="47">
        <f>[3]Summary!E639</f>
        <v>139</v>
      </c>
      <c r="F640" s="46">
        <f>[3]Summary!F639</f>
        <v>0</v>
      </c>
      <c r="G640" s="48">
        <f t="shared" si="9"/>
        <v>0</v>
      </c>
      <c r="H640" s="48" t="s">
        <v>1616</v>
      </c>
      <c r="I640" s="45"/>
    </row>
    <row r="641" spans="1:9" ht="23.25">
      <c r="A641" s="177">
        <v>637</v>
      </c>
      <c r="B641" s="41" t="s">
        <v>1346</v>
      </c>
      <c r="C641" s="42" t="s">
        <v>1347</v>
      </c>
      <c r="D641" s="178" t="s">
        <v>135</v>
      </c>
      <c r="E641" s="43">
        <f>[3]Summary!E640</f>
        <v>190</v>
      </c>
      <c r="F641" s="179">
        <f>[3]Summary!F640</f>
        <v>2.3069999999999986</v>
      </c>
      <c r="G641" s="44">
        <f t="shared" si="9"/>
        <v>438.32999999999976</v>
      </c>
      <c r="H641" s="44" t="s">
        <v>1616</v>
      </c>
      <c r="I641" s="41"/>
    </row>
    <row r="642" spans="1:9" ht="23.25">
      <c r="A642" s="201">
        <v>638</v>
      </c>
      <c r="B642" s="45" t="s">
        <v>1348</v>
      </c>
      <c r="C642" s="1" t="s">
        <v>1349</v>
      </c>
      <c r="D642" s="46" t="s">
        <v>135</v>
      </c>
      <c r="E642" s="47">
        <f>[3]Summary!E641</f>
        <v>200</v>
      </c>
      <c r="F642" s="46">
        <f>[3]Summary!F641</f>
        <v>5.600000000000005E-2</v>
      </c>
      <c r="G642" s="48">
        <f t="shared" si="9"/>
        <v>11.20000000000001</v>
      </c>
      <c r="H642" s="48" t="s">
        <v>1616</v>
      </c>
      <c r="I642" s="45"/>
    </row>
    <row r="643" spans="1:9" ht="23.25">
      <c r="A643" s="177">
        <v>639</v>
      </c>
      <c r="B643" s="41" t="s">
        <v>1350</v>
      </c>
      <c r="C643" s="42" t="s">
        <v>1351</v>
      </c>
      <c r="D643" s="178" t="s">
        <v>135</v>
      </c>
      <c r="E643" s="43">
        <f>[3]Summary!E642</f>
        <v>135</v>
      </c>
      <c r="F643" s="179">
        <f>[3]Summary!F642</f>
        <v>0.89999999999999991</v>
      </c>
      <c r="G643" s="44">
        <f t="shared" si="9"/>
        <v>121.49999999999999</v>
      </c>
      <c r="H643" s="44" t="s">
        <v>1616</v>
      </c>
      <c r="I643" s="41"/>
    </row>
    <row r="644" spans="1:9" ht="23.25">
      <c r="A644" s="201">
        <v>640</v>
      </c>
      <c r="B644" s="45" t="s">
        <v>1352</v>
      </c>
      <c r="C644" s="1" t="s">
        <v>1353</v>
      </c>
      <c r="D644" s="46" t="s">
        <v>135</v>
      </c>
      <c r="E644" s="47">
        <f>[3]Summary!E643</f>
        <v>265</v>
      </c>
      <c r="F644" s="46">
        <f>[3]Summary!F643</f>
        <v>0</v>
      </c>
      <c r="G644" s="48">
        <f t="shared" si="9"/>
        <v>0</v>
      </c>
      <c r="H644" s="48" t="s">
        <v>1616</v>
      </c>
      <c r="I644" s="45"/>
    </row>
    <row r="645" spans="1:9" ht="23.25">
      <c r="A645" s="177">
        <v>641</v>
      </c>
      <c r="B645" s="41" t="s">
        <v>1354</v>
      </c>
      <c r="C645" s="42" t="s">
        <v>1355</v>
      </c>
      <c r="D645" s="178" t="s">
        <v>135</v>
      </c>
      <c r="E645" s="43">
        <f>[3]Summary!E644</f>
        <v>450</v>
      </c>
      <c r="F645" s="179">
        <f>[3]Summary!F644</f>
        <v>1.3250000000000008</v>
      </c>
      <c r="G645" s="44">
        <f t="shared" ref="G645:G708" si="10">F645*E645</f>
        <v>596.25000000000034</v>
      </c>
      <c r="H645" s="44" t="s">
        <v>1616</v>
      </c>
      <c r="I645" s="41"/>
    </row>
    <row r="646" spans="1:9" ht="23.25">
      <c r="A646" s="201">
        <v>642</v>
      </c>
      <c r="B646" s="45" t="s">
        <v>1356</v>
      </c>
      <c r="C646" s="1" t="s">
        <v>1357</v>
      </c>
      <c r="D646" s="46" t="s">
        <v>135</v>
      </c>
      <c r="E646" s="47">
        <f>[3]Summary!E645</f>
        <v>0.75</v>
      </c>
      <c r="F646" s="46">
        <f>[3]Summary!F645</f>
        <v>193</v>
      </c>
      <c r="G646" s="48">
        <f t="shared" si="10"/>
        <v>144.75</v>
      </c>
      <c r="H646" s="48" t="s">
        <v>1638</v>
      </c>
      <c r="I646" s="45"/>
    </row>
    <row r="647" spans="1:9" ht="23.25">
      <c r="A647" s="177">
        <v>643</v>
      </c>
      <c r="B647" s="41" t="s">
        <v>1358</v>
      </c>
      <c r="C647" s="42" t="s">
        <v>1359</v>
      </c>
      <c r="D647" s="178" t="s">
        <v>135</v>
      </c>
      <c r="E647" s="43">
        <f>[3]Summary!E646</f>
        <v>37</v>
      </c>
      <c r="F647" s="179">
        <f>[3]Summary!F646</f>
        <v>0</v>
      </c>
      <c r="G647" s="44">
        <f t="shared" si="10"/>
        <v>0</v>
      </c>
      <c r="H647" s="44" t="s">
        <v>1616</v>
      </c>
      <c r="I647" s="41"/>
    </row>
    <row r="648" spans="1:9" ht="23.25">
      <c r="A648" s="201">
        <v>644</v>
      </c>
      <c r="B648" s="45" t="s">
        <v>1360</v>
      </c>
      <c r="C648" s="1" t="s">
        <v>1361</v>
      </c>
      <c r="D648" s="46" t="s">
        <v>135</v>
      </c>
      <c r="E648" s="47">
        <f>[3]Summary!E647</f>
        <v>10</v>
      </c>
      <c r="F648" s="46">
        <f>[3]Summary!F647</f>
        <v>0</v>
      </c>
      <c r="G648" s="48">
        <f t="shared" si="10"/>
        <v>0</v>
      </c>
      <c r="H648" s="48" t="s">
        <v>1638</v>
      </c>
      <c r="I648" s="45"/>
    </row>
    <row r="649" spans="1:9" ht="23.25">
      <c r="A649" s="177">
        <v>645</v>
      </c>
      <c r="B649" s="41" t="s">
        <v>1362</v>
      </c>
      <c r="C649" s="42" t="s">
        <v>1363</v>
      </c>
      <c r="D649" s="178" t="s">
        <v>135</v>
      </c>
      <c r="E649" s="43">
        <f>[3]Summary!E648</f>
        <v>10</v>
      </c>
      <c r="F649" s="179">
        <f>[3]Summary!F648</f>
        <v>0</v>
      </c>
      <c r="G649" s="44">
        <f t="shared" si="10"/>
        <v>0</v>
      </c>
      <c r="H649" s="44" t="s">
        <v>1616</v>
      </c>
      <c r="I649" s="41"/>
    </row>
    <row r="650" spans="1:9" ht="46.5">
      <c r="A650" s="201">
        <v>646</v>
      </c>
      <c r="B650" s="45" t="s">
        <v>1364</v>
      </c>
      <c r="C650" s="1" t="s">
        <v>1365</v>
      </c>
      <c r="D650" s="46" t="s">
        <v>135</v>
      </c>
      <c r="E650" s="47">
        <f>[3]Summary!E649</f>
        <v>5</v>
      </c>
      <c r="F650" s="46">
        <f>[3]Summary!F649</f>
        <v>0</v>
      </c>
      <c r="G650" s="48">
        <f t="shared" si="10"/>
        <v>0</v>
      </c>
      <c r="H650" s="48" t="s">
        <v>1616</v>
      </c>
      <c r="I650" s="45"/>
    </row>
    <row r="651" spans="1:9" ht="46.5">
      <c r="A651" s="177">
        <v>647</v>
      </c>
      <c r="B651" s="41" t="s">
        <v>1366</v>
      </c>
      <c r="C651" s="42" t="s">
        <v>1367</v>
      </c>
      <c r="D651" s="178" t="s">
        <v>135</v>
      </c>
      <c r="E651" s="43">
        <f>[3]Summary!E650</f>
        <v>11</v>
      </c>
      <c r="F651" s="179">
        <f>[3]Summary!F650</f>
        <v>0</v>
      </c>
      <c r="G651" s="44">
        <f t="shared" si="10"/>
        <v>0</v>
      </c>
      <c r="H651" s="44" t="s">
        <v>1616</v>
      </c>
      <c r="I651" s="41"/>
    </row>
    <row r="652" spans="1:9" ht="46.5">
      <c r="A652" s="201">
        <v>648</v>
      </c>
      <c r="B652" s="45" t="s">
        <v>1368</v>
      </c>
      <c r="C652" s="1" t="s">
        <v>1369</v>
      </c>
      <c r="D652" s="46" t="s">
        <v>135</v>
      </c>
      <c r="E652" s="47">
        <f>[3]Summary!E651</f>
        <v>12.75</v>
      </c>
      <c r="F652" s="46">
        <f>[3]Summary!F651</f>
        <v>0</v>
      </c>
      <c r="G652" s="48">
        <f t="shared" si="10"/>
        <v>0</v>
      </c>
      <c r="H652" s="48" t="s">
        <v>1616</v>
      </c>
      <c r="I652" s="45"/>
    </row>
    <row r="653" spans="1:9" ht="46.5">
      <c r="A653" s="177">
        <v>649</v>
      </c>
      <c r="B653" s="41" t="s">
        <v>1370</v>
      </c>
      <c r="C653" s="42" t="s">
        <v>1371</v>
      </c>
      <c r="D653" s="178" t="s">
        <v>135</v>
      </c>
      <c r="E653" s="43">
        <f>[3]Summary!E652</f>
        <v>6.3</v>
      </c>
      <c r="F653" s="179">
        <f>[3]Summary!F652</f>
        <v>0</v>
      </c>
      <c r="G653" s="44">
        <f t="shared" si="10"/>
        <v>0</v>
      </c>
      <c r="H653" s="44" t="s">
        <v>1616</v>
      </c>
      <c r="I653" s="41"/>
    </row>
    <row r="654" spans="1:9" ht="23.25">
      <c r="A654" s="201">
        <v>650</v>
      </c>
      <c r="B654" s="45" t="s">
        <v>1372</v>
      </c>
      <c r="C654" s="1" t="s">
        <v>1373</v>
      </c>
      <c r="D654" s="46" t="s">
        <v>135</v>
      </c>
      <c r="E654" s="47">
        <f>[3]Summary!E653</f>
        <v>2.5</v>
      </c>
      <c r="F654" s="46">
        <f>[3]Summary!F653</f>
        <v>4</v>
      </c>
      <c r="G654" s="48">
        <f t="shared" si="10"/>
        <v>10</v>
      </c>
      <c r="H654" s="48" t="s">
        <v>1638</v>
      </c>
      <c r="I654" s="45"/>
    </row>
    <row r="655" spans="1:9" ht="46.5">
      <c r="A655" s="177">
        <v>651</v>
      </c>
      <c r="B655" s="41" t="s">
        <v>1374</v>
      </c>
      <c r="C655" s="42" t="s">
        <v>1375</v>
      </c>
      <c r="D655" s="178" t="s">
        <v>135</v>
      </c>
      <c r="E655" s="43">
        <f>[3]Summary!E654</f>
        <v>2.25</v>
      </c>
      <c r="F655" s="179">
        <f>[3]Summary!F654</f>
        <v>72.839999999999989</v>
      </c>
      <c r="G655" s="44">
        <f t="shared" si="10"/>
        <v>163.89</v>
      </c>
      <c r="H655" s="44" t="s">
        <v>1638</v>
      </c>
      <c r="I655" s="41"/>
    </row>
    <row r="656" spans="1:9" ht="46.5">
      <c r="A656" s="201">
        <v>652</v>
      </c>
      <c r="B656" s="45" t="s">
        <v>1376</v>
      </c>
      <c r="C656" s="1" t="s">
        <v>1377</v>
      </c>
      <c r="D656" s="46" t="s">
        <v>135</v>
      </c>
      <c r="E656" s="47">
        <f>[3]Summary!E655</f>
        <v>0.1</v>
      </c>
      <c r="F656" s="46">
        <f>[3]Summary!F655</f>
        <v>0</v>
      </c>
      <c r="G656" s="48">
        <f t="shared" si="10"/>
        <v>0</v>
      </c>
      <c r="H656" s="48" t="s">
        <v>5389</v>
      </c>
      <c r="I656" s="45"/>
    </row>
    <row r="657" spans="1:9" ht="23.25">
      <c r="A657" s="177">
        <v>653</v>
      </c>
      <c r="B657" s="41" t="s">
        <v>5885</v>
      </c>
      <c r="C657" s="42" t="s">
        <v>1378</v>
      </c>
      <c r="D657" s="178" t="s">
        <v>135</v>
      </c>
      <c r="E657" s="43">
        <f>[3]Summary!E656</f>
        <v>25</v>
      </c>
      <c r="F657" s="179">
        <f>[3]Summary!F656</f>
        <v>1</v>
      </c>
      <c r="G657" s="44">
        <f t="shared" si="10"/>
        <v>25</v>
      </c>
      <c r="H657" s="44" t="s">
        <v>1616</v>
      </c>
      <c r="I657" s="41"/>
    </row>
    <row r="658" spans="1:9" ht="23.25">
      <c r="A658" s="201">
        <v>654</v>
      </c>
      <c r="B658" s="45" t="s">
        <v>1379</v>
      </c>
      <c r="C658" s="1" t="s">
        <v>1380</v>
      </c>
      <c r="D658" s="46" t="s">
        <v>135</v>
      </c>
      <c r="E658" s="47">
        <f>[3]Summary!E657</f>
        <v>0.85</v>
      </c>
      <c r="F658" s="46">
        <f>[3]Summary!F657</f>
        <v>13</v>
      </c>
      <c r="G658" s="48">
        <f t="shared" si="10"/>
        <v>11.049999999999999</v>
      </c>
      <c r="H658" s="48" t="s">
        <v>1629</v>
      </c>
      <c r="I658" s="45"/>
    </row>
    <row r="659" spans="1:9" ht="23.25">
      <c r="A659" s="177">
        <v>655</v>
      </c>
      <c r="B659" s="41" t="s">
        <v>1381</v>
      </c>
      <c r="C659" s="42" t="s">
        <v>1382</v>
      </c>
      <c r="D659" s="178" t="s">
        <v>135</v>
      </c>
      <c r="E659" s="43">
        <f>[3]Summary!E658</f>
        <v>30</v>
      </c>
      <c r="F659" s="179">
        <f>[3]Summary!F658</f>
        <v>0</v>
      </c>
      <c r="G659" s="44">
        <f t="shared" si="10"/>
        <v>0</v>
      </c>
      <c r="H659" s="44" t="s">
        <v>1612</v>
      </c>
      <c r="I659" s="41"/>
    </row>
    <row r="660" spans="1:9" ht="46.5">
      <c r="A660" s="201">
        <v>656</v>
      </c>
      <c r="B660" s="45" t="s">
        <v>1709</v>
      </c>
      <c r="C660" s="1" t="s">
        <v>1710</v>
      </c>
      <c r="D660" s="46" t="s">
        <v>135</v>
      </c>
      <c r="E660" s="47">
        <f>[3]Summary!E659</f>
        <v>15</v>
      </c>
      <c r="F660" s="46">
        <f>[3]Summary!F659</f>
        <v>117</v>
      </c>
      <c r="G660" s="48">
        <f t="shared" si="10"/>
        <v>1755</v>
      </c>
      <c r="H660" s="48" t="s">
        <v>1636</v>
      </c>
      <c r="I660" s="45"/>
    </row>
    <row r="661" spans="1:9" ht="46.5">
      <c r="A661" s="177">
        <v>657</v>
      </c>
      <c r="B661" s="41" t="s">
        <v>1711</v>
      </c>
      <c r="C661" s="42" t="s">
        <v>1712</v>
      </c>
      <c r="D661" s="178" t="s">
        <v>135</v>
      </c>
      <c r="E661" s="43">
        <f>[3]Summary!E660</f>
        <v>0</v>
      </c>
      <c r="F661" s="179">
        <f>[3]Summary!F660</f>
        <v>4</v>
      </c>
      <c r="G661" s="44">
        <f t="shared" si="10"/>
        <v>0</v>
      </c>
      <c r="H661" s="44" t="s">
        <v>1636</v>
      </c>
      <c r="I661" s="41"/>
    </row>
    <row r="662" spans="1:9" ht="23.25">
      <c r="A662" s="201">
        <v>658</v>
      </c>
      <c r="B662" s="45" t="s">
        <v>1713</v>
      </c>
      <c r="C662" s="1" t="s">
        <v>1714</v>
      </c>
      <c r="D662" s="46" t="s">
        <v>135</v>
      </c>
      <c r="E662" s="47">
        <f>[3]Summary!E661</f>
        <v>0</v>
      </c>
      <c r="F662" s="46">
        <f>[3]Summary!F661</f>
        <v>11</v>
      </c>
      <c r="G662" s="48">
        <f t="shared" si="10"/>
        <v>0</v>
      </c>
      <c r="H662" s="48" t="s">
        <v>1636</v>
      </c>
      <c r="I662" s="45"/>
    </row>
    <row r="663" spans="1:9" ht="23.25">
      <c r="A663" s="177">
        <v>659</v>
      </c>
      <c r="B663" s="41" t="s">
        <v>1715</v>
      </c>
      <c r="C663" s="42" t="s">
        <v>1626</v>
      </c>
      <c r="D663" s="178" t="s">
        <v>135</v>
      </c>
      <c r="E663" s="43">
        <f>[3]Summary!E662</f>
        <v>2</v>
      </c>
      <c r="F663" s="179">
        <f>[3]Summary!F662</f>
        <v>3</v>
      </c>
      <c r="G663" s="44">
        <f t="shared" si="10"/>
        <v>6</v>
      </c>
      <c r="H663" s="44" t="s">
        <v>1612</v>
      </c>
      <c r="I663" s="41"/>
    </row>
    <row r="664" spans="1:9" ht="23.25">
      <c r="A664" s="201">
        <v>660</v>
      </c>
      <c r="B664" s="45" t="s">
        <v>1716</v>
      </c>
      <c r="C664" s="1" t="s">
        <v>1630</v>
      </c>
      <c r="D664" s="46" t="s">
        <v>135</v>
      </c>
      <c r="E664" s="47">
        <f>[3]Summary!E663</f>
        <v>3</v>
      </c>
      <c r="F664" s="46">
        <f>[3]Summary!F663</f>
        <v>0</v>
      </c>
      <c r="G664" s="48">
        <f t="shared" si="10"/>
        <v>0</v>
      </c>
      <c r="H664" s="48" t="s">
        <v>1612</v>
      </c>
      <c r="I664" s="45"/>
    </row>
    <row r="665" spans="1:9" ht="46.5">
      <c r="A665" s="177">
        <v>661</v>
      </c>
      <c r="B665" s="41" t="s">
        <v>1717</v>
      </c>
      <c r="C665" s="42" t="s">
        <v>1632</v>
      </c>
      <c r="D665" s="178" t="s">
        <v>135</v>
      </c>
      <c r="E665" s="43">
        <f>[3]Summary!E664</f>
        <v>0</v>
      </c>
      <c r="F665" s="179">
        <f>[3]Summary!F664</f>
        <v>22</v>
      </c>
      <c r="G665" s="44">
        <f t="shared" si="10"/>
        <v>0</v>
      </c>
      <c r="H665" s="44" t="s">
        <v>1612</v>
      </c>
      <c r="I665" s="41"/>
    </row>
    <row r="666" spans="1:9" ht="23.25">
      <c r="A666" s="201">
        <v>662</v>
      </c>
      <c r="B666" s="45" t="s">
        <v>1718</v>
      </c>
      <c r="C666" s="1" t="s">
        <v>1631</v>
      </c>
      <c r="D666" s="46" t="s">
        <v>135</v>
      </c>
      <c r="E666" s="47">
        <f>[3]Summary!E665</f>
        <v>0</v>
      </c>
      <c r="F666" s="46">
        <f>[3]Summary!F665</f>
        <v>8</v>
      </c>
      <c r="G666" s="48">
        <f t="shared" si="10"/>
        <v>0</v>
      </c>
      <c r="H666" s="48" t="s">
        <v>1612</v>
      </c>
      <c r="I666" s="45"/>
    </row>
    <row r="667" spans="1:9" ht="46.5">
      <c r="A667" s="177">
        <v>663</v>
      </c>
      <c r="B667" s="41" t="s">
        <v>1719</v>
      </c>
      <c r="C667" s="42" t="s">
        <v>1627</v>
      </c>
      <c r="D667" s="178" t="s">
        <v>135</v>
      </c>
      <c r="E667" s="43">
        <f>[3]Summary!E666</f>
        <v>0</v>
      </c>
      <c r="F667" s="179">
        <f>[3]Summary!F666</f>
        <v>0</v>
      </c>
      <c r="G667" s="44">
        <f t="shared" si="10"/>
        <v>0</v>
      </c>
      <c r="H667" s="44" t="s">
        <v>1612</v>
      </c>
      <c r="I667" s="41"/>
    </row>
    <row r="668" spans="1:9" ht="23.25">
      <c r="A668" s="201">
        <v>664</v>
      </c>
      <c r="B668" s="45" t="s">
        <v>1720</v>
      </c>
      <c r="C668" s="1" t="s">
        <v>1721</v>
      </c>
      <c r="D668" s="46" t="s">
        <v>135</v>
      </c>
      <c r="E668" s="47">
        <f>[3]Summary!E667</f>
        <v>13</v>
      </c>
      <c r="F668" s="46">
        <f>[3]Summary!F667</f>
        <v>1</v>
      </c>
      <c r="G668" s="48">
        <f t="shared" si="10"/>
        <v>13</v>
      </c>
      <c r="H668" s="48" t="s">
        <v>5393</v>
      </c>
      <c r="I668" s="45"/>
    </row>
    <row r="669" spans="1:9" ht="23.25">
      <c r="A669" s="177">
        <v>665</v>
      </c>
      <c r="B669" s="41" t="s">
        <v>1722</v>
      </c>
      <c r="C669" s="42" t="s">
        <v>1633</v>
      </c>
      <c r="D669" s="178" t="s">
        <v>135</v>
      </c>
      <c r="E669" s="43">
        <f>[3]Summary!E668</f>
        <v>0</v>
      </c>
      <c r="F669" s="179">
        <f>[3]Summary!F668</f>
        <v>3</v>
      </c>
      <c r="G669" s="44">
        <f t="shared" si="10"/>
        <v>0</v>
      </c>
      <c r="H669" s="44" t="s">
        <v>5393</v>
      </c>
      <c r="I669" s="41"/>
    </row>
    <row r="670" spans="1:9" ht="46.5">
      <c r="A670" s="201">
        <v>666</v>
      </c>
      <c r="B670" s="45" t="s">
        <v>1723</v>
      </c>
      <c r="C670" s="1" t="s">
        <v>1655</v>
      </c>
      <c r="D670" s="46" t="s">
        <v>135</v>
      </c>
      <c r="E670" s="47">
        <f>[3]Summary!E669</f>
        <v>65</v>
      </c>
      <c r="F670" s="46">
        <f>[3]Summary!F669</f>
        <v>1</v>
      </c>
      <c r="G670" s="48">
        <f t="shared" si="10"/>
        <v>65</v>
      </c>
      <c r="H670" s="48" t="s">
        <v>1636</v>
      </c>
      <c r="I670" s="45"/>
    </row>
    <row r="671" spans="1:9" ht="46.5">
      <c r="A671" s="177">
        <v>667</v>
      </c>
      <c r="B671" s="41" t="s">
        <v>1622</v>
      </c>
      <c r="C671" s="42" t="s">
        <v>1623</v>
      </c>
      <c r="D671" s="178" t="s">
        <v>135</v>
      </c>
      <c r="E671" s="43">
        <f>[3]Summary!E670</f>
        <v>0.85</v>
      </c>
      <c r="F671" s="179">
        <f>[3]Summary!F670</f>
        <v>29</v>
      </c>
      <c r="G671" s="44">
        <f t="shared" si="10"/>
        <v>24.65</v>
      </c>
      <c r="H671" s="44" t="s">
        <v>1606</v>
      </c>
      <c r="I671" s="41"/>
    </row>
    <row r="672" spans="1:9" ht="23.25">
      <c r="A672" s="201">
        <v>668</v>
      </c>
      <c r="B672" s="45" t="s">
        <v>1618</v>
      </c>
      <c r="C672" s="1" t="s">
        <v>1619</v>
      </c>
      <c r="D672" s="46" t="s">
        <v>135</v>
      </c>
      <c r="E672" s="47">
        <f>[3]Summary!E671</f>
        <v>0.3</v>
      </c>
      <c r="F672" s="46">
        <f>[3]Summary!F671</f>
        <v>0</v>
      </c>
      <c r="G672" s="48">
        <f t="shared" si="10"/>
        <v>0</v>
      </c>
      <c r="H672" s="48" t="s">
        <v>1606</v>
      </c>
      <c r="I672" s="45"/>
    </row>
    <row r="673" spans="1:9" ht="46.5">
      <c r="A673" s="177">
        <v>669</v>
      </c>
      <c r="B673" s="41" t="s">
        <v>1640</v>
      </c>
      <c r="C673" s="42" t="s">
        <v>1724</v>
      </c>
      <c r="D673" s="178" t="s">
        <v>135</v>
      </c>
      <c r="E673" s="43">
        <f>[3]Summary!E672</f>
        <v>0</v>
      </c>
      <c r="F673" s="179">
        <f>[3]Summary!F672</f>
        <v>7</v>
      </c>
      <c r="G673" s="44">
        <f t="shared" si="10"/>
        <v>0</v>
      </c>
      <c r="H673" s="44" t="s">
        <v>1612</v>
      </c>
      <c r="I673" s="41"/>
    </row>
    <row r="674" spans="1:9" ht="46.5">
      <c r="A674" s="201">
        <v>670</v>
      </c>
      <c r="B674" s="45" t="s">
        <v>1725</v>
      </c>
      <c r="C674" s="1" t="s">
        <v>1621</v>
      </c>
      <c r="D674" s="46" t="s">
        <v>135</v>
      </c>
      <c r="E674" s="47">
        <f>[3]Summary!E673</f>
        <v>0</v>
      </c>
      <c r="F674" s="46">
        <f>[3]Summary!F673</f>
        <v>12</v>
      </c>
      <c r="G674" s="48">
        <f t="shared" si="10"/>
        <v>0</v>
      </c>
      <c r="H674" s="48" t="s">
        <v>1606</v>
      </c>
      <c r="I674" s="45"/>
    </row>
    <row r="675" spans="1:9" ht="46.5">
      <c r="A675" s="177">
        <v>671</v>
      </c>
      <c r="B675" s="41" t="s">
        <v>1726</v>
      </c>
      <c r="C675" s="42" t="s">
        <v>1620</v>
      </c>
      <c r="D675" s="178" t="s">
        <v>135</v>
      </c>
      <c r="E675" s="43">
        <f>[3]Summary!E674</f>
        <v>2</v>
      </c>
      <c r="F675" s="179">
        <f>[3]Summary!F674</f>
        <v>12</v>
      </c>
      <c r="G675" s="44">
        <f t="shared" si="10"/>
        <v>24</v>
      </c>
      <c r="H675" s="44" t="s">
        <v>1606</v>
      </c>
      <c r="I675" s="41"/>
    </row>
    <row r="676" spans="1:9" ht="46.5">
      <c r="A676" s="201">
        <v>672</v>
      </c>
      <c r="B676" s="45" t="s">
        <v>1614</v>
      </c>
      <c r="C676" s="1" t="s">
        <v>1615</v>
      </c>
      <c r="D676" s="46" t="s">
        <v>135</v>
      </c>
      <c r="E676" s="47">
        <f>[3]Summary!E675</f>
        <v>0</v>
      </c>
      <c r="F676" s="46">
        <f>[3]Summary!F675</f>
        <v>6</v>
      </c>
      <c r="G676" s="48">
        <f t="shared" si="10"/>
        <v>0</v>
      </c>
      <c r="H676" s="48" t="s">
        <v>1606</v>
      </c>
      <c r="I676" s="45"/>
    </row>
    <row r="677" spans="1:9" ht="23.25">
      <c r="A677" s="177">
        <v>673</v>
      </c>
      <c r="B677" s="41" t="s">
        <v>1727</v>
      </c>
      <c r="C677" s="42" t="s">
        <v>1728</v>
      </c>
      <c r="D677" s="178" t="s">
        <v>135</v>
      </c>
      <c r="E677" s="43">
        <f>[3]Summary!E676</f>
        <v>0</v>
      </c>
      <c r="F677" s="179">
        <f>[3]Summary!F676</f>
        <v>20</v>
      </c>
      <c r="G677" s="44">
        <f t="shared" si="10"/>
        <v>0</v>
      </c>
      <c r="H677" s="44" t="s">
        <v>1606</v>
      </c>
      <c r="I677" s="41"/>
    </row>
    <row r="678" spans="1:9" ht="23.25">
      <c r="A678" s="201">
        <v>674</v>
      </c>
      <c r="B678" s="45" t="s">
        <v>1729</v>
      </c>
      <c r="C678" s="1" t="s">
        <v>1647</v>
      </c>
      <c r="D678" s="46" t="s">
        <v>135</v>
      </c>
      <c r="E678" s="47">
        <f>[3]Summary!E677</f>
        <v>0.2</v>
      </c>
      <c r="F678" s="46">
        <f>[3]Summary!F677</f>
        <v>267</v>
      </c>
      <c r="G678" s="48">
        <f t="shared" si="10"/>
        <v>53.400000000000006</v>
      </c>
      <c r="H678" s="48" t="s">
        <v>1654</v>
      </c>
      <c r="I678" s="45"/>
    </row>
    <row r="679" spans="1:9" ht="23.25">
      <c r="A679" s="177">
        <v>675</v>
      </c>
      <c r="B679" s="41" t="s">
        <v>1652</v>
      </c>
      <c r="C679" s="42" t="s">
        <v>1653</v>
      </c>
      <c r="D679" s="178" t="s">
        <v>135</v>
      </c>
      <c r="E679" s="43">
        <f>[3]Summary!E678</f>
        <v>0.9</v>
      </c>
      <c r="F679" s="179">
        <f>[3]Summary!F678</f>
        <v>0</v>
      </c>
      <c r="G679" s="44">
        <f t="shared" si="10"/>
        <v>0</v>
      </c>
      <c r="H679" s="44" t="s">
        <v>1629</v>
      </c>
      <c r="I679" s="41"/>
    </row>
    <row r="680" spans="1:9" ht="23.25">
      <c r="A680" s="201">
        <v>676</v>
      </c>
      <c r="B680" s="45" t="s">
        <v>1667</v>
      </c>
      <c r="C680" s="1" t="s">
        <v>1668</v>
      </c>
      <c r="D680" s="46" t="s">
        <v>135</v>
      </c>
      <c r="E680" s="47">
        <f>[3]Summary!E679</f>
        <v>0</v>
      </c>
      <c r="F680" s="46">
        <f>[3]Summary!F679</f>
        <v>22</v>
      </c>
      <c r="G680" s="48">
        <f t="shared" si="10"/>
        <v>0</v>
      </c>
      <c r="H680" s="48" t="s">
        <v>1612</v>
      </c>
      <c r="I680" s="45"/>
    </row>
    <row r="681" spans="1:9" ht="23.25">
      <c r="A681" s="177">
        <v>677</v>
      </c>
      <c r="B681" s="41" t="s">
        <v>1669</v>
      </c>
      <c r="C681" s="42" t="s">
        <v>1670</v>
      </c>
      <c r="D681" s="178" t="s">
        <v>135</v>
      </c>
      <c r="E681" s="43">
        <f>[3]Summary!E680</f>
        <v>0</v>
      </c>
      <c r="F681" s="179">
        <f>[3]Summary!F680</f>
        <v>1</v>
      </c>
      <c r="G681" s="44">
        <f t="shared" si="10"/>
        <v>0</v>
      </c>
      <c r="H681" s="44" t="s">
        <v>1612</v>
      </c>
      <c r="I681" s="41"/>
    </row>
    <row r="682" spans="1:9" ht="42">
      <c r="A682" s="201">
        <v>678</v>
      </c>
      <c r="B682" s="45" t="s">
        <v>1671</v>
      </c>
      <c r="C682" s="1" t="s">
        <v>1672</v>
      </c>
      <c r="D682" s="46" t="s">
        <v>135</v>
      </c>
      <c r="E682" s="47">
        <f>[3]Summary!E681</f>
        <v>0</v>
      </c>
      <c r="F682" s="46">
        <f>[3]Summary!F681</f>
        <v>1</v>
      </c>
      <c r="G682" s="48">
        <f t="shared" si="10"/>
        <v>0</v>
      </c>
      <c r="H682" s="48" t="s">
        <v>1612</v>
      </c>
      <c r="I682" s="45"/>
    </row>
    <row r="683" spans="1:9" ht="42">
      <c r="A683" s="177">
        <v>679</v>
      </c>
      <c r="B683" s="41" t="s">
        <v>1673</v>
      </c>
      <c r="C683" s="42" t="s">
        <v>1674</v>
      </c>
      <c r="D683" s="178" t="s">
        <v>135</v>
      </c>
      <c r="E683" s="43">
        <f>[3]Summary!E682</f>
        <v>0</v>
      </c>
      <c r="F683" s="179">
        <f>[3]Summary!F682</f>
        <v>10</v>
      </c>
      <c r="G683" s="44">
        <f t="shared" si="10"/>
        <v>0</v>
      </c>
      <c r="H683" s="44" t="s">
        <v>1612</v>
      </c>
      <c r="I683" s="41"/>
    </row>
    <row r="684" spans="1:9" ht="23.25">
      <c r="A684" s="201">
        <v>680</v>
      </c>
      <c r="B684" s="45" t="s">
        <v>1730</v>
      </c>
      <c r="C684" s="1" t="s">
        <v>1675</v>
      </c>
      <c r="D684" s="46" t="s">
        <v>135</v>
      </c>
      <c r="E684" s="47">
        <f>[3]Summary!E683</f>
        <v>0</v>
      </c>
      <c r="F684" s="46">
        <f>[3]Summary!F683</f>
        <v>5</v>
      </c>
      <c r="G684" s="48">
        <f t="shared" si="10"/>
        <v>0</v>
      </c>
      <c r="H684" s="48" t="s">
        <v>1612</v>
      </c>
      <c r="I684" s="45"/>
    </row>
    <row r="685" spans="1:9" ht="46.5">
      <c r="A685" s="177">
        <v>681</v>
      </c>
      <c r="B685" s="41" t="s">
        <v>1731</v>
      </c>
      <c r="C685" s="42" t="s">
        <v>1732</v>
      </c>
      <c r="D685" s="178" t="s">
        <v>135</v>
      </c>
      <c r="E685" s="43">
        <f>[3]Summary!E684</f>
        <v>3</v>
      </c>
      <c r="F685" s="179">
        <f>[3]Summary!F684</f>
        <v>12</v>
      </c>
      <c r="G685" s="44">
        <f t="shared" si="10"/>
        <v>36</v>
      </c>
      <c r="H685" s="44" t="s">
        <v>1641</v>
      </c>
      <c r="I685" s="41"/>
    </row>
    <row r="686" spans="1:9" ht="23.25">
      <c r="A686" s="201">
        <v>682</v>
      </c>
      <c r="B686" s="45" t="s">
        <v>1733</v>
      </c>
      <c r="C686" s="1" t="s">
        <v>1734</v>
      </c>
      <c r="D686" s="46" t="s">
        <v>135</v>
      </c>
      <c r="E686" s="47">
        <f>[3]Summary!E685</f>
        <v>0</v>
      </c>
      <c r="F686" s="46">
        <f>[3]Summary!F685</f>
        <v>56</v>
      </c>
      <c r="G686" s="48">
        <f t="shared" si="10"/>
        <v>0</v>
      </c>
      <c r="H686" s="48" t="s">
        <v>1636</v>
      </c>
      <c r="I686" s="45"/>
    </row>
    <row r="687" spans="1:9" ht="23.25">
      <c r="A687" s="177">
        <v>683</v>
      </c>
      <c r="B687" s="41" t="s">
        <v>1735</v>
      </c>
      <c r="C687" s="42" t="s">
        <v>1736</v>
      </c>
      <c r="D687" s="178" t="s">
        <v>135</v>
      </c>
      <c r="E687" s="43">
        <f>[3]Summary!E686</f>
        <v>216</v>
      </c>
      <c r="F687" s="179">
        <f>[3]Summary!F686</f>
        <v>47</v>
      </c>
      <c r="G687" s="44">
        <f t="shared" si="10"/>
        <v>10152</v>
      </c>
      <c r="H687" s="44" t="s">
        <v>1636</v>
      </c>
      <c r="I687" s="41"/>
    </row>
    <row r="688" spans="1:9" ht="23.25">
      <c r="A688" s="201">
        <v>684</v>
      </c>
      <c r="B688" s="45" t="s">
        <v>1677</v>
      </c>
      <c r="C688" s="1" t="s">
        <v>1678</v>
      </c>
      <c r="D688" s="46" t="s">
        <v>135</v>
      </c>
      <c r="E688" s="47">
        <f>[3]Summary!E687</f>
        <v>0.6</v>
      </c>
      <c r="F688" s="46">
        <f>[3]Summary!F687</f>
        <v>0</v>
      </c>
      <c r="G688" s="48">
        <f t="shared" si="10"/>
        <v>0</v>
      </c>
      <c r="H688" s="48" t="s">
        <v>5395</v>
      </c>
      <c r="I688" s="45"/>
    </row>
    <row r="689" spans="1:9" ht="46.5">
      <c r="A689" s="177">
        <v>685</v>
      </c>
      <c r="B689" s="41" t="s">
        <v>1737</v>
      </c>
      <c r="C689" s="42" t="s">
        <v>1738</v>
      </c>
      <c r="D689" s="178" t="s">
        <v>135</v>
      </c>
      <c r="E689" s="43">
        <f>[3]Summary!E688</f>
        <v>20</v>
      </c>
      <c r="F689" s="179">
        <f>[3]Summary!F688</f>
        <v>17</v>
      </c>
      <c r="G689" s="44">
        <f t="shared" si="10"/>
        <v>340</v>
      </c>
      <c r="H689" s="44" t="s">
        <v>1636</v>
      </c>
      <c r="I689" s="41"/>
    </row>
    <row r="690" spans="1:9" ht="46.5">
      <c r="A690" s="201">
        <v>686</v>
      </c>
      <c r="B690" s="45" t="s">
        <v>1679</v>
      </c>
      <c r="C690" s="1" t="s">
        <v>1739</v>
      </c>
      <c r="D690" s="46" t="s">
        <v>135</v>
      </c>
      <c r="E690" s="47">
        <f>[3]Summary!E689</f>
        <v>12</v>
      </c>
      <c r="F690" s="46">
        <f>[3]Summary!F689</f>
        <v>6</v>
      </c>
      <c r="G690" s="48">
        <f t="shared" si="10"/>
        <v>72</v>
      </c>
      <c r="H690" s="48" t="s">
        <v>1636</v>
      </c>
      <c r="I690" s="45"/>
    </row>
    <row r="691" spans="1:9" ht="23.25">
      <c r="A691" s="177">
        <v>687</v>
      </c>
      <c r="B691" s="41" t="s">
        <v>1680</v>
      </c>
      <c r="C691" s="42" t="s">
        <v>1740</v>
      </c>
      <c r="D691" s="178" t="s">
        <v>135</v>
      </c>
      <c r="E691" s="43">
        <f>[3]Summary!E690</f>
        <v>0</v>
      </c>
      <c r="F691" s="179">
        <f>[3]Summary!F690</f>
        <v>48</v>
      </c>
      <c r="G691" s="44">
        <f t="shared" si="10"/>
        <v>0</v>
      </c>
      <c r="H691" s="44" t="s">
        <v>1636</v>
      </c>
      <c r="I691" s="41"/>
    </row>
    <row r="692" spans="1:9" ht="23.25">
      <c r="A692" s="201">
        <v>688</v>
      </c>
      <c r="B692" s="45" t="s">
        <v>1741</v>
      </c>
      <c r="C692" s="1" t="s">
        <v>1742</v>
      </c>
      <c r="D692" s="46" t="s">
        <v>135</v>
      </c>
      <c r="E692" s="47">
        <f>[3]Summary!E691</f>
        <v>13</v>
      </c>
      <c r="F692" s="46">
        <f>[3]Summary!F691</f>
        <v>6</v>
      </c>
      <c r="G692" s="48">
        <f t="shared" si="10"/>
        <v>78</v>
      </c>
      <c r="H692" s="48" t="s">
        <v>1636</v>
      </c>
      <c r="I692" s="45"/>
    </row>
    <row r="693" spans="1:9" ht="46.5">
      <c r="A693" s="177">
        <v>689</v>
      </c>
      <c r="B693" s="41" t="s">
        <v>1743</v>
      </c>
      <c r="C693" s="42" t="s">
        <v>1744</v>
      </c>
      <c r="D693" s="178" t="s">
        <v>135</v>
      </c>
      <c r="E693" s="43">
        <f>[3]Summary!E692</f>
        <v>25</v>
      </c>
      <c r="F693" s="179">
        <f>[3]Summary!F692</f>
        <v>1</v>
      </c>
      <c r="G693" s="44">
        <f t="shared" si="10"/>
        <v>25</v>
      </c>
      <c r="H693" s="44" t="s">
        <v>1636</v>
      </c>
      <c r="I693" s="41"/>
    </row>
    <row r="694" spans="1:9" ht="23.25">
      <c r="A694" s="201">
        <v>690</v>
      </c>
      <c r="B694" s="45" t="s">
        <v>1681</v>
      </c>
      <c r="C694" s="1" t="s">
        <v>1682</v>
      </c>
      <c r="D694" s="46" t="s">
        <v>135</v>
      </c>
      <c r="E694" s="47">
        <f>[3]Summary!E693</f>
        <v>95</v>
      </c>
      <c r="F694" s="46">
        <f>[3]Summary!F693</f>
        <v>4</v>
      </c>
      <c r="G694" s="48">
        <f t="shared" si="10"/>
        <v>380</v>
      </c>
      <c r="H694" s="48" t="s">
        <v>1612</v>
      </c>
      <c r="I694" s="45"/>
    </row>
    <row r="695" spans="1:9" ht="46.5">
      <c r="A695" s="177">
        <v>691</v>
      </c>
      <c r="B695" s="41" t="s">
        <v>1691</v>
      </c>
      <c r="C695" s="42" t="s">
        <v>1692</v>
      </c>
      <c r="D695" s="178" t="s">
        <v>135</v>
      </c>
      <c r="E695" s="43">
        <f>[3]Summary!E694</f>
        <v>0</v>
      </c>
      <c r="F695" s="179">
        <f>[3]Summary!F694</f>
        <v>17</v>
      </c>
      <c r="G695" s="44">
        <f t="shared" si="10"/>
        <v>0</v>
      </c>
      <c r="H695" s="44" t="s">
        <v>5395</v>
      </c>
      <c r="I695" s="41"/>
    </row>
    <row r="696" spans="1:9" ht="23.25">
      <c r="A696" s="201">
        <v>692</v>
      </c>
      <c r="B696" s="45" t="s">
        <v>1689</v>
      </c>
      <c r="C696" s="1" t="s">
        <v>1690</v>
      </c>
      <c r="D696" s="46" t="s">
        <v>135</v>
      </c>
      <c r="E696" s="47">
        <f>[3]Summary!E695</f>
        <v>0</v>
      </c>
      <c r="F696" s="46">
        <f>[3]Summary!F695</f>
        <v>40</v>
      </c>
      <c r="G696" s="48">
        <f t="shared" si="10"/>
        <v>0</v>
      </c>
      <c r="H696" s="48" t="s">
        <v>5395</v>
      </c>
      <c r="I696" s="45"/>
    </row>
    <row r="697" spans="1:9" ht="46.5">
      <c r="A697" s="177">
        <v>693</v>
      </c>
      <c r="B697" s="41" t="s">
        <v>1687</v>
      </c>
      <c r="C697" s="42" t="s">
        <v>1688</v>
      </c>
      <c r="D697" s="178" t="s">
        <v>135</v>
      </c>
      <c r="E697" s="43">
        <f>[3]Summary!E696</f>
        <v>3</v>
      </c>
      <c r="F697" s="179">
        <f>[3]Summary!F696</f>
        <v>53</v>
      </c>
      <c r="G697" s="44">
        <f t="shared" si="10"/>
        <v>159</v>
      </c>
      <c r="H697" s="44" t="s">
        <v>5395</v>
      </c>
      <c r="I697" s="41"/>
    </row>
    <row r="698" spans="1:9" ht="23.25">
      <c r="A698" s="201">
        <v>694</v>
      </c>
      <c r="B698" s="45" t="s">
        <v>5794</v>
      </c>
      <c r="C698" s="1" t="s">
        <v>1686</v>
      </c>
      <c r="D698" s="46" t="s">
        <v>135</v>
      </c>
      <c r="E698" s="47">
        <f>[3]Summary!E697</f>
        <v>0</v>
      </c>
      <c r="F698" s="46">
        <f>[3]Summary!F697</f>
        <v>39</v>
      </c>
      <c r="G698" s="48">
        <f t="shared" si="10"/>
        <v>0</v>
      </c>
      <c r="H698" s="48" t="s">
        <v>5395</v>
      </c>
      <c r="I698" s="45"/>
    </row>
    <row r="699" spans="1:9" ht="23.25">
      <c r="A699" s="177">
        <v>695</v>
      </c>
      <c r="B699" s="41" t="s">
        <v>1684</v>
      </c>
      <c r="C699" s="42" t="s">
        <v>1685</v>
      </c>
      <c r="D699" s="178" t="s">
        <v>135</v>
      </c>
      <c r="E699" s="43">
        <f>[3]Summary!E698</f>
        <v>3.75</v>
      </c>
      <c r="F699" s="179">
        <f>[3]Summary!F698</f>
        <v>0</v>
      </c>
      <c r="G699" s="44">
        <f t="shared" si="10"/>
        <v>0</v>
      </c>
      <c r="H699" s="44" t="s">
        <v>5402</v>
      </c>
      <c r="I699" s="41"/>
    </row>
    <row r="700" spans="1:9" ht="23.25">
      <c r="A700" s="201">
        <v>696</v>
      </c>
      <c r="B700" s="45" t="s">
        <v>1745</v>
      </c>
      <c r="C700" s="1" t="s">
        <v>1746</v>
      </c>
      <c r="D700" s="46" t="s">
        <v>135</v>
      </c>
      <c r="E700" s="47">
        <f>[3]Summary!E699</f>
        <v>9</v>
      </c>
      <c r="F700" s="46">
        <f>[3]Summary!F699</f>
        <v>0</v>
      </c>
      <c r="G700" s="48">
        <f t="shared" si="10"/>
        <v>0</v>
      </c>
      <c r="H700" s="48" t="s">
        <v>5402</v>
      </c>
      <c r="I700" s="45"/>
    </row>
    <row r="701" spans="1:9" ht="23.25">
      <c r="A701" s="177">
        <v>697</v>
      </c>
      <c r="B701" s="41" t="s">
        <v>4407</v>
      </c>
      <c r="C701" s="42" t="s">
        <v>4408</v>
      </c>
      <c r="D701" s="178" t="s">
        <v>135</v>
      </c>
      <c r="E701" s="43">
        <f>[3]Summary!E700</f>
        <v>3</v>
      </c>
      <c r="F701" s="179">
        <f>[3]Summary!F700</f>
        <v>54</v>
      </c>
      <c r="G701" s="44">
        <f t="shared" si="10"/>
        <v>162</v>
      </c>
      <c r="H701" s="44" t="s">
        <v>5402</v>
      </c>
      <c r="I701" s="41"/>
    </row>
    <row r="702" spans="1:9" ht="23.25">
      <c r="A702" s="201">
        <v>698</v>
      </c>
      <c r="B702" s="45" t="s">
        <v>1694</v>
      </c>
      <c r="C702" s="1" t="s">
        <v>1695</v>
      </c>
      <c r="D702" s="46" t="s">
        <v>135</v>
      </c>
      <c r="E702" s="47">
        <f>[3]Summary!E701</f>
        <v>0</v>
      </c>
      <c r="F702" s="46">
        <f>[3]Summary!F701</f>
        <v>20</v>
      </c>
      <c r="G702" s="48">
        <f t="shared" si="10"/>
        <v>0</v>
      </c>
      <c r="H702" s="48" t="s">
        <v>5390</v>
      </c>
      <c r="I702" s="45"/>
    </row>
    <row r="703" spans="1:9" ht="23.25">
      <c r="A703" s="177">
        <v>699</v>
      </c>
      <c r="B703" s="41" t="s">
        <v>1645</v>
      </c>
      <c r="C703" s="42" t="s">
        <v>1646</v>
      </c>
      <c r="D703" s="178" t="s">
        <v>135</v>
      </c>
      <c r="E703" s="43">
        <f>[3]Summary!E702</f>
        <v>0</v>
      </c>
      <c r="F703" s="179">
        <f>[3]Summary!F702</f>
        <v>19</v>
      </c>
      <c r="G703" s="44">
        <f t="shared" si="10"/>
        <v>0</v>
      </c>
      <c r="H703" s="44" t="s">
        <v>1606</v>
      </c>
      <c r="I703" s="41"/>
    </row>
    <row r="704" spans="1:9" ht="23.25">
      <c r="A704" s="201">
        <v>700</v>
      </c>
      <c r="B704" s="45" t="s">
        <v>1747</v>
      </c>
      <c r="C704" s="1" t="s">
        <v>1748</v>
      </c>
      <c r="D704" s="46" t="s">
        <v>135</v>
      </c>
      <c r="E704" s="47">
        <f>[3]Summary!E703</f>
        <v>35</v>
      </c>
      <c r="F704" s="46">
        <f>[3]Summary!F703</f>
        <v>0</v>
      </c>
      <c r="G704" s="48">
        <f t="shared" si="10"/>
        <v>0</v>
      </c>
      <c r="H704" s="48" t="s">
        <v>1676</v>
      </c>
      <c r="I704" s="45"/>
    </row>
    <row r="705" spans="1:9" ht="42">
      <c r="A705" s="177">
        <v>701</v>
      </c>
      <c r="B705" s="41" t="s">
        <v>1749</v>
      </c>
      <c r="C705" s="42" t="s">
        <v>1750</v>
      </c>
      <c r="D705" s="178" t="s">
        <v>135</v>
      </c>
      <c r="E705" s="43">
        <f>[3]Summary!E704</f>
        <v>0</v>
      </c>
      <c r="F705" s="179">
        <f>[3]Summary!F704</f>
        <v>0</v>
      </c>
      <c r="G705" s="44">
        <f t="shared" si="10"/>
        <v>0</v>
      </c>
      <c r="H705" s="44" t="s">
        <v>1676</v>
      </c>
      <c r="I705" s="41"/>
    </row>
    <row r="706" spans="1:9" ht="23.25">
      <c r="A706" s="201">
        <v>702</v>
      </c>
      <c r="B706" s="45" t="s">
        <v>1751</v>
      </c>
      <c r="C706" s="1" t="s">
        <v>1752</v>
      </c>
      <c r="D706" s="46" t="s">
        <v>135</v>
      </c>
      <c r="E706" s="47">
        <f>[3]Summary!E705</f>
        <v>0.9</v>
      </c>
      <c r="F706" s="46">
        <f>[3]Summary!F705</f>
        <v>0</v>
      </c>
      <c r="G706" s="48">
        <f t="shared" si="10"/>
        <v>0</v>
      </c>
      <c r="H706" s="48" t="s">
        <v>1676</v>
      </c>
      <c r="I706" s="45"/>
    </row>
    <row r="707" spans="1:9" ht="46.5">
      <c r="A707" s="177">
        <v>703</v>
      </c>
      <c r="B707" s="41" t="s">
        <v>1701</v>
      </c>
      <c r="C707" s="42" t="s">
        <v>1702</v>
      </c>
      <c r="D707" s="178" t="s">
        <v>135</v>
      </c>
      <c r="E707" s="43">
        <f>[3]Summary!E706</f>
        <v>0</v>
      </c>
      <c r="F707" s="179">
        <f>[3]Summary!F706</f>
        <v>38</v>
      </c>
      <c r="G707" s="44">
        <f t="shared" si="10"/>
        <v>0</v>
      </c>
      <c r="H707" s="44" t="s">
        <v>5395</v>
      </c>
      <c r="I707" s="41"/>
    </row>
    <row r="708" spans="1:9" ht="23.25">
      <c r="A708" s="201">
        <v>704</v>
      </c>
      <c r="B708" s="45" t="s">
        <v>1699</v>
      </c>
      <c r="C708" s="1" t="s">
        <v>1700</v>
      </c>
      <c r="D708" s="46" t="s">
        <v>135</v>
      </c>
      <c r="E708" s="47">
        <f>[3]Summary!E707</f>
        <v>0</v>
      </c>
      <c r="F708" s="46">
        <f>[3]Summary!F707</f>
        <v>5</v>
      </c>
      <c r="G708" s="48">
        <f t="shared" si="10"/>
        <v>0</v>
      </c>
      <c r="H708" s="48" t="s">
        <v>1612</v>
      </c>
      <c r="I708" s="45"/>
    </row>
    <row r="709" spans="1:9" ht="42">
      <c r="A709" s="177">
        <v>705</v>
      </c>
      <c r="B709" s="41" t="s">
        <v>1698</v>
      </c>
      <c r="C709" s="42" t="s">
        <v>1753</v>
      </c>
      <c r="D709" s="178" t="s">
        <v>135</v>
      </c>
      <c r="E709" s="43">
        <f>[3]Summary!E708</f>
        <v>0</v>
      </c>
      <c r="F709" s="179">
        <f>[3]Summary!F708</f>
        <v>4</v>
      </c>
      <c r="G709" s="44">
        <f t="shared" ref="G709:G772" si="11">F709*E709</f>
        <v>0</v>
      </c>
      <c r="H709" s="44" t="s">
        <v>5403</v>
      </c>
      <c r="I709" s="41"/>
    </row>
    <row r="710" spans="1:9" ht="23.25">
      <c r="A710" s="201">
        <v>706</v>
      </c>
      <c r="B710" s="45" t="s">
        <v>1643</v>
      </c>
      <c r="C710" s="1" t="s">
        <v>1644</v>
      </c>
      <c r="D710" s="46" t="s">
        <v>135</v>
      </c>
      <c r="E710" s="47">
        <f>[3]Summary!E709</f>
        <v>2</v>
      </c>
      <c r="F710" s="46">
        <f>[3]Summary!F709</f>
        <v>0</v>
      </c>
      <c r="G710" s="48">
        <f t="shared" si="11"/>
        <v>0</v>
      </c>
      <c r="H710" s="48" t="s">
        <v>1606</v>
      </c>
      <c r="I710" s="45"/>
    </row>
    <row r="711" spans="1:9" ht="23.25">
      <c r="A711" s="177">
        <v>707</v>
      </c>
      <c r="B711" s="41" t="s">
        <v>1642</v>
      </c>
      <c r="C711" s="42" t="s">
        <v>1754</v>
      </c>
      <c r="D711" s="178" t="s">
        <v>135</v>
      </c>
      <c r="E711" s="43">
        <f>[3]Summary!E710</f>
        <v>1</v>
      </c>
      <c r="F711" s="179">
        <f>[3]Summary!F710</f>
        <v>907</v>
      </c>
      <c r="G711" s="44">
        <f t="shared" si="11"/>
        <v>907</v>
      </c>
      <c r="H711" s="44" t="s">
        <v>1606</v>
      </c>
      <c r="I711" s="41"/>
    </row>
    <row r="712" spans="1:9" ht="23.25">
      <c r="A712" s="201">
        <v>708</v>
      </c>
      <c r="B712" s="45" t="s">
        <v>1696</v>
      </c>
      <c r="C712" s="1" t="s">
        <v>1755</v>
      </c>
      <c r="D712" s="46" t="s">
        <v>135</v>
      </c>
      <c r="E712" s="47">
        <f>[3]Summary!E711</f>
        <v>0</v>
      </c>
      <c r="F712" s="46">
        <f>[3]Summary!F711</f>
        <v>7</v>
      </c>
      <c r="G712" s="48">
        <f t="shared" si="11"/>
        <v>0</v>
      </c>
      <c r="H712" s="48" t="s">
        <v>5390</v>
      </c>
      <c r="I712" s="45"/>
    </row>
    <row r="713" spans="1:9" ht="46.5">
      <c r="A713" s="177">
        <v>709</v>
      </c>
      <c r="B713" s="41" t="s">
        <v>1610</v>
      </c>
      <c r="C713" s="42" t="s">
        <v>1611</v>
      </c>
      <c r="D713" s="178" t="s">
        <v>135</v>
      </c>
      <c r="E713" s="43">
        <f>[3]Summary!E712</f>
        <v>6</v>
      </c>
      <c r="F713" s="179">
        <f>[3]Summary!F712</f>
        <v>6</v>
      </c>
      <c r="G713" s="44">
        <f t="shared" si="11"/>
        <v>36</v>
      </c>
      <c r="H713" s="44" t="s">
        <v>1606</v>
      </c>
      <c r="I713" s="41"/>
    </row>
    <row r="714" spans="1:9" ht="46.5">
      <c r="A714" s="201">
        <v>710</v>
      </c>
      <c r="B714" s="45" t="s">
        <v>1756</v>
      </c>
      <c r="C714" s="1" t="s">
        <v>1609</v>
      </c>
      <c r="D714" s="46" t="s">
        <v>135</v>
      </c>
      <c r="E714" s="47">
        <f>[3]Summary!E713</f>
        <v>0</v>
      </c>
      <c r="F714" s="46">
        <f>[3]Summary!F713</f>
        <v>18</v>
      </c>
      <c r="G714" s="48">
        <f t="shared" si="11"/>
        <v>0</v>
      </c>
      <c r="H714" s="48" t="s">
        <v>1606</v>
      </c>
      <c r="I714" s="45"/>
    </row>
    <row r="715" spans="1:9" ht="46.5">
      <c r="A715" s="177">
        <v>711</v>
      </c>
      <c r="B715" s="41" t="s">
        <v>1607</v>
      </c>
      <c r="C715" s="42" t="s">
        <v>1608</v>
      </c>
      <c r="D715" s="178" t="s">
        <v>135</v>
      </c>
      <c r="E715" s="43">
        <f>[3]Summary!E714</f>
        <v>0</v>
      </c>
      <c r="F715" s="179">
        <f>[3]Summary!F714</f>
        <v>19</v>
      </c>
      <c r="G715" s="44">
        <f t="shared" si="11"/>
        <v>0</v>
      </c>
      <c r="H715" s="44" t="s">
        <v>1606</v>
      </c>
      <c r="I715" s="41"/>
    </row>
    <row r="716" spans="1:9" ht="23.25">
      <c r="A716" s="201">
        <v>712</v>
      </c>
      <c r="B716" s="45" t="s">
        <v>1664</v>
      </c>
      <c r="C716" s="1" t="s">
        <v>1665</v>
      </c>
      <c r="D716" s="46" t="s">
        <v>135</v>
      </c>
      <c r="E716" s="47">
        <f>[3]Summary!E715</f>
        <v>0</v>
      </c>
      <c r="F716" s="46">
        <f>[3]Summary!F715</f>
        <v>12</v>
      </c>
      <c r="G716" s="48">
        <f t="shared" si="11"/>
        <v>0</v>
      </c>
      <c r="H716" s="48" t="s">
        <v>1636</v>
      </c>
      <c r="I716" s="45"/>
    </row>
    <row r="717" spans="1:9" ht="23.25">
      <c r="A717" s="177">
        <v>713</v>
      </c>
      <c r="B717" s="41" t="s">
        <v>1662</v>
      </c>
      <c r="C717" s="42" t="s">
        <v>1663</v>
      </c>
      <c r="D717" s="178" t="s">
        <v>135</v>
      </c>
      <c r="E717" s="43">
        <f>[3]Summary!E716</f>
        <v>0</v>
      </c>
      <c r="F717" s="179">
        <f>[3]Summary!F716</f>
        <v>17</v>
      </c>
      <c r="G717" s="44">
        <f t="shared" si="11"/>
        <v>0</v>
      </c>
      <c r="H717" s="44" t="s">
        <v>1636</v>
      </c>
      <c r="I717" s="41"/>
    </row>
    <row r="718" spans="1:9" ht="23.25">
      <c r="A718" s="201">
        <v>714</v>
      </c>
      <c r="B718" s="45" t="s">
        <v>1660</v>
      </c>
      <c r="C718" s="1" t="s">
        <v>1661</v>
      </c>
      <c r="D718" s="46" t="s">
        <v>135</v>
      </c>
      <c r="E718" s="47">
        <f>[3]Summary!E717</f>
        <v>0</v>
      </c>
      <c r="F718" s="46">
        <f>[3]Summary!F717</f>
        <v>2</v>
      </c>
      <c r="G718" s="48">
        <f t="shared" si="11"/>
        <v>0</v>
      </c>
      <c r="H718" s="48" t="s">
        <v>1636</v>
      </c>
      <c r="I718" s="45"/>
    </row>
    <row r="719" spans="1:9" ht="23.25">
      <c r="A719" s="177">
        <v>715</v>
      </c>
      <c r="B719" s="41" t="s">
        <v>1757</v>
      </c>
      <c r="C719" s="42" t="s">
        <v>1758</v>
      </c>
      <c r="D719" s="178" t="s">
        <v>135</v>
      </c>
      <c r="E719" s="43">
        <f>[3]Summary!E718</f>
        <v>0</v>
      </c>
      <c r="F719" s="179">
        <f>[3]Summary!F718</f>
        <v>0</v>
      </c>
      <c r="G719" s="44">
        <f t="shared" si="11"/>
        <v>0</v>
      </c>
      <c r="H719" s="44" t="s">
        <v>5397</v>
      </c>
      <c r="I719" s="41"/>
    </row>
    <row r="720" spans="1:9" ht="23.25">
      <c r="A720" s="201">
        <v>716</v>
      </c>
      <c r="B720" s="45" t="s">
        <v>1759</v>
      </c>
      <c r="C720" s="1" t="s">
        <v>1637</v>
      </c>
      <c r="D720" s="46" t="s">
        <v>135</v>
      </c>
      <c r="E720" s="47">
        <f>[3]Summary!E719</f>
        <v>0</v>
      </c>
      <c r="F720" s="46">
        <f>[3]Summary!F719</f>
        <v>14</v>
      </c>
      <c r="G720" s="48">
        <f t="shared" si="11"/>
        <v>0</v>
      </c>
      <c r="H720" s="48" t="s">
        <v>5402</v>
      </c>
      <c r="I720" s="45"/>
    </row>
    <row r="721" spans="1:9" ht="42">
      <c r="A721" s="177">
        <v>717</v>
      </c>
      <c r="B721" s="41" t="s">
        <v>1760</v>
      </c>
      <c r="C721" s="42" t="s">
        <v>1697</v>
      </c>
      <c r="D721" s="178" t="s">
        <v>135</v>
      </c>
      <c r="E721" s="43">
        <f>[3]Summary!E720</f>
        <v>0</v>
      </c>
      <c r="F721" s="179">
        <f>[3]Summary!F720</f>
        <v>38</v>
      </c>
      <c r="G721" s="44">
        <f t="shared" si="11"/>
        <v>0</v>
      </c>
      <c r="H721" s="44" t="s">
        <v>5395</v>
      </c>
      <c r="I721" s="41"/>
    </row>
    <row r="722" spans="1:9" ht="46.5">
      <c r="A722" s="201">
        <v>718</v>
      </c>
      <c r="B722" s="45" t="s">
        <v>1761</v>
      </c>
      <c r="C722" s="1" t="s">
        <v>1693</v>
      </c>
      <c r="D722" s="46" t="s">
        <v>135</v>
      </c>
      <c r="E722" s="47">
        <f>[3]Summary!E721</f>
        <v>0</v>
      </c>
      <c r="F722" s="46">
        <f>[3]Summary!F721</f>
        <v>75</v>
      </c>
      <c r="G722" s="48">
        <f t="shared" si="11"/>
        <v>0</v>
      </c>
      <c r="H722" s="48" t="s">
        <v>5395</v>
      </c>
      <c r="I722" s="45"/>
    </row>
    <row r="723" spans="1:9" ht="46.5">
      <c r="A723" s="177">
        <v>719</v>
      </c>
      <c r="B723" s="41" t="s">
        <v>5795</v>
      </c>
      <c r="C723" s="42" t="s">
        <v>1613</v>
      </c>
      <c r="D723" s="178" t="s">
        <v>135</v>
      </c>
      <c r="E723" s="43">
        <f>[3]Summary!E722</f>
        <v>0</v>
      </c>
      <c r="F723" s="179">
        <f>[3]Summary!F722</f>
        <v>4</v>
      </c>
      <c r="G723" s="44">
        <f t="shared" si="11"/>
        <v>0</v>
      </c>
      <c r="H723" s="44" t="s">
        <v>5395</v>
      </c>
      <c r="I723" s="41"/>
    </row>
    <row r="724" spans="1:9" ht="23.25">
      <c r="A724" s="201">
        <v>720</v>
      </c>
      <c r="B724" s="45" t="s">
        <v>623</v>
      </c>
      <c r="C724" s="1" t="s">
        <v>1666</v>
      </c>
      <c r="D724" s="46" t="s">
        <v>180</v>
      </c>
      <c r="E724" s="47">
        <f>[3]Summary!E723</f>
        <v>250</v>
      </c>
      <c r="F724" s="46">
        <f>[3]Summary!F723</f>
        <v>0</v>
      </c>
      <c r="G724" s="48">
        <f t="shared" si="11"/>
        <v>0</v>
      </c>
      <c r="H724" s="48" t="s">
        <v>5388</v>
      </c>
      <c r="I724" s="45"/>
    </row>
    <row r="725" spans="1:9" ht="23.25">
      <c r="A725" s="177">
        <v>721</v>
      </c>
      <c r="B725" s="41" t="s">
        <v>1658</v>
      </c>
      <c r="C725" s="42" t="s">
        <v>1659</v>
      </c>
      <c r="D725" s="178" t="s">
        <v>135</v>
      </c>
      <c r="E725" s="43">
        <f>[3]Summary!E724</f>
        <v>2.5363000000000002</v>
      </c>
      <c r="F725" s="179">
        <f>[3]Summary!F724</f>
        <v>76</v>
      </c>
      <c r="G725" s="44">
        <f t="shared" si="11"/>
        <v>192.75880000000001</v>
      </c>
      <c r="H725" s="44" t="s">
        <v>5395</v>
      </c>
      <c r="I725" s="41"/>
    </row>
    <row r="726" spans="1:9" ht="23.25">
      <c r="A726" s="201">
        <v>722</v>
      </c>
      <c r="B726" s="45" t="s">
        <v>1634</v>
      </c>
      <c r="C726" s="1" t="s">
        <v>1635</v>
      </c>
      <c r="D726" s="46" t="s">
        <v>135</v>
      </c>
      <c r="E726" s="47">
        <f>[3]Summary!E725</f>
        <v>95</v>
      </c>
      <c r="F726" s="46">
        <f>[3]Summary!F725</f>
        <v>4</v>
      </c>
      <c r="G726" s="48">
        <f t="shared" si="11"/>
        <v>380</v>
      </c>
      <c r="H726" s="48" t="s">
        <v>1636</v>
      </c>
      <c r="I726" s="45"/>
    </row>
    <row r="727" spans="1:9" ht="46.5">
      <c r="A727" s="177">
        <v>723</v>
      </c>
      <c r="B727" s="41" t="s">
        <v>437</v>
      </c>
      <c r="C727" s="42" t="s">
        <v>1648</v>
      </c>
      <c r="D727" s="178" t="s">
        <v>135</v>
      </c>
      <c r="E727" s="43">
        <f>[3]Summary!E726</f>
        <v>12</v>
      </c>
      <c r="F727" s="179">
        <f>[3]Summary!F726</f>
        <v>0</v>
      </c>
      <c r="G727" s="44">
        <f t="shared" si="11"/>
        <v>0</v>
      </c>
      <c r="H727" s="44" t="s">
        <v>1641</v>
      </c>
      <c r="I727" s="41"/>
    </row>
    <row r="728" spans="1:9" ht="23.25">
      <c r="A728" s="201">
        <v>724</v>
      </c>
      <c r="B728" s="45" t="s">
        <v>1650</v>
      </c>
      <c r="C728" s="1" t="s">
        <v>1651</v>
      </c>
      <c r="D728" s="46" t="s">
        <v>135</v>
      </c>
      <c r="E728" s="47">
        <f>[3]Summary!E727</f>
        <v>4.1500000000000004</v>
      </c>
      <c r="F728" s="46">
        <f>[3]Summary!F727</f>
        <v>3</v>
      </c>
      <c r="G728" s="48">
        <f t="shared" si="11"/>
        <v>12.450000000000001</v>
      </c>
      <c r="H728" s="48" t="s">
        <v>1612</v>
      </c>
      <c r="I728" s="45"/>
    </row>
    <row r="729" spans="1:9" ht="69.75">
      <c r="A729" s="177">
        <v>725</v>
      </c>
      <c r="B729" s="41" t="s">
        <v>5263</v>
      </c>
      <c r="C729" s="42" t="s">
        <v>5264</v>
      </c>
      <c r="D729" s="178" t="s">
        <v>135</v>
      </c>
      <c r="E729" s="43">
        <f>[3]Summary!E728</f>
        <v>11.62</v>
      </c>
      <c r="F729" s="179">
        <f>[3]Summary!F728</f>
        <v>0</v>
      </c>
      <c r="G729" s="44">
        <f t="shared" si="11"/>
        <v>0</v>
      </c>
      <c r="H729" s="44" t="s">
        <v>5390</v>
      </c>
      <c r="I729" s="41"/>
    </row>
    <row r="730" spans="1:9" ht="46.5">
      <c r="A730" s="201">
        <v>726</v>
      </c>
      <c r="B730" s="45" t="s">
        <v>5265</v>
      </c>
      <c r="C730" s="1" t="s">
        <v>5266</v>
      </c>
      <c r="D730" s="46" t="s">
        <v>135</v>
      </c>
      <c r="E730" s="47">
        <f>[3]Summary!E729</f>
        <v>10</v>
      </c>
      <c r="F730" s="46">
        <f>[3]Summary!F729</f>
        <v>17</v>
      </c>
      <c r="G730" s="48">
        <f t="shared" si="11"/>
        <v>170</v>
      </c>
      <c r="H730" s="48" t="s">
        <v>1641</v>
      </c>
      <c r="I730" s="45"/>
    </row>
    <row r="731" spans="1:9" ht="23.25">
      <c r="A731" s="177">
        <v>727</v>
      </c>
      <c r="B731" s="41" t="s">
        <v>5267</v>
      </c>
      <c r="C731" s="42" t="s">
        <v>5268</v>
      </c>
      <c r="D731" s="178" t="s">
        <v>135</v>
      </c>
      <c r="E731" s="43">
        <f>[3]Summary!E730</f>
        <v>650</v>
      </c>
      <c r="F731" s="179">
        <f>[3]Summary!F730</f>
        <v>0</v>
      </c>
      <c r="G731" s="44">
        <f t="shared" si="11"/>
        <v>0</v>
      </c>
      <c r="H731" s="44" t="s">
        <v>1683</v>
      </c>
      <c r="I731" s="41"/>
    </row>
    <row r="732" spans="1:9" ht="42">
      <c r="A732" s="201">
        <v>728</v>
      </c>
      <c r="B732" s="45" t="s">
        <v>5269</v>
      </c>
      <c r="C732" s="1" t="s">
        <v>5270</v>
      </c>
      <c r="D732" s="46" t="s">
        <v>135</v>
      </c>
      <c r="E732" s="47">
        <f>[3]Summary!E731</f>
        <v>14</v>
      </c>
      <c r="F732" s="46">
        <f>[3]Summary!F731</f>
        <v>49</v>
      </c>
      <c r="G732" s="48">
        <f t="shared" si="11"/>
        <v>686</v>
      </c>
      <c r="H732" s="48" t="s">
        <v>1641</v>
      </c>
      <c r="I732" s="45"/>
    </row>
    <row r="733" spans="1:9" ht="46.5">
      <c r="A733" s="177">
        <v>729</v>
      </c>
      <c r="B733" s="41" t="s">
        <v>5271</v>
      </c>
      <c r="C733" s="42" t="s">
        <v>5272</v>
      </c>
      <c r="D733" s="178" t="s">
        <v>135</v>
      </c>
      <c r="E733" s="43">
        <f>[3]Summary!E732</f>
        <v>8</v>
      </c>
      <c r="F733" s="179">
        <f>[3]Summary!F732</f>
        <v>1</v>
      </c>
      <c r="G733" s="44">
        <f t="shared" si="11"/>
        <v>8</v>
      </c>
      <c r="H733" s="44" t="s">
        <v>1641</v>
      </c>
      <c r="I733" s="41"/>
    </row>
    <row r="734" spans="1:9" ht="46.5">
      <c r="A734" s="201">
        <v>730</v>
      </c>
      <c r="B734" s="45" t="s">
        <v>5273</v>
      </c>
      <c r="C734" s="1" t="s">
        <v>5274</v>
      </c>
      <c r="D734" s="46" t="s">
        <v>135</v>
      </c>
      <c r="E734" s="47">
        <f>[3]Summary!E733</f>
        <v>25</v>
      </c>
      <c r="F734" s="46">
        <f>[3]Summary!F733</f>
        <v>0</v>
      </c>
      <c r="G734" s="48">
        <f t="shared" si="11"/>
        <v>0</v>
      </c>
      <c r="H734" s="48" t="s">
        <v>1641</v>
      </c>
      <c r="I734" s="45"/>
    </row>
    <row r="735" spans="1:9" ht="23.25">
      <c r="A735" s="177">
        <v>731</v>
      </c>
      <c r="B735" s="41" t="s">
        <v>5275</v>
      </c>
      <c r="C735" s="42" t="s">
        <v>5276</v>
      </c>
      <c r="D735" s="178" t="s">
        <v>135</v>
      </c>
      <c r="E735" s="43">
        <f>[3]Summary!E734</f>
        <v>0</v>
      </c>
      <c r="F735" s="179">
        <f>[3]Summary!F734</f>
        <v>46</v>
      </c>
      <c r="G735" s="44">
        <f t="shared" si="11"/>
        <v>0</v>
      </c>
      <c r="H735" s="44" t="s">
        <v>1641</v>
      </c>
      <c r="I735" s="41"/>
    </row>
    <row r="736" spans="1:9" ht="23.25">
      <c r="A736" s="201">
        <v>732</v>
      </c>
      <c r="B736" s="45" t="s">
        <v>5277</v>
      </c>
      <c r="C736" s="1" t="s">
        <v>5278</v>
      </c>
      <c r="D736" s="46" t="s">
        <v>135</v>
      </c>
      <c r="E736" s="47">
        <f>[3]Summary!E735</f>
        <v>0</v>
      </c>
      <c r="F736" s="46">
        <f>[3]Summary!F735</f>
        <v>11</v>
      </c>
      <c r="G736" s="48">
        <f t="shared" si="11"/>
        <v>0</v>
      </c>
      <c r="H736" s="48" t="s">
        <v>1641</v>
      </c>
      <c r="I736" s="45"/>
    </row>
    <row r="737" spans="1:9" ht="42">
      <c r="A737" s="177">
        <v>733</v>
      </c>
      <c r="B737" s="41" t="s">
        <v>5279</v>
      </c>
      <c r="C737" s="42" t="s">
        <v>5280</v>
      </c>
      <c r="D737" s="178" t="s">
        <v>135</v>
      </c>
      <c r="E737" s="43">
        <f>[3]Summary!E736</f>
        <v>0</v>
      </c>
      <c r="F737" s="179">
        <f>[3]Summary!F736</f>
        <v>0</v>
      </c>
      <c r="G737" s="44">
        <f t="shared" si="11"/>
        <v>0</v>
      </c>
      <c r="H737" s="44" t="s">
        <v>1641</v>
      </c>
      <c r="I737" s="41"/>
    </row>
    <row r="738" spans="1:9" ht="23.25">
      <c r="A738" s="201">
        <v>734</v>
      </c>
      <c r="B738" s="45" t="s">
        <v>5281</v>
      </c>
      <c r="C738" s="1" t="s">
        <v>5282</v>
      </c>
      <c r="D738" s="46" t="s">
        <v>135</v>
      </c>
      <c r="E738" s="47">
        <f>[3]Summary!E737</f>
        <v>0</v>
      </c>
      <c r="F738" s="46">
        <f>[3]Summary!F737</f>
        <v>12</v>
      </c>
      <c r="G738" s="48">
        <f t="shared" si="11"/>
        <v>0</v>
      </c>
      <c r="H738" s="48" t="s">
        <v>1636</v>
      </c>
      <c r="I738" s="45"/>
    </row>
    <row r="739" spans="1:9" ht="23.25">
      <c r="A739" s="177">
        <v>735</v>
      </c>
      <c r="B739" s="41" t="s">
        <v>5283</v>
      </c>
      <c r="C739" s="42" t="s">
        <v>5284</v>
      </c>
      <c r="D739" s="178" t="s">
        <v>135</v>
      </c>
      <c r="E739" s="43">
        <f>[3]Summary!E738</f>
        <v>5</v>
      </c>
      <c r="F739" s="179">
        <f>[3]Summary!F738</f>
        <v>2</v>
      </c>
      <c r="G739" s="44">
        <f t="shared" si="11"/>
        <v>10</v>
      </c>
      <c r="H739" s="44" t="s">
        <v>1612</v>
      </c>
      <c r="I739" s="41"/>
    </row>
    <row r="740" spans="1:9" ht="42">
      <c r="A740" s="201">
        <v>736</v>
      </c>
      <c r="B740" s="45" t="s">
        <v>5285</v>
      </c>
      <c r="C740" s="1" t="s">
        <v>5286</v>
      </c>
      <c r="D740" s="46" t="s">
        <v>135</v>
      </c>
      <c r="E740" s="47">
        <f>[3]Summary!E739</f>
        <v>0</v>
      </c>
      <c r="F740" s="46">
        <f>[3]Summary!F739</f>
        <v>0</v>
      </c>
      <c r="G740" s="48">
        <f t="shared" si="11"/>
        <v>0</v>
      </c>
      <c r="H740" s="48" t="s">
        <v>1636</v>
      </c>
      <c r="I740" s="45"/>
    </row>
    <row r="741" spans="1:9" ht="23.25">
      <c r="A741" s="177">
        <v>737</v>
      </c>
      <c r="B741" s="41" t="s">
        <v>5287</v>
      </c>
      <c r="C741" s="42" t="s">
        <v>5288</v>
      </c>
      <c r="D741" s="178" t="s">
        <v>135</v>
      </c>
      <c r="E741" s="43">
        <f>[3]Summary!E740</f>
        <v>0</v>
      </c>
      <c r="F741" s="179">
        <f>[3]Summary!F740</f>
        <v>39</v>
      </c>
      <c r="G741" s="44">
        <f t="shared" si="11"/>
        <v>0</v>
      </c>
      <c r="H741" s="44" t="s">
        <v>1636</v>
      </c>
      <c r="I741" s="41"/>
    </row>
    <row r="742" spans="1:9" ht="23.25">
      <c r="A742" s="201">
        <v>738</v>
      </c>
      <c r="B742" s="45" t="s">
        <v>5289</v>
      </c>
      <c r="C742" s="1" t="s">
        <v>5290</v>
      </c>
      <c r="D742" s="46" t="s">
        <v>135</v>
      </c>
      <c r="E742" s="47">
        <f>[3]Summary!E741</f>
        <v>1.5</v>
      </c>
      <c r="F742" s="46">
        <f>[3]Summary!F741</f>
        <v>16</v>
      </c>
      <c r="G742" s="48">
        <f t="shared" si="11"/>
        <v>24</v>
      </c>
      <c r="H742" s="48" t="s">
        <v>1636</v>
      </c>
      <c r="I742" s="45"/>
    </row>
    <row r="743" spans="1:9" ht="23.25">
      <c r="A743" s="177">
        <v>739</v>
      </c>
      <c r="B743" s="41" t="s">
        <v>5291</v>
      </c>
      <c r="C743" s="42" t="s">
        <v>5292</v>
      </c>
      <c r="D743" s="178" t="s">
        <v>135</v>
      </c>
      <c r="E743" s="43">
        <f>[3]Summary!E742</f>
        <v>0</v>
      </c>
      <c r="F743" s="179">
        <f>[3]Summary!F742</f>
        <v>34</v>
      </c>
      <c r="G743" s="44">
        <f t="shared" si="11"/>
        <v>0</v>
      </c>
      <c r="H743" s="44" t="s">
        <v>5395</v>
      </c>
      <c r="I743" s="41"/>
    </row>
    <row r="744" spans="1:9" ht="23.25">
      <c r="A744" s="201">
        <v>740</v>
      </c>
      <c r="B744" s="45" t="s">
        <v>5293</v>
      </c>
      <c r="C744" s="1" t="s">
        <v>5294</v>
      </c>
      <c r="D744" s="46" t="s">
        <v>135</v>
      </c>
      <c r="E744" s="47">
        <f>[3]Summary!E743</f>
        <v>0</v>
      </c>
      <c r="F744" s="46">
        <f>[3]Summary!F743</f>
        <v>3</v>
      </c>
      <c r="G744" s="48">
        <f t="shared" si="11"/>
        <v>0</v>
      </c>
      <c r="H744" s="48" t="s">
        <v>5395</v>
      </c>
      <c r="I744" s="45"/>
    </row>
    <row r="745" spans="1:9" ht="46.5">
      <c r="A745" s="177">
        <v>741</v>
      </c>
      <c r="B745" s="41" t="s">
        <v>5295</v>
      </c>
      <c r="C745" s="42" t="s">
        <v>5296</v>
      </c>
      <c r="D745" s="178" t="s">
        <v>135</v>
      </c>
      <c r="E745" s="43">
        <f>[3]Summary!E744</f>
        <v>0</v>
      </c>
      <c r="F745" s="179">
        <f>[3]Summary!F744</f>
        <v>0</v>
      </c>
      <c r="G745" s="44">
        <f t="shared" si="11"/>
        <v>0</v>
      </c>
      <c r="H745" s="44" t="s">
        <v>5395</v>
      </c>
      <c r="I745" s="41"/>
    </row>
    <row r="746" spans="1:9" ht="46.5">
      <c r="A746" s="201">
        <v>742</v>
      </c>
      <c r="B746" s="45" t="s">
        <v>5297</v>
      </c>
      <c r="C746" s="1" t="s">
        <v>5298</v>
      </c>
      <c r="D746" s="46" t="s">
        <v>135</v>
      </c>
      <c r="E746" s="47">
        <f>[3]Summary!E745</f>
        <v>0</v>
      </c>
      <c r="F746" s="46">
        <f>[3]Summary!F745</f>
        <v>18</v>
      </c>
      <c r="G746" s="48">
        <f t="shared" si="11"/>
        <v>0</v>
      </c>
      <c r="H746" s="48" t="s">
        <v>5389</v>
      </c>
      <c r="I746" s="45"/>
    </row>
    <row r="747" spans="1:9" ht="23.25">
      <c r="A747" s="177">
        <v>743</v>
      </c>
      <c r="B747" s="41" t="s">
        <v>5299</v>
      </c>
      <c r="C747" s="42" t="s">
        <v>5300</v>
      </c>
      <c r="D747" s="178" t="s">
        <v>135</v>
      </c>
      <c r="E747" s="43">
        <f>[3]Summary!E746</f>
        <v>0</v>
      </c>
      <c r="F747" s="179">
        <f>[3]Summary!F746</f>
        <v>6</v>
      </c>
      <c r="G747" s="44">
        <f t="shared" si="11"/>
        <v>0</v>
      </c>
      <c r="H747" s="44" t="s">
        <v>5390</v>
      </c>
      <c r="I747" s="41"/>
    </row>
    <row r="748" spans="1:9" ht="46.5">
      <c r="A748" s="201">
        <v>744</v>
      </c>
      <c r="B748" s="45" t="s">
        <v>5301</v>
      </c>
      <c r="C748" s="1" t="s">
        <v>5302</v>
      </c>
      <c r="D748" s="46" t="s">
        <v>135</v>
      </c>
      <c r="E748" s="47">
        <f>[3]Summary!E747</f>
        <v>1</v>
      </c>
      <c r="F748" s="46">
        <f>[3]Summary!F747</f>
        <v>0</v>
      </c>
      <c r="G748" s="48">
        <f t="shared" si="11"/>
        <v>0</v>
      </c>
      <c r="H748" s="48" t="s">
        <v>5389</v>
      </c>
      <c r="I748" s="45"/>
    </row>
    <row r="749" spans="1:9" ht="42">
      <c r="A749" s="177">
        <v>745</v>
      </c>
      <c r="B749" s="41" t="s">
        <v>5303</v>
      </c>
      <c r="C749" s="42" t="s">
        <v>5304</v>
      </c>
      <c r="D749" s="178" t="s">
        <v>135</v>
      </c>
      <c r="E749" s="43">
        <f>[3]Summary!E748</f>
        <v>0</v>
      </c>
      <c r="F749" s="179">
        <f>[3]Summary!F748</f>
        <v>0</v>
      </c>
      <c r="G749" s="44">
        <f t="shared" si="11"/>
        <v>0</v>
      </c>
      <c r="H749" s="44" t="s">
        <v>1676</v>
      </c>
      <c r="I749" s="41"/>
    </row>
    <row r="750" spans="1:9" ht="23.25">
      <c r="A750" s="201">
        <v>746</v>
      </c>
      <c r="B750" s="45" t="s">
        <v>5305</v>
      </c>
      <c r="C750" s="1" t="s">
        <v>5306</v>
      </c>
      <c r="D750" s="46" t="s">
        <v>135</v>
      </c>
      <c r="E750" s="47">
        <f>[3]Summary!E749</f>
        <v>0</v>
      </c>
      <c r="F750" s="46">
        <f>[3]Summary!F749</f>
        <v>14</v>
      </c>
      <c r="G750" s="48">
        <f t="shared" si="11"/>
        <v>0</v>
      </c>
      <c r="H750" s="48" t="s">
        <v>1676</v>
      </c>
      <c r="I750" s="45"/>
    </row>
    <row r="751" spans="1:9" ht="23.25">
      <c r="A751" s="177">
        <v>747</v>
      </c>
      <c r="B751" s="41" t="s">
        <v>5307</v>
      </c>
      <c r="C751" s="42" t="s">
        <v>5308</v>
      </c>
      <c r="D751" s="178" t="s">
        <v>135</v>
      </c>
      <c r="E751" s="43">
        <f>[3]Summary!E750</f>
        <v>0</v>
      </c>
      <c r="F751" s="179">
        <f>[3]Summary!F750</f>
        <v>6</v>
      </c>
      <c r="G751" s="44">
        <f t="shared" si="11"/>
        <v>0</v>
      </c>
      <c r="H751" s="44" t="s">
        <v>5393</v>
      </c>
      <c r="I751" s="41"/>
    </row>
    <row r="752" spans="1:9" ht="46.5">
      <c r="A752" s="201">
        <v>748</v>
      </c>
      <c r="B752" s="45" t="s">
        <v>5309</v>
      </c>
      <c r="C752" s="1" t="s">
        <v>5310</v>
      </c>
      <c r="D752" s="46" t="s">
        <v>135</v>
      </c>
      <c r="E752" s="47">
        <f>[3]Summary!E751</f>
        <v>0</v>
      </c>
      <c r="F752" s="46">
        <f>[3]Summary!F751</f>
        <v>13</v>
      </c>
      <c r="G752" s="48">
        <f t="shared" si="11"/>
        <v>0</v>
      </c>
      <c r="H752" s="48" t="s">
        <v>1612</v>
      </c>
      <c r="I752" s="45"/>
    </row>
    <row r="753" spans="1:9" ht="23.25">
      <c r="A753" s="177">
        <v>749</v>
      </c>
      <c r="B753" s="41" t="s">
        <v>5311</v>
      </c>
      <c r="C753" s="42" t="s">
        <v>5312</v>
      </c>
      <c r="D753" s="178" t="s">
        <v>135</v>
      </c>
      <c r="E753" s="43">
        <f>[3]Summary!E752</f>
        <v>5</v>
      </c>
      <c r="F753" s="179">
        <f>[3]Summary!F752</f>
        <v>3</v>
      </c>
      <c r="G753" s="44">
        <f t="shared" si="11"/>
        <v>15</v>
      </c>
      <c r="H753" s="44" t="s">
        <v>1612</v>
      </c>
      <c r="I753" s="41"/>
    </row>
    <row r="754" spans="1:9" ht="23.25">
      <c r="A754" s="201">
        <v>750</v>
      </c>
      <c r="B754" s="45" t="s">
        <v>5313</v>
      </c>
      <c r="C754" s="1" t="s">
        <v>5314</v>
      </c>
      <c r="D754" s="46" t="s">
        <v>135</v>
      </c>
      <c r="E754" s="47">
        <f>[3]Summary!E753</f>
        <v>0</v>
      </c>
      <c r="F754" s="46">
        <f>[3]Summary!F753</f>
        <v>32</v>
      </c>
      <c r="G754" s="48">
        <f t="shared" si="11"/>
        <v>0</v>
      </c>
      <c r="H754" s="48" t="s">
        <v>1612</v>
      </c>
      <c r="I754" s="45"/>
    </row>
    <row r="755" spans="1:9" ht="46.5">
      <c r="A755" s="177">
        <v>751</v>
      </c>
      <c r="B755" s="41" t="s">
        <v>5315</v>
      </c>
      <c r="C755" s="42" t="s">
        <v>5316</v>
      </c>
      <c r="D755" s="178" t="s">
        <v>135</v>
      </c>
      <c r="E755" s="43">
        <f>[3]Summary!E754</f>
        <v>0</v>
      </c>
      <c r="F755" s="179">
        <f>[3]Summary!F754</f>
        <v>1</v>
      </c>
      <c r="G755" s="44">
        <f t="shared" si="11"/>
        <v>0</v>
      </c>
      <c r="H755" s="44" t="s">
        <v>1612</v>
      </c>
      <c r="I755" s="41"/>
    </row>
    <row r="756" spans="1:9" ht="23.25">
      <c r="A756" s="201">
        <v>752</v>
      </c>
      <c r="B756" s="45" t="s">
        <v>5317</v>
      </c>
      <c r="C756" s="1" t="s">
        <v>5318</v>
      </c>
      <c r="D756" s="46" t="s">
        <v>135</v>
      </c>
      <c r="E756" s="47">
        <f>[3]Summary!E755</f>
        <v>30</v>
      </c>
      <c r="F756" s="46">
        <f>[3]Summary!F755</f>
        <v>3</v>
      </c>
      <c r="G756" s="48">
        <f t="shared" si="11"/>
        <v>90</v>
      </c>
      <c r="H756" s="48" t="s">
        <v>1654</v>
      </c>
      <c r="I756" s="45"/>
    </row>
    <row r="757" spans="1:9" ht="42">
      <c r="A757" s="177">
        <v>753</v>
      </c>
      <c r="B757" s="41" t="s">
        <v>5319</v>
      </c>
      <c r="C757" s="42" t="s">
        <v>5320</v>
      </c>
      <c r="D757" s="178" t="s">
        <v>135</v>
      </c>
      <c r="E757" s="43">
        <f>[3]Summary!E756</f>
        <v>2</v>
      </c>
      <c r="F757" s="179">
        <f>[3]Summary!F756</f>
        <v>4</v>
      </c>
      <c r="G757" s="44">
        <f t="shared" si="11"/>
        <v>8</v>
      </c>
      <c r="H757" s="44" t="s">
        <v>5400</v>
      </c>
      <c r="I757" s="41"/>
    </row>
    <row r="758" spans="1:9" ht="46.5">
      <c r="A758" s="201">
        <v>754</v>
      </c>
      <c r="B758" s="45" t="s">
        <v>5321</v>
      </c>
      <c r="C758" s="1" t="s">
        <v>5322</v>
      </c>
      <c r="D758" s="46" t="s">
        <v>135</v>
      </c>
      <c r="E758" s="47">
        <f>[3]Summary!E757</f>
        <v>0.5</v>
      </c>
      <c r="F758" s="46">
        <f>[3]Summary!F757</f>
        <v>56</v>
      </c>
      <c r="G758" s="48">
        <f t="shared" si="11"/>
        <v>28</v>
      </c>
      <c r="H758" s="48" t="s">
        <v>5400</v>
      </c>
      <c r="I758" s="45"/>
    </row>
    <row r="759" spans="1:9" ht="23.25">
      <c r="A759" s="177">
        <v>755</v>
      </c>
      <c r="B759" s="41" t="s">
        <v>5323</v>
      </c>
      <c r="C759" s="42" t="s">
        <v>5324</v>
      </c>
      <c r="D759" s="178" t="s">
        <v>135</v>
      </c>
      <c r="E759" s="43">
        <f>[3]Summary!E758</f>
        <v>185</v>
      </c>
      <c r="F759" s="179">
        <f>[3]Summary!F758</f>
        <v>6.3299999999999995E-2</v>
      </c>
      <c r="G759" s="44">
        <f t="shared" si="11"/>
        <v>11.7105</v>
      </c>
      <c r="H759" s="44" t="s">
        <v>5398</v>
      </c>
      <c r="I759" s="41"/>
    </row>
    <row r="760" spans="1:9" ht="23.25">
      <c r="A760" s="201">
        <v>756</v>
      </c>
      <c r="B760" s="45" t="s">
        <v>5325</v>
      </c>
      <c r="C760" s="1" t="s">
        <v>5326</v>
      </c>
      <c r="D760" s="46" t="s">
        <v>180</v>
      </c>
      <c r="E760" s="47">
        <f>[3]Summary!E759</f>
        <v>0</v>
      </c>
      <c r="F760" s="46">
        <f>[3]Summary!F759</f>
        <v>2</v>
      </c>
      <c r="G760" s="48">
        <f t="shared" si="11"/>
        <v>0</v>
      </c>
      <c r="H760" s="48" t="s">
        <v>5402</v>
      </c>
      <c r="I760" s="45"/>
    </row>
    <row r="761" spans="1:9" ht="23.25">
      <c r="A761" s="177">
        <v>757</v>
      </c>
      <c r="B761" s="41" t="s">
        <v>5327</v>
      </c>
      <c r="C761" s="42" t="s">
        <v>5328</v>
      </c>
      <c r="D761" s="178" t="s">
        <v>135</v>
      </c>
      <c r="E761" s="43">
        <f>[3]Summary!E760</f>
        <v>0</v>
      </c>
      <c r="F761" s="179">
        <f>[3]Summary!F760</f>
        <v>1</v>
      </c>
      <c r="G761" s="44">
        <f t="shared" si="11"/>
        <v>0</v>
      </c>
      <c r="H761" s="44" t="s">
        <v>1617</v>
      </c>
      <c r="I761" s="41"/>
    </row>
    <row r="762" spans="1:9" ht="23.25">
      <c r="A762" s="201">
        <v>758</v>
      </c>
      <c r="B762" s="45" t="s">
        <v>5329</v>
      </c>
      <c r="C762" s="1" t="s">
        <v>5330</v>
      </c>
      <c r="D762" s="46" t="s">
        <v>135</v>
      </c>
      <c r="E762" s="47">
        <f>[3]Summary!E761</f>
        <v>0</v>
      </c>
      <c r="F762" s="46">
        <f>[3]Summary!F761</f>
        <v>5</v>
      </c>
      <c r="G762" s="48">
        <f t="shared" si="11"/>
        <v>0</v>
      </c>
      <c r="H762" s="48" t="s">
        <v>5393</v>
      </c>
      <c r="I762" s="45"/>
    </row>
    <row r="763" spans="1:9" ht="23.25">
      <c r="A763" s="177">
        <v>759</v>
      </c>
      <c r="B763" s="41" t="s">
        <v>5331</v>
      </c>
      <c r="C763" s="42" t="s">
        <v>5332</v>
      </c>
      <c r="D763" s="178" t="s">
        <v>135</v>
      </c>
      <c r="E763" s="43">
        <f>[3]Summary!E762</f>
        <v>0</v>
      </c>
      <c r="F763" s="179">
        <f>[3]Summary!F762</f>
        <v>1</v>
      </c>
      <c r="G763" s="44">
        <f t="shared" si="11"/>
        <v>0</v>
      </c>
      <c r="H763" s="44" t="s">
        <v>1612</v>
      </c>
      <c r="I763" s="41"/>
    </row>
    <row r="764" spans="1:9" ht="23.25">
      <c r="A764" s="201">
        <v>760</v>
      </c>
      <c r="B764" s="45" t="s">
        <v>5281</v>
      </c>
      <c r="C764" s="1" t="s">
        <v>5333</v>
      </c>
      <c r="D764" s="46" t="s">
        <v>135</v>
      </c>
      <c r="E764" s="47">
        <f>[3]Summary!E763</f>
        <v>0</v>
      </c>
      <c r="F764" s="46">
        <f>[3]Summary!F763</f>
        <v>46</v>
      </c>
      <c r="G764" s="48">
        <f t="shared" si="11"/>
        <v>0</v>
      </c>
      <c r="H764" s="48" t="s">
        <v>1612</v>
      </c>
      <c r="I764" s="45"/>
    </row>
    <row r="765" spans="1:9" ht="23.25">
      <c r="A765" s="177">
        <v>761</v>
      </c>
      <c r="B765" s="41" t="s">
        <v>5334</v>
      </c>
      <c r="C765" s="42" t="s">
        <v>5335</v>
      </c>
      <c r="D765" s="178" t="s">
        <v>135</v>
      </c>
      <c r="E765" s="43">
        <f>[3]Summary!E764</f>
        <v>0</v>
      </c>
      <c r="F765" s="179">
        <f>[3]Summary!F764</f>
        <v>74</v>
      </c>
      <c r="G765" s="44">
        <f t="shared" si="11"/>
        <v>0</v>
      </c>
      <c r="H765" s="44" t="s">
        <v>1612</v>
      </c>
      <c r="I765" s="41"/>
    </row>
    <row r="766" spans="1:9" ht="23.25">
      <c r="A766" s="201">
        <v>762</v>
      </c>
      <c r="B766" s="45" t="s">
        <v>5336</v>
      </c>
      <c r="C766" s="1" t="s">
        <v>5337</v>
      </c>
      <c r="D766" s="46" t="s">
        <v>135</v>
      </c>
      <c r="E766" s="47">
        <f>[3]Summary!E765</f>
        <v>0</v>
      </c>
      <c r="F766" s="46">
        <f>[3]Summary!F765</f>
        <v>10</v>
      </c>
      <c r="G766" s="48">
        <f t="shared" si="11"/>
        <v>0</v>
      </c>
      <c r="H766" s="48" t="s">
        <v>1612</v>
      </c>
      <c r="I766" s="45"/>
    </row>
    <row r="767" spans="1:9" ht="46.5">
      <c r="A767" s="177">
        <v>763</v>
      </c>
      <c r="B767" s="41" t="s">
        <v>5338</v>
      </c>
      <c r="C767" s="42" t="s">
        <v>5339</v>
      </c>
      <c r="D767" s="178" t="s">
        <v>135</v>
      </c>
      <c r="E767" s="43">
        <f>[3]Summary!E766</f>
        <v>0</v>
      </c>
      <c r="F767" s="179">
        <f>[3]Summary!F766</f>
        <v>34</v>
      </c>
      <c r="G767" s="44">
        <f t="shared" si="11"/>
        <v>0</v>
      </c>
      <c r="H767" s="44" t="s">
        <v>5387</v>
      </c>
      <c r="I767" s="41"/>
    </row>
    <row r="768" spans="1:9" ht="23.25">
      <c r="A768" s="201">
        <v>764</v>
      </c>
      <c r="B768" s="45" t="s">
        <v>5340</v>
      </c>
      <c r="C768" s="1" t="s">
        <v>5341</v>
      </c>
      <c r="D768" s="46" t="s">
        <v>135</v>
      </c>
      <c r="E768" s="47">
        <f>[3]Summary!E767</f>
        <v>2</v>
      </c>
      <c r="F768" s="46">
        <f>[3]Summary!F767</f>
        <v>10</v>
      </c>
      <c r="G768" s="48">
        <f t="shared" si="11"/>
        <v>20</v>
      </c>
      <c r="H768" s="48" t="s">
        <v>1606</v>
      </c>
      <c r="I768" s="45"/>
    </row>
    <row r="769" spans="1:9" ht="23.25">
      <c r="A769" s="177">
        <v>765</v>
      </c>
      <c r="B769" s="41" t="s">
        <v>5342</v>
      </c>
      <c r="C769" s="42" t="s">
        <v>5886</v>
      </c>
      <c r="D769" s="178" t="s">
        <v>135</v>
      </c>
      <c r="E769" s="43">
        <f>[3]Summary!E768</f>
        <v>15</v>
      </c>
      <c r="F769" s="179">
        <f>[3]Summary!F768</f>
        <v>0</v>
      </c>
      <c r="G769" s="44">
        <f t="shared" si="11"/>
        <v>0</v>
      </c>
      <c r="H769" s="44" t="s">
        <v>1606</v>
      </c>
      <c r="I769" s="41"/>
    </row>
    <row r="770" spans="1:9" ht="23.25">
      <c r="A770" s="201">
        <v>766</v>
      </c>
      <c r="B770" s="45" t="s">
        <v>5343</v>
      </c>
      <c r="C770" s="1" t="s">
        <v>5344</v>
      </c>
      <c r="D770" s="46" t="s">
        <v>135</v>
      </c>
      <c r="E770" s="47">
        <f>[3]Summary!E769</f>
        <v>0</v>
      </c>
      <c r="F770" s="46">
        <f>[3]Summary!F769</f>
        <v>0</v>
      </c>
      <c r="G770" s="48">
        <f t="shared" si="11"/>
        <v>0</v>
      </c>
      <c r="H770" s="48" t="s">
        <v>1606</v>
      </c>
      <c r="I770" s="45"/>
    </row>
    <row r="771" spans="1:9" ht="23.25">
      <c r="A771" s="177">
        <v>767</v>
      </c>
      <c r="B771" s="41" t="s">
        <v>5345</v>
      </c>
      <c r="C771" s="42" t="s">
        <v>5346</v>
      </c>
      <c r="D771" s="178" t="s">
        <v>135</v>
      </c>
      <c r="E771" s="43">
        <f>[3]Summary!E770</f>
        <v>0</v>
      </c>
      <c r="F771" s="179">
        <f>[3]Summary!F770</f>
        <v>3</v>
      </c>
      <c r="G771" s="44">
        <f t="shared" si="11"/>
        <v>0</v>
      </c>
      <c r="H771" s="44" t="s">
        <v>1606</v>
      </c>
      <c r="I771" s="41"/>
    </row>
    <row r="772" spans="1:9" ht="23.25">
      <c r="A772" s="201">
        <v>768</v>
      </c>
      <c r="B772" s="45" t="s">
        <v>5347</v>
      </c>
      <c r="C772" s="1" t="s">
        <v>5348</v>
      </c>
      <c r="D772" s="46" t="s">
        <v>135</v>
      </c>
      <c r="E772" s="47">
        <f>[3]Summary!E771</f>
        <v>6.5</v>
      </c>
      <c r="F772" s="46">
        <f>[3]Summary!F771</f>
        <v>11</v>
      </c>
      <c r="G772" s="48">
        <f t="shared" si="11"/>
        <v>71.5</v>
      </c>
      <c r="H772" s="48" t="s">
        <v>1606</v>
      </c>
      <c r="I772" s="45"/>
    </row>
    <row r="773" spans="1:9" ht="46.5">
      <c r="A773" s="177">
        <v>769</v>
      </c>
      <c r="B773" s="41" t="s">
        <v>5349</v>
      </c>
      <c r="C773" s="42" t="s">
        <v>5350</v>
      </c>
      <c r="D773" s="178" t="s">
        <v>135</v>
      </c>
      <c r="E773" s="43">
        <f>[3]Summary!E772</f>
        <v>0</v>
      </c>
      <c r="F773" s="179">
        <f>[3]Summary!F772</f>
        <v>37</v>
      </c>
      <c r="G773" s="44">
        <f t="shared" ref="G773:G798" si="12">F773*E773</f>
        <v>0</v>
      </c>
      <c r="H773" s="44" t="s">
        <v>1612</v>
      </c>
      <c r="I773" s="41"/>
    </row>
    <row r="774" spans="1:9" ht="46.5">
      <c r="A774" s="201">
        <v>770</v>
      </c>
      <c r="B774" s="45" t="s">
        <v>5351</v>
      </c>
      <c r="C774" s="1" t="s">
        <v>5352</v>
      </c>
      <c r="D774" s="46" t="s">
        <v>135</v>
      </c>
      <c r="E774" s="47">
        <f>[3]Summary!E773</f>
        <v>0</v>
      </c>
      <c r="F774" s="46">
        <f>[3]Summary!F773</f>
        <v>5</v>
      </c>
      <c r="G774" s="48">
        <f t="shared" si="12"/>
        <v>0</v>
      </c>
      <c r="H774" s="48" t="s">
        <v>1606</v>
      </c>
      <c r="I774" s="45"/>
    </row>
    <row r="775" spans="1:9" ht="46.5">
      <c r="A775" s="177">
        <v>771</v>
      </c>
      <c r="B775" s="41" t="s">
        <v>5353</v>
      </c>
      <c r="C775" s="42" t="s">
        <v>5354</v>
      </c>
      <c r="D775" s="178" t="s">
        <v>135</v>
      </c>
      <c r="E775" s="43">
        <f>[3]Summary!E774</f>
        <v>0</v>
      </c>
      <c r="F775" s="179">
        <f>[3]Summary!F774</f>
        <v>15</v>
      </c>
      <c r="G775" s="44">
        <f t="shared" si="12"/>
        <v>0</v>
      </c>
      <c r="H775" s="44" t="s">
        <v>1606</v>
      </c>
      <c r="I775" s="41"/>
    </row>
    <row r="776" spans="1:9" ht="23.25">
      <c r="A776" s="201">
        <v>772</v>
      </c>
      <c r="B776" s="45" t="s">
        <v>5355</v>
      </c>
      <c r="C776" s="1" t="s">
        <v>5356</v>
      </c>
      <c r="D776" s="46" t="s">
        <v>135</v>
      </c>
      <c r="E776" s="47">
        <f>[3]Summary!E775</f>
        <v>0</v>
      </c>
      <c r="F776" s="46">
        <f>[3]Summary!F775</f>
        <v>4</v>
      </c>
      <c r="G776" s="48">
        <f t="shared" si="12"/>
        <v>0</v>
      </c>
      <c r="H776" s="48" t="s">
        <v>1606</v>
      </c>
      <c r="I776" s="45"/>
    </row>
    <row r="777" spans="1:9" ht="46.5">
      <c r="A777" s="177">
        <v>773</v>
      </c>
      <c r="B777" s="41" t="s">
        <v>5357</v>
      </c>
      <c r="C777" s="42" t="s">
        <v>5358</v>
      </c>
      <c r="D777" s="178" t="s">
        <v>135</v>
      </c>
      <c r="E777" s="43">
        <f>[3]Summary!E776</f>
        <v>0</v>
      </c>
      <c r="F777" s="179">
        <f>[3]Summary!F776</f>
        <v>1</v>
      </c>
      <c r="G777" s="44">
        <f t="shared" si="12"/>
        <v>0</v>
      </c>
      <c r="H777" s="44" t="s">
        <v>1606</v>
      </c>
      <c r="I777" s="41"/>
    </row>
    <row r="778" spans="1:9" ht="46.5">
      <c r="A778" s="201">
        <v>774</v>
      </c>
      <c r="B778" s="45" t="s">
        <v>5359</v>
      </c>
      <c r="C778" s="1" t="s">
        <v>5360</v>
      </c>
      <c r="D778" s="46" t="s">
        <v>1584</v>
      </c>
      <c r="E778" s="47">
        <f>[3]Summary!E777</f>
        <v>0</v>
      </c>
      <c r="F778" s="46">
        <f>[3]Summary!F777</f>
        <v>1</v>
      </c>
      <c r="G778" s="48">
        <f t="shared" si="12"/>
        <v>0</v>
      </c>
      <c r="H778" s="48" t="s">
        <v>1636</v>
      </c>
      <c r="I778" s="45"/>
    </row>
    <row r="779" spans="1:9" ht="46.5">
      <c r="A779" s="177">
        <v>775</v>
      </c>
      <c r="B779" s="41" t="s">
        <v>5361</v>
      </c>
      <c r="C779" s="42" t="s">
        <v>5362</v>
      </c>
      <c r="D779" s="178" t="s">
        <v>1584</v>
      </c>
      <c r="E779" s="43">
        <f>[3]Summary!E778</f>
        <v>0</v>
      </c>
      <c r="F779" s="179">
        <f>[3]Summary!F778</f>
        <v>5</v>
      </c>
      <c r="G779" s="44">
        <f t="shared" si="12"/>
        <v>0</v>
      </c>
      <c r="H779" s="44" t="s">
        <v>1636</v>
      </c>
      <c r="I779" s="41"/>
    </row>
    <row r="780" spans="1:9" ht="23.25">
      <c r="A780" s="201">
        <v>776</v>
      </c>
      <c r="B780" s="45" t="s">
        <v>5363</v>
      </c>
      <c r="C780" s="1" t="s">
        <v>5364</v>
      </c>
      <c r="D780" s="46" t="s">
        <v>135</v>
      </c>
      <c r="E780" s="47">
        <f>[3]Summary!E779</f>
        <v>0</v>
      </c>
      <c r="F780" s="46">
        <f>[3]Summary!F779</f>
        <v>7</v>
      </c>
      <c r="G780" s="48">
        <f t="shared" si="12"/>
        <v>0</v>
      </c>
      <c r="H780" s="48" t="s">
        <v>1636</v>
      </c>
      <c r="I780" s="45"/>
    </row>
    <row r="781" spans="1:9" ht="23.25">
      <c r="A781" s="177">
        <v>777</v>
      </c>
      <c r="B781" s="41" t="s">
        <v>5365</v>
      </c>
      <c r="C781" s="42" t="s">
        <v>5366</v>
      </c>
      <c r="D781" s="178" t="s">
        <v>135</v>
      </c>
      <c r="E781" s="43">
        <f>[3]Summary!E780</f>
        <v>0.3</v>
      </c>
      <c r="F781" s="179">
        <f>[3]Summary!F780</f>
        <v>171</v>
      </c>
      <c r="G781" s="44">
        <f t="shared" si="12"/>
        <v>51.3</v>
      </c>
      <c r="H781" s="44" t="s">
        <v>1612</v>
      </c>
      <c r="I781" s="41"/>
    </row>
    <row r="782" spans="1:9" ht="23.25">
      <c r="A782" s="201">
        <v>778</v>
      </c>
      <c r="B782" s="45" t="s">
        <v>5367</v>
      </c>
      <c r="C782" s="1" t="s">
        <v>5368</v>
      </c>
      <c r="D782" s="46" t="s">
        <v>1584</v>
      </c>
      <c r="E782" s="47">
        <f>[3]Summary!E781</f>
        <v>0</v>
      </c>
      <c r="F782" s="46">
        <f>[3]Summary!F781</f>
        <v>105</v>
      </c>
      <c r="G782" s="48">
        <f t="shared" si="12"/>
        <v>0</v>
      </c>
      <c r="H782" s="48" t="s">
        <v>1676</v>
      </c>
      <c r="I782" s="45"/>
    </row>
    <row r="783" spans="1:9" ht="42">
      <c r="A783" s="177">
        <v>779</v>
      </c>
      <c r="B783" s="41" t="s">
        <v>5369</v>
      </c>
      <c r="C783" s="42" t="s">
        <v>5370</v>
      </c>
      <c r="D783" s="178" t="s">
        <v>1584</v>
      </c>
      <c r="E783" s="43">
        <f>[3]Summary!E782</f>
        <v>0</v>
      </c>
      <c r="F783" s="179">
        <f>[3]Summary!F782</f>
        <v>3</v>
      </c>
      <c r="G783" s="44">
        <f t="shared" si="12"/>
        <v>0</v>
      </c>
      <c r="H783" s="44" t="s">
        <v>1676</v>
      </c>
      <c r="I783" s="41"/>
    </row>
    <row r="784" spans="1:9" ht="42">
      <c r="A784" s="201">
        <v>780</v>
      </c>
      <c r="B784" s="45" t="s">
        <v>5371</v>
      </c>
      <c r="C784" s="1" t="s">
        <v>5372</v>
      </c>
      <c r="D784" s="46" t="s">
        <v>135</v>
      </c>
      <c r="E784" s="47">
        <f>[3]Summary!E783</f>
        <v>0</v>
      </c>
      <c r="F784" s="46">
        <f>[3]Summary!F783</f>
        <v>1</v>
      </c>
      <c r="G784" s="48">
        <f t="shared" si="12"/>
        <v>0</v>
      </c>
      <c r="H784" s="48" t="s">
        <v>1636</v>
      </c>
      <c r="I784" s="45"/>
    </row>
    <row r="785" spans="1:9" ht="42">
      <c r="A785" s="177">
        <v>781</v>
      </c>
      <c r="B785" s="41" t="s">
        <v>5373</v>
      </c>
      <c r="C785" s="42" t="s">
        <v>5374</v>
      </c>
      <c r="D785" s="178" t="s">
        <v>180</v>
      </c>
      <c r="E785" s="43">
        <f>[3]Summary!E784</f>
        <v>20</v>
      </c>
      <c r="F785" s="179">
        <f>[3]Summary!F784</f>
        <v>1.94</v>
      </c>
      <c r="G785" s="44">
        <f t="shared" si="12"/>
        <v>38.799999999999997</v>
      </c>
      <c r="H785" s="44" t="s">
        <v>1636</v>
      </c>
      <c r="I785" s="41"/>
    </row>
    <row r="786" spans="1:9" ht="42">
      <c r="A786" s="201">
        <v>782</v>
      </c>
      <c r="B786" s="45" t="s">
        <v>5375</v>
      </c>
      <c r="C786" s="1" t="s">
        <v>5376</v>
      </c>
      <c r="D786" s="46" t="s">
        <v>180</v>
      </c>
      <c r="E786" s="47">
        <f>[3]Summary!E785</f>
        <v>25</v>
      </c>
      <c r="F786" s="46">
        <f>[3]Summary!F785</f>
        <v>2.6799999999999997</v>
      </c>
      <c r="G786" s="48">
        <f t="shared" si="12"/>
        <v>67</v>
      </c>
      <c r="H786" s="48" t="s">
        <v>5400</v>
      </c>
      <c r="I786" s="45"/>
    </row>
    <row r="787" spans="1:9" ht="46.5">
      <c r="A787" s="177">
        <v>783</v>
      </c>
      <c r="B787" s="41" t="s">
        <v>5377</v>
      </c>
      <c r="C787" s="42" t="s">
        <v>5378</v>
      </c>
      <c r="D787" s="178" t="s">
        <v>1584</v>
      </c>
      <c r="E787" s="43">
        <f>[3]Summary!E786</f>
        <v>0</v>
      </c>
      <c r="F787" s="179">
        <f>[3]Summary!F786</f>
        <v>26</v>
      </c>
      <c r="G787" s="44">
        <f t="shared" si="12"/>
        <v>0</v>
      </c>
      <c r="H787" s="44" t="s">
        <v>5400</v>
      </c>
      <c r="I787" s="41"/>
    </row>
    <row r="788" spans="1:9" ht="46.5">
      <c r="A788" s="201">
        <v>784</v>
      </c>
      <c r="B788" s="45" t="s">
        <v>5379</v>
      </c>
      <c r="C788" s="1" t="s">
        <v>5380</v>
      </c>
      <c r="D788" s="46" t="s">
        <v>135</v>
      </c>
      <c r="E788" s="47">
        <f>[3]Summary!E787</f>
        <v>0</v>
      </c>
      <c r="F788" s="46">
        <f>[3]Summary!F787</f>
        <v>15</v>
      </c>
      <c r="G788" s="48">
        <f t="shared" si="12"/>
        <v>0</v>
      </c>
      <c r="H788" s="48" t="s">
        <v>5395</v>
      </c>
      <c r="I788" s="45"/>
    </row>
    <row r="789" spans="1:9" ht="46.5">
      <c r="A789" s="177">
        <v>785</v>
      </c>
      <c r="B789" s="41" t="s">
        <v>5718</v>
      </c>
      <c r="C789" s="42" t="s">
        <v>5796</v>
      </c>
      <c r="D789" s="178" t="s">
        <v>1584</v>
      </c>
      <c r="E789" s="43">
        <f>[3]Summary!E788</f>
        <v>0</v>
      </c>
      <c r="F789" s="179">
        <f>[3]Summary!F788</f>
        <v>0</v>
      </c>
      <c r="G789" s="44">
        <f t="shared" si="12"/>
        <v>0</v>
      </c>
      <c r="H789" s="44" t="s">
        <v>5395</v>
      </c>
      <c r="I789" s="41"/>
    </row>
    <row r="790" spans="1:9" ht="42">
      <c r="A790" s="201">
        <v>786</v>
      </c>
      <c r="B790" s="45" t="s">
        <v>5381</v>
      </c>
      <c r="C790" s="1" t="s">
        <v>5382</v>
      </c>
      <c r="D790" s="46" t="s">
        <v>1584</v>
      </c>
      <c r="E790" s="47">
        <f>[3]Summary!E789</f>
        <v>20</v>
      </c>
      <c r="F790" s="46">
        <f>[3]Summary!F789</f>
        <v>0</v>
      </c>
      <c r="G790" s="48">
        <f t="shared" si="12"/>
        <v>0</v>
      </c>
      <c r="H790" s="48" t="s">
        <v>1636</v>
      </c>
      <c r="I790" s="45"/>
    </row>
    <row r="791" spans="1:9" ht="42">
      <c r="A791" s="177">
        <v>787</v>
      </c>
      <c r="B791" s="41" t="s">
        <v>5383</v>
      </c>
      <c r="C791" s="42" t="s">
        <v>5384</v>
      </c>
      <c r="D791" s="178" t="s">
        <v>1584</v>
      </c>
      <c r="E791" s="43">
        <f>[3]Summary!E790</f>
        <v>20</v>
      </c>
      <c r="F791" s="179">
        <f>[3]Summary!F790</f>
        <v>1</v>
      </c>
      <c r="G791" s="44">
        <f t="shared" si="12"/>
        <v>20</v>
      </c>
      <c r="H791" s="44" t="s">
        <v>5400</v>
      </c>
      <c r="I791" s="41"/>
    </row>
    <row r="792" spans="1:9" ht="46.5">
      <c r="A792" s="201">
        <v>788</v>
      </c>
      <c r="B792" s="45" t="s">
        <v>5385</v>
      </c>
      <c r="C792" s="1" t="s">
        <v>5386</v>
      </c>
      <c r="D792" s="46" t="s">
        <v>1584</v>
      </c>
      <c r="E792" s="47">
        <f>[3]Summary!E791</f>
        <v>1</v>
      </c>
      <c r="F792" s="46">
        <f>[3]Summary!F791</f>
        <v>9</v>
      </c>
      <c r="G792" s="48">
        <f t="shared" si="12"/>
        <v>9</v>
      </c>
      <c r="H792" s="48" t="s">
        <v>5400</v>
      </c>
      <c r="I792" s="45"/>
    </row>
    <row r="793" spans="1:9" ht="42">
      <c r="A793" s="177">
        <v>789</v>
      </c>
      <c r="B793" s="41" t="s">
        <v>5674</v>
      </c>
      <c r="C793" s="42" t="s">
        <v>5675</v>
      </c>
      <c r="D793" s="178" t="s">
        <v>1584</v>
      </c>
      <c r="E793" s="43">
        <f>[3]Summary!E792</f>
        <v>10.72</v>
      </c>
      <c r="F793" s="179">
        <f>[3]Summary!F792</f>
        <v>111</v>
      </c>
      <c r="G793" s="44">
        <f t="shared" si="12"/>
        <v>1189.92</v>
      </c>
      <c r="H793" s="44" t="s">
        <v>1606</v>
      </c>
      <c r="I793" s="41"/>
    </row>
    <row r="794" spans="1:9" ht="39.75" customHeight="1">
      <c r="A794" s="201">
        <v>790</v>
      </c>
      <c r="B794" s="45" t="s">
        <v>5677</v>
      </c>
      <c r="C794" s="1" t="s">
        <v>5678</v>
      </c>
      <c r="D794" s="46" t="s">
        <v>1584</v>
      </c>
      <c r="E794" s="47">
        <f>[3]Summary!E793</f>
        <v>13.4762</v>
      </c>
      <c r="F794" s="46">
        <f>[3]Summary!F793</f>
        <v>69</v>
      </c>
      <c r="G794" s="48">
        <f t="shared" si="12"/>
        <v>929.8578</v>
      </c>
      <c r="H794" s="48" t="s">
        <v>5403</v>
      </c>
      <c r="I794" s="45"/>
    </row>
    <row r="795" spans="1:9" ht="39.75" customHeight="1">
      <c r="A795" s="177">
        <v>791</v>
      </c>
      <c r="B795" s="41" t="s">
        <v>5723</v>
      </c>
      <c r="C795" s="42" t="s">
        <v>5724</v>
      </c>
      <c r="D795" s="178" t="s">
        <v>1584</v>
      </c>
      <c r="E795" s="43">
        <f>[3]Summary!E794</f>
        <v>0</v>
      </c>
      <c r="F795" s="179">
        <f>[3]Summary!F794</f>
        <v>57</v>
      </c>
      <c r="G795" s="44">
        <f t="shared" si="12"/>
        <v>0</v>
      </c>
      <c r="H795" s="44" t="s">
        <v>5387</v>
      </c>
      <c r="I795" s="41"/>
    </row>
    <row r="796" spans="1:9" ht="51.75" customHeight="1">
      <c r="A796" s="201">
        <v>792</v>
      </c>
      <c r="B796" s="45" t="s">
        <v>5847</v>
      </c>
      <c r="C796" s="1" t="s">
        <v>5848</v>
      </c>
      <c r="D796" s="46" t="s">
        <v>1584</v>
      </c>
      <c r="E796" s="47">
        <f>[3]Summary!E795</f>
        <v>0.4</v>
      </c>
      <c r="F796" s="46">
        <f>[3]Summary!F795</f>
        <v>0</v>
      </c>
      <c r="G796" s="48">
        <f t="shared" si="12"/>
        <v>0</v>
      </c>
      <c r="H796" s="48"/>
      <c r="I796" s="45"/>
    </row>
    <row r="797" spans="1:9" ht="39.75" customHeight="1">
      <c r="A797" s="177">
        <v>793</v>
      </c>
      <c r="B797" s="41" t="s">
        <v>5878</v>
      </c>
      <c r="C797" s="42" t="s">
        <v>5879</v>
      </c>
      <c r="D797" s="178" t="s">
        <v>1584</v>
      </c>
      <c r="E797" s="43">
        <f>[3]Summary!E796</f>
        <v>0.6</v>
      </c>
      <c r="F797" s="179">
        <f>[3]Summary!F796</f>
        <v>4</v>
      </c>
      <c r="G797" s="44">
        <f t="shared" si="12"/>
        <v>2.4</v>
      </c>
      <c r="H797" s="44"/>
      <c r="I797" s="41"/>
    </row>
    <row r="798" spans="1:9" ht="51.75" customHeight="1">
      <c r="A798" s="201">
        <v>794</v>
      </c>
      <c r="B798" s="45" t="s">
        <v>5849</v>
      </c>
      <c r="C798" s="1" t="s">
        <v>5850</v>
      </c>
      <c r="D798" s="46" t="s">
        <v>1584</v>
      </c>
      <c r="E798" s="47">
        <f>[3]Summary!E797</f>
        <v>28</v>
      </c>
      <c r="F798" s="46">
        <f>[3]Summary!F797</f>
        <v>5</v>
      </c>
      <c r="G798" s="48">
        <f t="shared" si="12"/>
        <v>140</v>
      </c>
      <c r="H798" s="48"/>
      <c r="I798" s="45"/>
    </row>
    <row r="799" spans="1:9" ht="51.75" customHeight="1">
      <c r="A799" s="177">
        <v>795</v>
      </c>
      <c r="B799" s="41" t="s">
        <v>5921</v>
      </c>
      <c r="C799" s="42" t="s">
        <v>5922</v>
      </c>
      <c r="D799" s="178" t="s">
        <v>1584</v>
      </c>
      <c r="E799" s="43">
        <f>[3]Summary!E798</f>
        <v>1.2</v>
      </c>
      <c r="F799" s="179">
        <f>[3]Summary!F798</f>
        <v>4</v>
      </c>
      <c r="G799" s="44">
        <f>F799*E799</f>
        <v>4.8</v>
      </c>
      <c r="H799" s="44"/>
      <c r="I799" s="41"/>
    </row>
    <row r="801" spans="1:8" ht="39.75" customHeight="1">
      <c r="A801" s="279" t="s">
        <v>7</v>
      </c>
      <c r="B801" s="280"/>
      <c r="C801" s="280"/>
      <c r="D801" s="280"/>
      <c r="E801" s="281"/>
      <c r="F801" s="240">
        <f>SUM(F5:F799)</f>
        <v>72223.435299999983</v>
      </c>
      <c r="G801" s="228">
        <f>SUM(G5:G799)</f>
        <v>255586.76860000001</v>
      </c>
      <c r="H801" s="202"/>
    </row>
  </sheetData>
  <autoFilter ref="A4:I795" xr:uid="{32DBB2D5-FE97-4B98-BAF2-2FD2479707F7}"/>
  <mergeCells count="3">
    <mergeCell ref="A3:I3"/>
    <mergeCell ref="A2:I2"/>
    <mergeCell ref="A801:E801"/>
  </mergeCells>
  <pageMargins left="0.24" right="0.22" top="0.27" bottom="0.27" header="0.3" footer="0.3"/>
  <pageSetup paperSize="9" scale="47"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1615D-7334-4B7C-8E8B-6607CFAFC0D9}">
  <sheetPr>
    <pageSetUpPr fitToPage="1"/>
  </sheetPr>
  <dimension ref="A1:H836"/>
  <sheetViews>
    <sheetView zoomScale="55" zoomScaleNormal="55" workbookViewId="0">
      <selection activeCell="I1" sqref="I1:I1048576"/>
    </sheetView>
  </sheetViews>
  <sheetFormatPr defaultRowHeight="15"/>
  <cols>
    <col min="1" max="1" width="9.140625" customWidth="1"/>
    <col min="2" max="2" width="43.7109375" customWidth="1"/>
    <col min="3" max="3" width="42.42578125" customWidth="1"/>
    <col min="4" max="4" width="13.5703125" customWidth="1"/>
    <col min="5" max="5" width="20.85546875" customWidth="1"/>
    <col min="6" max="6" width="15" customWidth="1"/>
    <col min="7" max="7" width="21.140625" customWidth="1"/>
    <col min="8" max="8" width="26.85546875" customWidth="1"/>
  </cols>
  <sheetData>
    <row r="1" spans="1:8" ht="130.5" customHeight="1"/>
    <row r="2" spans="1:8" ht="39.75" customHeight="1">
      <c r="A2" s="269">
        <f ca="1">TODAY()</f>
        <v>46123</v>
      </c>
      <c r="B2" s="269"/>
      <c r="C2" s="269"/>
      <c r="D2" s="269"/>
      <c r="E2" s="269"/>
      <c r="F2" s="269"/>
      <c r="G2" s="269"/>
      <c r="H2" s="269"/>
    </row>
    <row r="3" spans="1:8" ht="36.75" customHeight="1">
      <c r="A3" s="282" t="s">
        <v>5419</v>
      </c>
      <c r="B3" s="282"/>
      <c r="C3" s="282"/>
      <c r="D3" s="282"/>
      <c r="E3" s="282"/>
      <c r="F3" s="282"/>
      <c r="G3" s="282"/>
      <c r="H3" s="282"/>
    </row>
    <row r="4" spans="1:8" ht="115.5" customHeight="1">
      <c r="A4" s="50" t="s">
        <v>0</v>
      </c>
      <c r="B4" s="51" t="s">
        <v>9</v>
      </c>
      <c r="C4" s="51" t="s">
        <v>10</v>
      </c>
      <c r="D4" s="51" t="s">
        <v>1762</v>
      </c>
      <c r="E4" s="51" t="s">
        <v>1763</v>
      </c>
      <c r="F4" s="51" t="s">
        <v>1764</v>
      </c>
      <c r="G4" s="51" t="s">
        <v>1765</v>
      </c>
      <c r="H4" s="51" t="s">
        <v>1605</v>
      </c>
    </row>
    <row r="5" spans="1:8" ht="21">
      <c r="A5" s="16">
        <v>1</v>
      </c>
      <c r="B5" s="17" t="s">
        <v>1767</v>
      </c>
      <c r="C5" s="17" t="s">
        <v>1768</v>
      </c>
      <c r="D5" s="18" t="s">
        <v>1584</v>
      </c>
      <c r="E5" s="19">
        <f>[4]Summary!E4</f>
        <v>3</v>
      </c>
      <c r="F5" s="52">
        <f>[4]Summary!F4</f>
        <v>0</v>
      </c>
      <c r="G5" s="20">
        <f>E5*F5</f>
        <v>0</v>
      </c>
      <c r="H5" s="20" t="s">
        <v>5409</v>
      </c>
    </row>
    <row r="6" spans="1:8" ht="42">
      <c r="A6" s="21">
        <v>2</v>
      </c>
      <c r="B6" s="22" t="s">
        <v>1767</v>
      </c>
      <c r="C6" s="22" t="s">
        <v>1769</v>
      </c>
      <c r="D6" s="23" t="s">
        <v>1584</v>
      </c>
      <c r="E6" s="24">
        <f>[4]Summary!E5</f>
        <v>1.7</v>
      </c>
      <c r="F6" s="25">
        <f>[4]Summary!F5</f>
        <v>0</v>
      </c>
      <c r="G6" s="26">
        <f>E6*F6</f>
        <v>0</v>
      </c>
      <c r="H6" s="26" t="s">
        <v>5404</v>
      </c>
    </row>
    <row r="7" spans="1:8" ht="21">
      <c r="A7" s="16">
        <v>3</v>
      </c>
      <c r="B7" s="17" t="s">
        <v>1770</v>
      </c>
      <c r="C7" s="17" t="s">
        <v>1771</v>
      </c>
      <c r="D7" s="18" t="s">
        <v>1584</v>
      </c>
      <c r="E7" s="19">
        <f>[4]Summary!E6</f>
        <v>2.6</v>
      </c>
      <c r="F7" s="52">
        <f>[4]Summary!F6</f>
        <v>0</v>
      </c>
      <c r="G7" s="20">
        <f t="shared" ref="G7:G70" si="0">E7*F7</f>
        <v>0</v>
      </c>
      <c r="H7" s="20" t="s">
        <v>5406</v>
      </c>
    </row>
    <row r="8" spans="1:8" ht="21">
      <c r="A8" s="21">
        <v>4</v>
      </c>
      <c r="B8" s="22" t="s">
        <v>1772</v>
      </c>
      <c r="C8" s="22" t="s">
        <v>1773</v>
      </c>
      <c r="D8" s="23" t="s">
        <v>1584</v>
      </c>
      <c r="E8" s="24">
        <f>[4]Summary!E7</f>
        <v>0.15</v>
      </c>
      <c r="F8" s="25">
        <f>[4]Summary!F7</f>
        <v>0</v>
      </c>
      <c r="G8" s="26">
        <f t="shared" si="0"/>
        <v>0</v>
      </c>
      <c r="H8" s="26" t="s">
        <v>5406</v>
      </c>
    </row>
    <row r="9" spans="1:8" ht="21">
      <c r="A9" s="16">
        <v>5</v>
      </c>
      <c r="B9" s="17" t="s">
        <v>1774</v>
      </c>
      <c r="C9" s="17" t="s">
        <v>1775</v>
      </c>
      <c r="D9" s="18" t="s">
        <v>1584</v>
      </c>
      <c r="E9" s="19">
        <f>[4]Summary!E8</f>
        <v>20</v>
      </c>
      <c r="F9" s="52">
        <f>[4]Summary!F8</f>
        <v>0</v>
      </c>
      <c r="G9" s="20">
        <f t="shared" si="0"/>
        <v>0</v>
      </c>
      <c r="H9" s="20" t="s">
        <v>5405</v>
      </c>
    </row>
    <row r="10" spans="1:8" ht="42">
      <c r="A10" s="21">
        <v>6</v>
      </c>
      <c r="B10" s="22" t="s">
        <v>1776</v>
      </c>
      <c r="C10" s="22" t="s">
        <v>1777</v>
      </c>
      <c r="D10" s="23" t="s">
        <v>1584</v>
      </c>
      <c r="E10" s="24">
        <f>[4]Summary!E9</f>
        <v>10.135</v>
      </c>
      <c r="F10" s="25">
        <f>[4]Summary!F9</f>
        <v>0</v>
      </c>
      <c r="G10" s="26">
        <f t="shared" si="0"/>
        <v>0</v>
      </c>
      <c r="H10" s="26" t="s">
        <v>5408</v>
      </c>
    </row>
    <row r="11" spans="1:8" ht="21">
      <c r="A11" s="16">
        <v>7</v>
      </c>
      <c r="B11" s="17" t="s">
        <v>1778</v>
      </c>
      <c r="C11" s="17" t="s">
        <v>1779</v>
      </c>
      <c r="D11" s="18" t="s">
        <v>1584</v>
      </c>
      <c r="E11" s="19">
        <f>[4]Summary!E10</f>
        <v>1</v>
      </c>
      <c r="F11" s="52">
        <f>[4]Summary!F10</f>
        <v>0</v>
      </c>
      <c r="G11" s="20">
        <f t="shared" si="0"/>
        <v>0</v>
      </c>
      <c r="H11" s="20" t="s">
        <v>5404</v>
      </c>
    </row>
    <row r="12" spans="1:8" ht="21">
      <c r="A12" s="21">
        <v>8</v>
      </c>
      <c r="B12" s="22" t="s">
        <v>1780</v>
      </c>
      <c r="C12" s="22" t="s">
        <v>1781</v>
      </c>
      <c r="D12" s="23" t="s">
        <v>1584</v>
      </c>
      <c r="E12" s="24">
        <f>[4]Summary!E11</f>
        <v>2</v>
      </c>
      <c r="F12" s="25">
        <f>[4]Summary!F11</f>
        <v>1</v>
      </c>
      <c r="G12" s="26">
        <f t="shared" si="0"/>
        <v>2</v>
      </c>
      <c r="H12" s="26" t="s">
        <v>5404</v>
      </c>
    </row>
    <row r="13" spans="1:8" ht="21">
      <c r="A13" s="16">
        <v>9</v>
      </c>
      <c r="B13" s="17" t="s">
        <v>1782</v>
      </c>
      <c r="C13" s="17" t="s">
        <v>1783</v>
      </c>
      <c r="D13" s="18" t="s">
        <v>1584</v>
      </c>
      <c r="E13" s="19">
        <f>[4]Summary!E12</f>
        <v>0.35</v>
      </c>
      <c r="F13" s="52">
        <f>[4]Summary!F12</f>
        <v>254</v>
      </c>
      <c r="G13" s="20">
        <f t="shared" si="0"/>
        <v>88.899999999999991</v>
      </c>
      <c r="H13" s="20" t="s">
        <v>5404</v>
      </c>
    </row>
    <row r="14" spans="1:8" ht="21">
      <c r="A14" s="21">
        <v>10</v>
      </c>
      <c r="B14" s="22" t="s">
        <v>1784</v>
      </c>
      <c r="C14" s="22" t="s">
        <v>1785</v>
      </c>
      <c r="D14" s="23" t="s">
        <v>1584</v>
      </c>
      <c r="E14" s="24">
        <f>[4]Summary!E13</f>
        <v>1.5</v>
      </c>
      <c r="F14" s="25">
        <f>[4]Summary!F13</f>
        <v>11</v>
      </c>
      <c r="G14" s="26">
        <f t="shared" si="0"/>
        <v>16.5</v>
      </c>
      <c r="H14" s="26" t="s">
        <v>5405</v>
      </c>
    </row>
    <row r="15" spans="1:8" ht="21">
      <c r="A15" s="16">
        <v>11</v>
      </c>
      <c r="B15" s="17" t="s">
        <v>1786</v>
      </c>
      <c r="C15" s="17" t="s">
        <v>1787</v>
      </c>
      <c r="D15" s="18" t="s">
        <v>1584</v>
      </c>
      <c r="E15" s="19">
        <f>[4]Summary!E14</f>
        <v>2.75</v>
      </c>
      <c r="F15" s="52">
        <f>[4]Summary!F14</f>
        <v>5</v>
      </c>
      <c r="G15" s="20">
        <f t="shared" si="0"/>
        <v>13.75</v>
      </c>
      <c r="H15" s="20" t="s">
        <v>5405</v>
      </c>
    </row>
    <row r="16" spans="1:8" ht="21">
      <c r="A16" s="21">
        <v>12</v>
      </c>
      <c r="B16" s="22" t="s">
        <v>1788</v>
      </c>
      <c r="C16" s="22" t="s">
        <v>1789</v>
      </c>
      <c r="D16" s="23" t="s">
        <v>1584</v>
      </c>
      <c r="E16" s="24">
        <f>[4]Summary!E15</f>
        <v>2</v>
      </c>
      <c r="F16" s="25">
        <f>[4]Summary!F15</f>
        <v>16</v>
      </c>
      <c r="G16" s="26">
        <f t="shared" si="0"/>
        <v>32</v>
      </c>
      <c r="H16" s="26" t="s">
        <v>5405</v>
      </c>
    </row>
    <row r="17" spans="1:8" ht="21">
      <c r="A17" s="16">
        <v>13</v>
      </c>
      <c r="B17" s="17" t="s">
        <v>1790</v>
      </c>
      <c r="C17" s="17" t="s">
        <v>1791</v>
      </c>
      <c r="D17" s="18" t="s">
        <v>1584</v>
      </c>
      <c r="E17" s="19">
        <f>[4]Summary!E16</f>
        <v>2.35</v>
      </c>
      <c r="F17" s="52">
        <f>[4]Summary!F16</f>
        <v>10</v>
      </c>
      <c r="G17" s="20">
        <f t="shared" si="0"/>
        <v>23.5</v>
      </c>
      <c r="H17" s="20" t="s">
        <v>5405</v>
      </c>
    </row>
    <row r="18" spans="1:8" ht="21">
      <c r="A18" s="21">
        <v>14</v>
      </c>
      <c r="B18" s="22" t="s">
        <v>1792</v>
      </c>
      <c r="C18" s="22" t="s">
        <v>1793</v>
      </c>
      <c r="D18" s="23" t="s">
        <v>1584</v>
      </c>
      <c r="E18" s="24">
        <f>[4]Summary!E17</f>
        <v>2.5</v>
      </c>
      <c r="F18" s="25">
        <f>[4]Summary!F17</f>
        <v>5</v>
      </c>
      <c r="G18" s="26">
        <f t="shared" si="0"/>
        <v>12.5</v>
      </c>
      <c r="H18" s="26" t="s">
        <v>5405</v>
      </c>
    </row>
    <row r="19" spans="1:8" ht="21">
      <c r="A19" s="16">
        <v>15</v>
      </c>
      <c r="B19" s="17" t="s">
        <v>1794</v>
      </c>
      <c r="C19" s="17" t="s">
        <v>1795</v>
      </c>
      <c r="D19" s="18" t="s">
        <v>1584</v>
      </c>
      <c r="E19" s="19">
        <f>[4]Summary!E18</f>
        <v>1</v>
      </c>
      <c r="F19" s="52">
        <f>[4]Summary!F18</f>
        <v>0</v>
      </c>
      <c r="G19" s="20">
        <f t="shared" si="0"/>
        <v>0</v>
      </c>
      <c r="H19" s="20" t="s">
        <v>5412</v>
      </c>
    </row>
    <row r="20" spans="1:8" ht="21">
      <c r="A20" s="21">
        <v>16</v>
      </c>
      <c r="B20" s="22" t="s">
        <v>1796</v>
      </c>
      <c r="C20" s="22" t="s">
        <v>1797</v>
      </c>
      <c r="D20" s="23" t="s">
        <v>1584</v>
      </c>
      <c r="E20" s="24">
        <f>[4]Summary!E19</f>
        <v>1.35</v>
      </c>
      <c r="F20" s="25">
        <f>[4]Summary!F19</f>
        <v>0</v>
      </c>
      <c r="G20" s="26">
        <f t="shared" si="0"/>
        <v>0</v>
      </c>
      <c r="H20" s="26" t="s">
        <v>5408</v>
      </c>
    </row>
    <row r="21" spans="1:8" ht="21">
      <c r="A21" s="16">
        <v>17</v>
      </c>
      <c r="B21" s="17" t="s">
        <v>1798</v>
      </c>
      <c r="C21" s="17" t="s">
        <v>1799</v>
      </c>
      <c r="D21" s="18" t="s">
        <v>1584</v>
      </c>
      <c r="E21" s="19">
        <f>[4]Summary!E20</f>
        <v>30</v>
      </c>
      <c r="F21" s="52">
        <f>[4]Summary!F20</f>
        <v>0</v>
      </c>
      <c r="G21" s="20">
        <f t="shared" si="0"/>
        <v>0</v>
      </c>
      <c r="H21" s="20" t="s">
        <v>5412</v>
      </c>
    </row>
    <row r="22" spans="1:8" ht="42">
      <c r="A22" s="21">
        <v>18</v>
      </c>
      <c r="B22" s="22" t="s">
        <v>1800</v>
      </c>
      <c r="C22" s="22" t="s">
        <v>1801</v>
      </c>
      <c r="D22" s="23" t="s">
        <v>1584</v>
      </c>
      <c r="E22" s="24">
        <f>[4]Summary!E21</f>
        <v>13.6</v>
      </c>
      <c r="F22" s="25">
        <f>[4]Summary!F21</f>
        <v>0</v>
      </c>
      <c r="G22" s="26">
        <f t="shared" si="0"/>
        <v>0</v>
      </c>
      <c r="H22" s="26" t="s">
        <v>5412</v>
      </c>
    </row>
    <row r="23" spans="1:8" ht="21">
      <c r="A23" s="16">
        <v>19</v>
      </c>
      <c r="B23" s="17" t="s">
        <v>1802</v>
      </c>
      <c r="C23" s="17" t="s">
        <v>1803</v>
      </c>
      <c r="D23" s="18" t="s">
        <v>1584</v>
      </c>
      <c r="E23" s="19">
        <f>[4]Summary!E22</f>
        <v>20</v>
      </c>
      <c r="F23" s="52">
        <f>[4]Summary!F22</f>
        <v>0</v>
      </c>
      <c r="G23" s="20">
        <f t="shared" si="0"/>
        <v>0</v>
      </c>
      <c r="H23" s="20" t="s">
        <v>5412</v>
      </c>
    </row>
    <row r="24" spans="1:8" ht="42">
      <c r="A24" s="21">
        <v>20</v>
      </c>
      <c r="B24" s="22" t="s">
        <v>1804</v>
      </c>
      <c r="C24" s="22" t="s">
        <v>1805</v>
      </c>
      <c r="D24" s="23" t="s">
        <v>1584</v>
      </c>
      <c r="E24" s="24">
        <f>[4]Summary!E23</f>
        <v>16.329999999999998</v>
      </c>
      <c r="F24" s="25">
        <f>[4]Summary!F23</f>
        <v>0</v>
      </c>
      <c r="G24" s="26">
        <f t="shared" si="0"/>
        <v>0</v>
      </c>
      <c r="H24" s="26" t="s">
        <v>5412</v>
      </c>
    </row>
    <row r="25" spans="1:8" ht="42">
      <c r="A25" s="16">
        <v>21</v>
      </c>
      <c r="B25" s="17" t="s">
        <v>1806</v>
      </c>
      <c r="C25" s="17" t="s">
        <v>1807</v>
      </c>
      <c r="D25" s="18" t="s">
        <v>1584</v>
      </c>
      <c r="E25" s="19">
        <f>[4]Summary!E24</f>
        <v>145</v>
      </c>
      <c r="F25" s="52">
        <f>[4]Summary!F24</f>
        <v>9</v>
      </c>
      <c r="G25" s="20">
        <f t="shared" si="0"/>
        <v>1305</v>
      </c>
      <c r="H25" s="20" t="s">
        <v>5411</v>
      </c>
    </row>
    <row r="26" spans="1:8" ht="42">
      <c r="A26" s="21">
        <v>22</v>
      </c>
      <c r="B26" s="22" t="s">
        <v>1808</v>
      </c>
      <c r="C26" s="22" t="s">
        <v>1809</v>
      </c>
      <c r="D26" s="23" t="s">
        <v>1584</v>
      </c>
      <c r="E26" s="24">
        <f>[4]Summary!E25</f>
        <v>35.25</v>
      </c>
      <c r="F26" s="25">
        <f>[4]Summary!F25</f>
        <v>0</v>
      </c>
      <c r="G26" s="26">
        <f t="shared" si="0"/>
        <v>0</v>
      </c>
      <c r="H26" s="26" t="s">
        <v>5413</v>
      </c>
    </row>
    <row r="27" spans="1:8" ht="21">
      <c r="A27" s="16">
        <v>23</v>
      </c>
      <c r="B27" s="17" t="s">
        <v>1810</v>
      </c>
      <c r="C27" s="17" t="s">
        <v>1811</v>
      </c>
      <c r="D27" s="18" t="s">
        <v>1584</v>
      </c>
      <c r="E27" s="19">
        <f>[4]Summary!E26</f>
        <v>60</v>
      </c>
      <c r="F27" s="52">
        <f>[4]Summary!F26</f>
        <v>6</v>
      </c>
      <c r="G27" s="20">
        <f t="shared" si="0"/>
        <v>360</v>
      </c>
      <c r="H27" s="20" t="s">
        <v>5411</v>
      </c>
    </row>
    <row r="28" spans="1:8" ht="42">
      <c r="A28" s="21">
        <v>24</v>
      </c>
      <c r="B28" s="22" t="s">
        <v>1812</v>
      </c>
      <c r="C28" s="22" t="s">
        <v>1813</v>
      </c>
      <c r="D28" s="23" t="s">
        <v>1584</v>
      </c>
      <c r="E28" s="24">
        <f>[4]Summary!E27</f>
        <v>0</v>
      </c>
      <c r="F28" s="25">
        <f>[4]Summary!F27</f>
        <v>0</v>
      </c>
      <c r="G28" s="26">
        <f t="shared" si="0"/>
        <v>0</v>
      </c>
      <c r="H28" s="26" t="s">
        <v>5418</v>
      </c>
    </row>
    <row r="29" spans="1:8" ht="21">
      <c r="A29" s="16">
        <v>25</v>
      </c>
      <c r="B29" s="17" t="s">
        <v>1814</v>
      </c>
      <c r="C29" s="17" t="s">
        <v>1815</v>
      </c>
      <c r="D29" s="18" t="s">
        <v>1584</v>
      </c>
      <c r="E29" s="19">
        <f>[4]Summary!E28</f>
        <v>10</v>
      </c>
      <c r="F29" s="52">
        <f>[4]Summary!F28</f>
        <v>15</v>
      </c>
      <c r="G29" s="20">
        <f t="shared" si="0"/>
        <v>150</v>
      </c>
      <c r="H29" s="20" t="s">
        <v>5414</v>
      </c>
    </row>
    <row r="30" spans="1:8" ht="21">
      <c r="A30" s="21">
        <v>26</v>
      </c>
      <c r="B30" s="22" t="s">
        <v>1816</v>
      </c>
      <c r="C30" s="22" t="s">
        <v>1817</v>
      </c>
      <c r="D30" s="23" t="s">
        <v>1584</v>
      </c>
      <c r="E30" s="24">
        <f>[4]Summary!E29</f>
        <v>210</v>
      </c>
      <c r="F30" s="25">
        <f>[4]Summary!F29</f>
        <v>0</v>
      </c>
      <c r="G30" s="26">
        <f t="shared" si="0"/>
        <v>0</v>
      </c>
      <c r="H30" s="26" t="s">
        <v>5411</v>
      </c>
    </row>
    <row r="31" spans="1:8" ht="42">
      <c r="A31" s="16">
        <v>27</v>
      </c>
      <c r="B31" s="17" t="s">
        <v>1818</v>
      </c>
      <c r="C31" s="17" t="s">
        <v>1819</v>
      </c>
      <c r="D31" s="18" t="s">
        <v>1584</v>
      </c>
      <c r="E31" s="19">
        <f>[4]Summary!E30</f>
        <v>34.9</v>
      </c>
      <c r="F31" s="52">
        <f>[4]Summary!F30</f>
        <v>0</v>
      </c>
      <c r="G31" s="20">
        <f t="shared" si="0"/>
        <v>0</v>
      </c>
      <c r="H31" s="20" t="s">
        <v>5414</v>
      </c>
    </row>
    <row r="32" spans="1:8" ht="42">
      <c r="A32" s="21">
        <v>28</v>
      </c>
      <c r="B32" s="22" t="s">
        <v>1820</v>
      </c>
      <c r="C32" s="22" t="s">
        <v>1821</v>
      </c>
      <c r="D32" s="23" t="s">
        <v>1584</v>
      </c>
      <c r="E32" s="24">
        <f>[4]Summary!E31</f>
        <v>76</v>
      </c>
      <c r="F32" s="25">
        <f>[4]Summary!F31</f>
        <v>0</v>
      </c>
      <c r="G32" s="26">
        <f t="shared" si="0"/>
        <v>0</v>
      </c>
      <c r="H32" s="26" t="s">
        <v>5414</v>
      </c>
    </row>
    <row r="33" spans="1:8" ht="21">
      <c r="A33" s="16">
        <v>29</v>
      </c>
      <c r="B33" s="17" t="s">
        <v>1822</v>
      </c>
      <c r="C33" s="17" t="s">
        <v>1823</v>
      </c>
      <c r="D33" s="18" t="s">
        <v>1584</v>
      </c>
      <c r="E33" s="19">
        <f>[4]Summary!E32</f>
        <v>4</v>
      </c>
      <c r="F33" s="52">
        <f>[4]Summary!F32</f>
        <v>12</v>
      </c>
      <c r="G33" s="20">
        <f t="shared" si="0"/>
        <v>48</v>
      </c>
      <c r="H33" s="20" t="s">
        <v>5418</v>
      </c>
    </row>
    <row r="34" spans="1:8" ht="21">
      <c r="A34" s="21">
        <v>30</v>
      </c>
      <c r="B34" s="22" t="s">
        <v>1824</v>
      </c>
      <c r="C34" s="22" t="s">
        <v>1825</v>
      </c>
      <c r="D34" s="23" t="s">
        <v>1584</v>
      </c>
      <c r="E34" s="24">
        <f>[4]Summary!E33</f>
        <v>5</v>
      </c>
      <c r="F34" s="25">
        <f>[4]Summary!F33</f>
        <v>15</v>
      </c>
      <c r="G34" s="26">
        <f t="shared" si="0"/>
        <v>75</v>
      </c>
      <c r="H34" s="26" t="s">
        <v>5418</v>
      </c>
    </row>
    <row r="35" spans="1:8" ht="21">
      <c r="A35" s="16">
        <v>31</v>
      </c>
      <c r="B35" s="17" t="s">
        <v>1826</v>
      </c>
      <c r="C35" s="17" t="s">
        <v>1827</v>
      </c>
      <c r="D35" s="18" t="s">
        <v>1584</v>
      </c>
      <c r="E35" s="19">
        <f>[4]Summary!E34</f>
        <v>230</v>
      </c>
      <c r="F35" s="52">
        <f>[4]Summary!F34</f>
        <v>0</v>
      </c>
      <c r="G35" s="20">
        <f t="shared" si="0"/>
        <v>0</v>
      </c>
      <c r="H35" s="20" t="s">
        <v>5412</v>
      </c>
    </row>
    <row r="36" spans="1:8" ht="42">
      <c r="A36" s="21">
        <v>32</v>
      </c>
      <c r="B36" s="22" t="s">
        <v>1828</v>
      </c>
      <c r="C36" s="22" t="s">
        <v>1829</v>
      </c>
      <c r="D36" s="23" t="s">
        <v>1584</v>
      </c>
      <c r="E36" s="24">
        <f>[4]Summary!E35</f>
        <v>20</v>
      </c>
      <c r="F36" s="25">
        <f>[4]Summary!F35</f>
        <v>10</v>
      </c>
      <c r="G36" s="26">
        <f t="shared" si="0"/>
        <v>200</v>
      </c>
      <c r="H36" s="26" t="s">
        <v>5418</v>
      </c>
    </row>
    <row r="37" spans="1:8" ht="21">
      <c r="A37" s="16">
        <v>33</v>
      </c>
      <c r="B37" s="17" t="s">
        <v>1830</v>
      </c>
      <c r="C37" s="17" t="s">
        <v>1831</v>
      </c>
      <c r="D37" s="18" t="s">
        <v>1584</v>
      </c>
      <c r="E37" s="19">
        <f>[4]Summary!E36</f>
        <v>25</v>
      </c>
      <c r="F37" s="52">
        <f>[4]Summary!F36</f>
        <v>0</v>
      </c>
      <c r="G37" s="20">
        <f t="shared" si="0"/>
        <v>0</v>
      </c>
      <c r="H37" s="20" t="s">
        <v>5412</v>
      </c>
    </row>
    <row r="38" spans="1:8" ht="42">
      <c r="A38" s="21">
        <v>34</v>
      </c>
      <c r="B38" s="22" t="s">
        <v>1832</v>
      </c>
      <c r="C38" s="22" t="s">
        <v>1833</v>
      </c>
      <c r="D38" s="23" t="s">
        <v>1584</v>
      </c>
      <c r="E38" s="24">
        <f>[4]Summary!E37</f>
        <v>10</v>
      </c>
      <c r="F38" s="25">
        <f>[4]Summary!F37</f>
        <v>0</v>
      </c>
      <c r="G38" s="26">
        <f t="shared" si="0"/>
        <v>0</v>
      </c>
      <c r="H38" s="26" t="s">
        <v>5416</v>
      </c>
    </row>
    <row r="39" spans="1:8" ht="21">
      <c r="A39" s="16">
        <v>35</v>
      </c>
      <c r="B39" s="17" t="s">
        <v>1834</v>
      </c>
      <c r="C39" s="17" t="s">
        <v>1835</v>
      </c>
      <c r="D39" s="18" t="s">
        <v>1584</v>
      </c>
      <c r="E39" s="19">
        <f>[4]Summary!E38</f>
        <v>14.5</v>
      </c>
      <c r="F39" s="52">
        <f>[4]Summary!F38</f>
        <v>0</v>
      </c>
      <c r="G39" s="20">
        <f t="shared" si="0"/>
        <v>0</v>
      </c>
      <c r="H39" s="20" t="s">
        <v>5412</v>
      </c>
    </row>
    <row r="40" spans="1:8" ht="21">
      <c r="A40" s="21">
        <v>36</v>
      </c>
      <c r="B40" s="22" t="s">
        <v>1836</v>
      </c>
      <c r="C40" s="22" t="s">
        <v>1837</v>
      </c>
      <c r="D40" s="23" t="s">
        <v>1584</v>
      </c>
      <c r="E40" s="24">
        <f>[4]Summary!E39</f>
        <v>18</v>
      </c>
      <c r="F40" s="25">
        <f>[4]Summary!F39</f>
        <v>0</v>
      </c>
      <c r="G40" s="26">
        <f t="shared" si="0"/>
        <v>0</v>
      </c>
      <c r="H40" s="26" t="s">
        <v>5412</v>
      </c>
    </row>
    <row r="41" spans="1:8" ht="21">
      <c r="A41" s="16">
        <v>37</v>
      </c>
      <c r="B41" s="17" t="s">
        <v>1838</v>
      </c>
      <c r="C41" s="17" t="s">
        <v>1839</v>
      </c>
      <c r="D41" s="18" t="s">
        <v>1584</v>
      </c>
      <c r="E41" s="19">
        <f>[4]Summary!E40</f>
        <v>2</v>
      </c>
      <c r="F41" s="52">
        <f>[4]Summary!F40</f>
        <v>19</v>
      </c>
      <c r="G41" s="20">
        <f t="shared" si="0"/>
        <v>38</v>
      </c>
      <c r="H41" s="20" t="s">
        <v>5412</v>
      </c>
    </row>
    <row r="42" spans="1:8" ht="21">
      <c r="A42" s="21">
        <v>38</v>
      </c>
      <c r="B42" s="22" t="s">
        <v>1840</v>
      </c>
      <c r="C42" s="22" t="s">
        <v>1841</v>
      </c>
      <c r="D42" s="23" t="s">
        <v>1584</v>
      </c>
      <c r="E42" s="24">
        <f>[4]Summary!E41</f>
        <v>10.130000000000001</v>
      </c>
      <c r="F42" s="25">
        <f>[4]Summary!F41</f>
        <v>0</v>
      </c>
      <c r="G42" s="26">
        <f t="shared" si="0"/>
        <v>0</v>
      </c>
      <c r="H42" s="26" t="s">
        <v>5416</v>
      </c>
    </row>
    <row r="43" spans="1:8" ht="21">
      <c r="A43" s="16">
        <v>39</v>
      </c>
      <c r="B43" s="17" t="s">
        <v>1842</v>
      </c>
      <c r="C43" s="17" t="s">
        <v>1843</v>
      </c>
      <c r="D43" s="18" t="s">
        <v>1584</v>
      </c>
      <c r="E43" s="19">
        <f>[4]Summary!E42</f>
        <v>0</v>
      </c>
      <c r="F43" s="52">
        <f>[4]Summary!F42</f>
        <v>20</v>
      </c>
      <c r="G43" s="20">
        <f t="shared" si="0"/>
        <v>0</v>
      </c>
      <c r="H43" s="20" t="s">
        <v>5410</v>
      </c>
    </row>
    <row r="44" spans="1:8" ht="21">
      <c r="A44" s="21">
        <v>40</v>
      </c>
      <c r="B44" s="22" t="s">
        <v>1844</v>
      </c>
      <c r="C44" s="22" t="s">
        <v>1845</v>
      </c>
      <c r="D44" s="23" t="s">
        <v>1584</v>
      </c>
      <c r="E44" s="24">
        <f>[4]Summary!E43</f>
        <v>300</v>
      </c>
      <c r="F44" s="25">
        <f>[4]Summary!F43</f>
        <v>0</v>
      </c>
      <c r="G44" s="26">
        <f t="shared" si="0"/>
        <v>0</v>
      </c>
      <c r="H44" s="26" t="s">
        <v>5407</v>
      </c>
    </row>
    <row r="45" spans="1:8" ht="21">
      <c r="A45" s="16">
        <v>41</v>
      </c>
      <c r="B45" s="17" t="s">
        <v>1846</v>
      </c>
      <c r="C45" s="17" t="s">
        <v>1847</v>
      </c>
      <c r="D45" s="18" t="s">
        <v>1584</v>
      </c>
      <c r="E45" s="19">
        <f>[4]Summary!E44</f>
        <v>450</v>
      </c>
      <c r="F45" s="52">
        <f>[4]Summary!F44</f>
        <v>0</v>
      </c>
      <c r="G45" s="20">
        <f t="shared" si="0"/>
        <v>0</v>
      </c>
      <c r="H45" s="20" t="s">
        <v>5407</v>
      </c>
    </row>
    <row r="46" spans="1:8" ht="21">
      <c r="A46" s="21">
        <v>42</v>
      </c>
      <c r="B46" s="22" t="s">
        <v>1848</v>
      </c>
      <c r="C46" s="22" t="s">
        <v>1849</v>
      </c>
      <c r="D46" s="23" t="s">
        <v>1584</v>
      </c>
      <c r="E46" s="24">
        <f>[4]Summary!E45</f>
        <v>340</v>
      </c>
      <c r="F46" s="25">
        <f>[4]Summary!F45</f>
        <v>0</v>
      </c>
      <c r="G46" s="26">
        <f t="shared" si="0"/>
        <v>0</v>
      </c>
      <c r="H46" s="26" t="s">
        <v>5407</v>
      </c>
    </row>
    <row r="47" spans="1:8" ht="21">
      <c r="A47" s="16">
        <v>43</v>
      </c>
      <c r="B47" s="17" t="s">
        <v>1850</v>
      </c>
      <c r="C47" s="17" t="s">
        <v>1851</v>
      </c>
      <c r="D47" s="18" t="s">
        <v>1584</v>
      </c>
      <c r="E47" s="19">
        <f>[4]Summary!E46</f>
        <v>375</v>
      </c>
      <c r="F47" s="52">
        <f>[4]Summary!F46</f>
        <v>6</v>
      </c>
      <c r="G47" s="20">
        <f t="shared" si="0"/>
        <v>2250</v>
      </c>
      <c r="H47" s="20" t="s">
        <v>5407</v>
      </c>
    </row>
    <row r="48" spans="1:8" ht="21">
      <c r="A48" s="21">
        <v>44</v>
      </c>
      <c r="B48" s="22" t="s">
        <v>1852</v>
      </c>
      <c r="C48" s="22" t="s">
        <v>1853</v>
      </c>
      <c r="D48" s="23" t="s">
        <v>1584</v>
      </c>
      <c r="E48" s="24">
        <f>[4]Summary!E47</f>
        <v>375</v>
      </c>
      <c r="F48" s="25">
        <f>[4]Summary!F47</f>
        <v>1</v>
      </c>
      <c r="G48" s="26">
        <f t="shared" si="0"/>
        <v>375</v>
      </c>
      <c r="H48" s="26" t="s">
        <v>5407</v>
      </c>
    </row>
    <row r="49" spans="1:8" ht="21">
      <c r="A49" s="16">
        <v>45</v>
      </c>
      <c r="B49" s="17" t="s">
        <v>1854</v>
      </c>
      <c r="C49" s="17" t="s">
        <v>1855</v>
      </c>
      <c r="D49" s="18" t="s">
        <v>1584</v>
      </c>
      <c r="E49" s="19">
        <f>[4]Summary!E48</f>
        <v>625</v>
      </c>
      <c r="F49" s="52">
        <f>[4]Summary!F48</f>
        <v>2</v>
      </c>
      <c r="G49" s="20">
        <f t="shared" si="0"/>
        <v>1250</v>
      </c>
      <c r="H49" s="20" t="s">
        <v>5407</v>
      </c>
    </row>
    <row r="50" spans="1:8" ht="21">
      <c r="A50" s="21">
        <v>46</v>
      </c>
      <c r="B50" s="22" t="s">
        <v>5670</v>
      </c>
      <c r="C50" s="22" t="s">
        <v>5671</v>
      </c>
      <c r="D50" s="23" t="s">
        <v>1584</v>
      </c>
      <c r="E50" s="24">
        <f>[4]Summary!E49</f>
        <v>650</v>
      </c>
      <c r="F50" s="25">
        <f>[4]Summary!F49</f>
        <v>0</v>
      </c>
      <c r="G50" s="26">
        <f t="shared" si="0"/>
        <v>0</v>
      </c>
      <c r="H50" s="26" t="s">
        <v>5407</v>
      </c>
    </row>
    <row r="51" spans="1:8" ht="21">
      <c r="A51" s="16">
        <v>47</v>
      </c>
      <c r="B51" s="17" t="s">
        <v>1856</v>
      </c>
      <c r="C51" s="17" t="s">
        <v>1857</v>
      </c>
      <c r="D51" s="18" t="s">
        <v>1584</v>
      </c>
      <c r="E51" s="19">
        <f>[4]Summary!E50</f>
        <v>1200</v>
      </c>
      <c r="F51" s="52">
        <f>[4]Summary!F50</f>
        <v>0</v>
      </c>
      <c r="G51" s="20">
        <f t="shared" si="0"/>
        <v>0</v>
      </c>
      <c r="H51" s="20" t="s">
        <v>5407</v>
      </c>
    </row>
    <row r="52" spans="1:8" ht="21">
      <c r="A52" s="21">
        <v>48</v>
      </c>
      <c r="B52" s="22" t="s">
        <v>1858</v>
      </c>
      <c r="C52" s="22" t="s">
        <v>1859</v>
      </c>
      <c r="D52" s="23" t="s">
        <v>1584</v>
      </c>
      <c r="E52" s="24">
        <f>[4]Summary!E51</f>
        <v>1800</v>
      </c>
      <c r="F52" s="25">
        <f>[4]Summary!F51</f>
        <v>1</v>
      </c>
      <c r="G52" s="26">
        <f t="shared" si="0"/>
        <v>1800</v>
      </c>
      <c r="H52" s="26" t="s">
        <v>5407</v>
      </c>
    </row>
    <row r="53" spans="1:8" ht="21">
      <c r="A53" s="16">
        <v>49</v>
      </c>
      <c r="B53" s="17" t="s">
        <v>1860</v>
      </c>
      <c r="C53" s="17" t="s">
        <v>1861</v>
      </c>
      <c r="D53" s="18" t="s">
        <v>1584</v>
      </c>
      <c r="E53" s="19">
        <f>[4]Summary!E52</f>
        <v>245</v>
      </c>
      <c r="F53" s="52">
        <f>[4]Summary!F52</f>
        <v>0</v>
      </c>
      <c r="G53" s="20">
        <f t="shared" si="0"/>
        <v>0</v>
      </c>
      <c r="H53" s="20" t="s">
        <v>5407</v>
      </c>
    </row>
    <row r="54" spans="1:8" ht="21">
      <c r="A54" s="21">
        <v>50</v>
      </c>
      <c r="B54" s="22" t="s">
        <v>1862</v>
      </c>
      <c r="C54" s="22" t="s">
        <v>1863</v>
      </c>
      <c r="D54" s="23" t="s">
        <v>1584</v>
      </c>
      <c r="E54" s="24">
        <f>[4]Summary!E53</f>
        <v>65</v>
      </c>
      <c r="F54" s="25">
        <f>[4]Summary!F53</f>
        <v>0</v>
      </c>
      <c r="G54" s="26">
        <f t="shared" si="0"/>
        <v>0</v>
      </c>
      <c r="H54" s="26" t="s">
        <v>5407</v>
      </c>
    </row>
    <row r="55" spans="1:8" ht="21">
      <c r="A55" s="16">
        <v>51</v>
      </c>
      <c r="B55" s="17" t="s">
        <v>1864</v>
      </c>
      <c r="C55" s="17" t="s">
        <v>1865</v>
      </c>
      <c r="D55" s="18" t="s">
        <v>1584</v>
      </c>
      <c r="E55" s="19">
        <f>[4]Summary!E54</f>
        <v>295</v>
      </c>
      <c r="F55" s="52">
        <f>[4]Summary!F54</f>
        <v>0</v>
      </c>
      <c r="G55" s="20">
        <f t="shared" si="0"/>
        <v>0</v>
      </c>
      <c r="H55" s="20" t="s">
        <v>5407</v>
      </c>
    </row>
    <row r="56" spans="1:8" ht="21">
      <c r="A56" s="21">
        <v>52</v>
      </c>
      <c r="B56" s="22" t="s">
        <v>1866</v>
      </c>
      <c r="C56" s="22" t="s">
        <v>1867</v>
      </c>
      <c r="D56" s="23" t="s">
        <v>1584</v>
      </c>
      <c r="E56" s="24">
        <f>[4]Summary!E55</f>
        <v>150</v>
      </c>
      <c r="F56" s="25">
        <f>[4]Summary!F55</f>
        <v>0</v>
      </c>
      <c r="G56" s="26">
        <f t="shared" si="0"/>
        <v>0</v>
      </c>
      <c r="H56" s="26" t="s">
        <v>5407</v>
      </c>
    </row>
    <row r="57" spans="1:8" ht="21">
      <c r="A57" s="16">
        <v>53</v>
      </c>
      <c r="B57" s="17" t="s">
        <v>1868</v>
      </c>
      <c r="C57" s="17" t="s">
        <v>1869</v>
      </c>
      <c r="D57" s="18" t="s">
        <v>1584</v>
      </c>
      <c r="E57" s="19">
        <f>[4]Summary!E56</f>
        <v>165</v>
      </c>
      <c r="F57" s="52">
        <f>[4]Summary!F56</f>
        <v>0</v>
      </c>
      <c r="G57" s="20">
        <f t="shared" si="0"/>
        <v>0</v>
      </c>
      <c r="H57" s="20" t="s">
        <v>5407</v>
      </c>
    </row>
    <row r="58" spans="1:8" ht="21">
      <c r="A58" s="21">
        <v>54</v>
      </c>
      <c r="B58" s="22" t="s">
        <v>1870</v>
      </c>
      <c r="C58" s="22" t="s">
        <v>1871</v>
      </c>
      <c r="D58" s="23" t="s">
        <v>1584</v>
      </c>
      <c r="E58" s="24">
        <f>[4]Summary!E57</f>
        <v>115</v>
      </c>
      <c r="F58" s="25">
        <f>[4]Summary!F57</f>
        <v>0</v>
      </c>
      <c r="G58" s="26">
        <f t="shared" si="0"/>
        <v>0</v>
      </c>
      <c r="H58" s="26" t="s">
        <v>5407</v>
      </c>
    </row>
    <row r="59" spans="1:8" ht="21">
      <c r="A59" s="16">
        <v>55</v>
      </c>
      <c r="B59" s="17" t="s">
        <v>1872</v>
      </c>
      <c r="C59" s="17" t="s">
        <v>1873</v>
      </c>
      <c r="D59" s="18" t="s">
        <v>1584</v>
      </c>
      <c r="E59" s="19">
        <f>[4]Summary!E58</f>
        <v>11.5</v>
      </c>
      <c r="F59" s="52">
        <f>[4]Summary!F58</f>
        <v>0</v>
      </c>
      <c r="G59" s="20">
        <f t="shared" si="0"/>
        <v>0</v>
      </c>
      <c r="H59" s="20" t="s">
        <v>5418</v>
      </c>
    </row>
    <row r="60" spans="1:8" ht="21">
      <c r="A60" s="21">
        <v>56</v>
      </c>
      <c r="B60" s="22" t="s">
        <v>1874</v>
      </c>
      <c r="C60" s="22" t="s">
        <v>1875</v>
      </c>
      <c r="D60" s="23" t="s">
        <v>1584</v>
      </c>
      <c r="E60" s="24">
        <f>[4]Summary!E59</f>
        <v>8.1</v>
      </c>
      <c r="F60" s="25">
        <f>[4]Summary!F59</f>
        <v>0</v>
      </c>
      <c r="G60" s="26">
        <f t="shared" si="0"/>
        <v>0</v>
      </c>
      <c r="H60" s="26" t="s">
        <v>5418</v>
      </c>
    </row>
    <row r="61" spans="1:8" ht="21">
      <c r="A61" s="16">
        <v>57</v>
      </c>
      <c r="B61" s="17" t="s">
        <v>1876</v>
      </c>
      <c r="C61" s="17" t="s">
        <v>1877</v>
      </c>
      <c r="D61" s="18" t="s">
        <v>1584</v>
      </c>
      <c r="E61" s="19">
        <f>[4]Summary!E60</f>
        <v>7.5</v>
      </c>
      <c r="F61" s="52">
        <f>[4]Summary!F60</f>
        <v>39</v>
      </c>
      <c r="G61" s="20">
        <f t="shared" si="0"/>
        <v>292.5</v>
      </c>
      <c r="H61" s="20" t="s">
        <v>5411</v>
      </c>
    </row>
    <row r="62" spans="1:8" ht="21">
      <c r="A62" s="21">
        <v>58</v>
      </c>
      <c r="B62" s="22" t="s">
        <v>1878</v>
      </c>
      <c r="C62" s="22" t="s">
        <v>1879</v>
      </c>
      <c r="D62" s="23" t="s">
        <v>1584</v>
      </c>
      <c r="E62" s="24">
        <f>[4]Summary!E61</f>
        <v>4.5</v>
      </c>
      <c r="F62" s="25">
        <f>[4]Summary!F61</f>
        <v>0</v>
      </c>
      <c r="G62" s="26">
        <f t="shared" si="0"/>
        <v>0</v>
      </c>
      <c r="H62" s="26" t="s">
        <v>5412</v>
      </c>
    </row>
    <row r="63" spans="1:8" ht="21">
      <c r="A63" s="16">
        <v>59</v>
      </c>
      <c r="B63" s="17" t="s">
        <v>1880</v>
      </c>
      <c r="C63" s="17" t="s">
        <v>1881</v>
      </c>
      <c r="D63" s="18" t="s">
        <v>1584</v>
      </c>
      <c r="E63" s="19">
        <f>[4]Summary!E62</f>
        <v>4.99</v>
      </c>
      <c r="F63" s="52">
        <f>[4]Summary!F62</f>
        <v>0</v>
      </c>
      <c r="G63" s="20">
        <f t="shared" si="0"/>
        <v>0</v>
      </c>
      <c r="H63" s="20" t="s">
        <v>5412</v>
      </c>
    </row>
    <row r="64" spans="1:8" ht="42">
      <c r="A64" s="21">
        <v>60</v>
      </c>
      <c r="B64" s="22" t="s">
        <v>1882</v>
      </c>
      <c r="C64" s="22" t="s">
        <v>1883</v>
      </c>
      <c r="D64" s="23" t="s">
        <v>1584</v>
      </c>
      <c r="E64" s="24">
        <f>[4]Summary!E63</f>
        <v>20</v>
      </c>
      <c r="F64" s="25">
        <f>[4]Summary!F63</f>
        <v>0</v>
      </c>
      <c r="G64" s="26">
        <f t="shared" si="0"/>
        <v>0</v>
      </c>
      <c r="H64" s="26" t="s">
        <v>5410</v>
      </c>
    </row>
    <row r="65" spans="1:8" ht="42">
      <c r="A65" s="16">
        <v>61</v>
      </c>
      <c r="B65" s="17" t="s">
        <v>1882</v>
      </c>
      <c r="C65" s="17" t="s">
        <v>1884</v>
      </c>
      <c r="D65" s="18" t="s">
        <v>1584</v>
      </c>
      <c r="E65" s="19">
        <f>[4]Summary!E64</f>
        <v>25</v>
      </c>
      <c r="F65" s="52">
        <f>[4]Summary!F64</f>
        <v>0</v>
      </c>
      <c r="G65" s="20">
        <f t="shared" si="0"/>
        <v>0</v>
      </c>
      <c r="H65" s="20" t="s">
        <v>5410</v>
      </c>
    </row>
    <row r="66" spans="1:8" ht="42">
      <c r="A66" s="21">
        <v>62</v>
      </c>
      <c r="B66" s="22" t="s">
        <v>1882</v>
      </c>
      <c r="C66" s="22" t="s">
        <v>1885</v>
      </c>
      <c r="D66" s="23" t="s">
        <v>1584</v>
      </c>
      <c r="E66" s="24">
        <f>[4]Summary!E65</f>
        <v>35</v>
      </c>
      <c r="F66" s="25">
        <f>[4]Summary!F65</f>
        <v>0</v>
      </c>
      <c r="G66" s="26">
        <f t="shared" si="0"/>
        <v>0</v>
      </c>
      <c r="H66" s="26" t="s">
        <v>5410</v>
      </c>
    </row>
    <row r="67" spans="1:8" ht="42">
      <c r="A67" s="16">
        <v>63</v>
      </c>
      <c r="B67" s="17" t="s">
        <v>1886</v>
      </c>
      <c r="C67" s="17" t="s">
        <v>1887</v>
      </c>
      <c r="D67" s="18" t="s">
        <v>1584</v>
      </c>
      <c r="E67" s="19">
        <f>[4]Summary!E66</f>
        <v>7.2</v>
      </c>
      <c r="F67" s="52">
        <f>[4]Summary!F66</f>
        <v>2</v>
      </c>
      <c r="G67" s="20">
        <f t="shared" si="0"/>
        <v>14.4</v>
      </c>
      <c r="H67" s="20" t="s">
        <v>5414</v>
      </c>
    </row>
    <row r="68" spans="1:8" ht="21">
      <c r="A68" s="21">
        <v>64</v>
      </c>
      <c r="B68" s="22" t="s">
        <v>1888</v>
      </c>
      <c r="C68" s="22" t="s">
        <v>1889</v>
      </c>
      <c r="D68" s="23" t="s">
        <v>1584</v>
      </c>
      <c r="E68" s="24">
        <f>[4]Summary!E67</f>
        <v>1.5</v>
      </c>
      <c r="F68" s="25">
        <f>[4]Summary!F67</f>
        <v>0</v>
      </c>
      <c r="G68" s="26">
        <f t="shared" si="0"/>
        <v>0</v>
      </c>
      <c r="H68" s="26" t="s">
        <v>5406</v>
      </c>
    </row>
    <row r="69" spans="1:8" ht="21">
      <c r="A69" s="16">
        <v>65</v>
      </c>
      <c r="B69" s="17" t="s">
        <v>1890</v>
      </c>
      <c r="C69" s="17" t="s">
        <v>1891</v>
      </c>
      <c r="D69" s="18" t="s">
        <v>1584</v>
      </c>
      <c r="E69" s="19">
        <f>[4]Summary!E68</f>
        <v>1.75</v>
      </c>
      <c r="F69" s="52">
        <f>[4]Summary!F68</f>
        <v>9</v>
      </c>
      <c r="G69" s="20">
        <f t="shared" si="0"/>
        <v>15.75</v>
      </c>
      <c r="H69" s="20" t="s">
        <v>5406</v>
      </c>
    </row>
    <row r="70" spans="1:8" ht="21">
      <c r="A70" s="21">
        <v>66</v>
      </c>
      <c r="B70" s="22" t="s">
        <v>1892</v>
      </c>
      <c r="C70" s="22" t="s">
        <v>1893</v>
      </c>
      <c r="D70" s="23" t="s">
        <v>1584</v>
      </c>
      <c r="E70" s="24">
        <f>[4]Summary!E69</f>
        <v>0.2</v>
      </c>
      <c r="F70" s="25">
        <f>[4]Summary!F69</f>
        <v>37</v>
      </c>
      <c r="G70" s="26">
        <f t="shared" si="0"/>
        <v>7.4</v>
      </c>
      <c r="H70" s="26" t="s">
        <v>5404</v>
      </c>
    </row>
    <row r="71" spans="1:8" ht="21">
      <c r="A71" s="16">
        <v>67</v>
      </c>
      <c r="B71" s="17" t="s">
        <v>1894</v>
      </c>
      <c r="C71" s="17" t="s">
        <v>1895</v>
      </c>
      <c r="D71" s="18" t="s">
        <v>1584</v>
      </c>
      <c r="E71" s="19">
        <f>[4]Summary!E70</f>
        <v>0.35</v>
      </c>
      <c r="F71" s="52">
        <f>[4]Summary!F70</f>
        <v>0</v>
      </c>
      <c r="G71" s="20">
        <f t="shared" ref="G71:G134" si="1">E71*F71</f>
        <v>0</v>
      </c>
      <c r="H71" s="20" t="s">
        <v>5404</v>
      </c>
    </row>
    <row r="72" spans="1:8" ht="21">
      <c r="A72" s="21">
        <v>68</v>
      </c>
      <c r="B72" s="22" t="s">
        <v>1896</v>
      </c>
      <c r="C72" s="22" t="s">
        <v>1897</v>
      </c>
      <c r="D72" s="23" t="s">
        <v>1584</v>
      </c>
      <c r="E72" s="24">
        <f>[4]Summary!E71</f>
        <v>0.1</v>
      </c>
      <c r="F72" s="25">
        <f>[4]Summary!F71</f>
        <v>1</v>
      </c>
      <c r="G72" s="26">
        <f t="shared" si="1"/>
        <v>0.1</v>
      </c>
      <c r="H72" s="26" t="s">
        <v>5406</v>
      </c>
    </row>
    <row r="73" spans="1:8" ht="21">
      <c r="A73" s="16">
        <v>69</v>
      </c>
      <c r="B73" s="17" t="s">
        <v>1898</v>
      </c>
      <c r="C73" s="17" t="s">
        <v>1899</v>
      </c>
      <c r="D73" s="18" t="s">
        <v>1584</v>
      </c>
      <c r="E73" s="19">
        <f>[4]Summary!E72</f>
        <v>0.45</v>
      </c>
      <c r="F73" s="52">
        <f>[4]Summary!F72</f>
        <v>0</v>
      </c>
      <c r="G73" s="20">
        <f t="shared" si="1"/>
        <v>0</v>
      </c>
      <c r="H73" s="20" t="s">
        <v>5404</v>
      </c>
    </row>
    <row r="74" spans="1:8" ht="21">
      <c r="A74" s="21">
        <v>70</v>
      </c>
      <c r="B74" s="22" t="s">
        <v>1900</v>
      </c>
      <c r="C74" s="22" t="s">
        <v>1901</v>
      </c>
      <c r="D74" s="23" t="s">
        <v>1584</v>
      </c>
      <c r="E74" s="24">
        <f>[4]Summary!E73</f>
        <v>2</v>
      </c>
      <c r="F74" s="25">
        <f>[4]Summary!F73</f>
        <v>0</v>
      </c>
      <c r="G74" s="26">
        <f t="shared" si="1"/>
        <v>0</v>
      </c>
      <c r="H74" s="26" t="s">
        <v>5405</v>
      </c>
    </row>
    <row r="75" spans="1:8" ht="21">
      <c r="A75" s="16">
        <v>71</v>
      </c>
      <c r="B75" s="17" t="s">
        <v>1902</v>
      </c>
      <c r="C75" s="17" t="s">
        <v>1903</v>
      </c>
      <c r="D75" s="18" t="s">
        <v>1584</v>
      </c>
      <c r="E75" s="19">
        <f>[4]Summary!E74</f>
        <v>0.95</v>
      </c>
      <c r="F75" s="52">
        <f>[4]Summary!F74</f>
        <v>35</v>
      </c>
      <c r="G75" s="20">
        <f t="shared" si="1"/>
        <v>33.25</v>
      </c>
      <c r="H75" s="20" t="s">
        <v>5404</v>
      </c>
    </row>
    <row r="76" spans="1:8" ht="21">
      <c r="A76" s="21">
        <v>72</v>
      </c>
      <c r="B76" s="22" t="s">
        <v>1904</v>
      </c>
      <c r="C76" s="22" t="s">
        <v>1905</v>
      </c>
      <c r="D76" s="23" t="s">
        <v>1584</v>
      </c>
      <c r="E76" s="24">
        <f>[4]Summary!E75</f>
        <v>0.18</v>
      </c>
      <c r="F76" s="25">
        <f>[4]Summary!F75</f>
        <v>2</v>
      </c>
      <c r="G76" s="26">
        <f t="shared" si="1"/>
        <v>0.36</v>
      </c>
      <c r="H76" s="26" t="s">
        <v>5406</v>
      </c>
    </row>
    <row r="77" spans="1:8" ht="21">
      <c r="A77" s="16">
        <v>73</v>
      </c>
      <c r="B77" s="17" t="s">
        <v>1906</v>
      </c>
      <c r="C77" s="17" t="s">
        <v>1907</v>
      </c>
      <c r="D77" s="18" t="s">
        <v>1584</v>
      </c>
      <c r="E77" s="19">
        <f>[4]Summary!E76</f>
        <v>2.02</v>
      </c>
      <c r="F77" s="52">
        <f>[4]Summary!F76</f>
        <v>3</v>
      </c>
      <c r="G77" s="20">
        <f t="shared" si="1"/>
        <v>6.0600000000000005</v>
      </c>
      <c r="H77" s="20" t="s">
        <v>5409</v>
      </c>
    </row>
    <row r="78" spans="1:8" ht="21">
      <c r="A78" s="21">
        <v>74</v>
      </c>
      <c r="B78" s="22" t="s">
        <v>1908</v>
      </c>
      <c r="C78" s="22" t="s">
        <v>1909</v>
      </c>
      <c r="D78" s="23" t="s">
        <v>1584</v>
      </c>
      <c r="E78" s="24">
        <f>[4]Summary!E77</f>
        <v>1.35</v>
      </c>
      <c r="F78" s="25">
        <f>[4]Summary!F77</f>
        <v>9</v>
      </c>
      <c r="G78" s="26">
        <f t="shared" si="1"/>
        <v>12.15</v>
      </c>
      <c r="H78" s="26" t="s">
        <v>5406</v>
      </c>
    </row>
    <row r="79" spans="1:8" ht="21">
      <c r="A79" s="16">
        <v>75</v>
      </c>
      <c r="B79" s="17" t="s">
        <v>1910</v>
      </c>
      <c r="C79" s="17" t="s">
        <v>1911</v>
      </c>
      <c r="D79" s="18" t="s">
        <v>1584</v>
      </c>
      <c r="E79" s="19">
        <f>[4]Summary!E78</f>
        <v>12</v>
      </c>
      <c r="F79" s="52">
        <f>[4]Summary!F78</f>
        <v>1</v>
      </c>
      <c r="G79" s="20">
        <f t="shared" si="1"/>
        <v>12</v>
      </c>
      <c r="H79" s="20" t="s">
        <v>5413</v>
      </c>
    </row>
    <row r="80" spans="1:8" ht="21">
      <c r="A80" s="21">
        <v>76</v>
      </c>
      <c r="B80" s="22" t="s">
        <v>1912</v>
      </c>
      <c r="C80" s="22" t="s">
        <v>1913</v>
      </c>
      <c r="D80" s="23" t="s">
        <v>1584</v>
      </c>
      <c r="E80" s="24">
        <f>[4]Summary!E79</f>
        <v>30</v>
      </c>
      <c r="F80" s="25">
        <f>[4]Summary!F79</f>
        <v>0</v>
      </c>
      <c r="G80" s="26">
        <f t="shared" si="1"/>
        <v>0</v>
      </c>
      <c r="H80" s="26" t="s">
        <v>5413</v>
      </c>
    </row>
    <row r="81" spans="1:8" ht="21">
      <c r="A81" s="16">
        <v>77</v>
      </c>
      <c r="B81" s="17" t="s">
        <v>1914</v>
      </c>
      <c r="C81" s="17" t="s">
        <v>1915</v>
      </c>
      <c r="D81" s="18" t="s">
        <v>1584</v>
      </c>
      <c r="E81" s="19">
        <f>[4]Summary!E80</f>
        <v>30</v>
      </c>
      <c r="F81" s="52">
        <f>[4]Summary!F80</f>
        <v>2</v>
      </c>
      <c r="G81" s="20">
        <f t="shared" si="1"/>
        <v>60</v>
      </c>
      <c r="H81" s="20" t="s">
        <v>5413</v>
      </c>
    </row>
    <row r="82" spans="1:8" ht="21">
      <c r="A82" s="21">
        <v>78</v>
      </c>
      <c r="B82" s="22" t="s">
        <v>1916</v>
      </c>
      <c r="C82" s="22" t="s">
        <v>1917</v>
      </c>
      <c r="D82" s="23" t="s">
        <v>1584</v>
      </c>
      <c r="E82" s="24">
        <f>[4]Summary!E81</f>
        <v>40</v>
      </c>
      <c r="F82" s="25">
        <f>[4]Summary!F81</f>
        <v>22</v>
      </c>
      <c r="G82" s="26">
        <f t="shared" si="1"/>
        <v>880</v>
      </c>
      <c r="H82" s="26" t="s">
        <v>5413</v>
      </c>
    </row>
    <row r="83" spans="1:8" ht="42">
      <c r="A83" s="16">
        <v>79</v>
      </c>
      <c r="B83" s="17" t="s">
        <v>1918</v>
      </c>
      <c r="C83" s="17" t="s">
        <v>1919</v>
      </c>
      <c r="D83" s="18" t="s">
        <v>1584</v>
      </c>
      <c r="E83" s="19">
        <f>[4]Summary!E82</f>
        <v>132</v>
      </c>
      <c r="F83" s="52">
        <f>[4]Summary!F82</f>
        <v>0</v>
      </c>
      <c r="G83" s="20">
        <f t="shared" si="1"/>
        <v>0</v>
      </c>
      <c r="H83" s="20" t="s">
        <v>5413</v>
      </c>
    </row>
    <row r="84" spans="1:8" ht="21">
      <c r="A84" s="21">
        <v>80</v>
      </c>
      <c r="B84" s="22" t="s">
        <v>1920</v>
      </c>
      <c r="C84" s="22" t="s">
        <v>5749</v>
      </c>
      <c r="D84" s="23" t="s">
        <v>1584</v>
      </c>
      <c r="E84" s="24">
        <f>[4]Summary!E83</f>
        <v>7</v>
      </c>
      <c r="F84" s="25">
        <f>[4]Summary!F83</f>
        <v>8</v>
      </c>
      <c r="G84" s="26">
        <f t="shared" si="1"/>
        <v>56</v>
      </c>
      <c r="H84" s="26" t="s">
        <v>5408</v>
      </c>
    </row>
    <row r="85" spans="1:8" ht="21">
      <c r="A85" s="16">
        <v>81</v>
      </c>
      <c r="B85" s="17" t="s">
        <v>1921</v>
      </c>
      <c r="C85" s="17" t="s">
        <v>1922</v>
      </c>
      <c r="D85" s="18" t="s">
        <v>1584</v>
      </c>
      <c r="E85" s="19">
        <f>[4]Summary!E84</f>
        <v>10</v>
      </c>
      <c r="F85" s="52">
        <f>[4]Summary!F84</f>
        <v>19</v>
      </c>
      <c r="G85" s="20">
        <f t="shared" si="1"/>
        <v>190</v>
      </c>
      <c r="H85" s="20" t="s">
        <v>5408</v>
      </c>
    </row>
    <row r="86" spans="1:8" ht="21">
      <c r="A86" s="21">
        <v>82</v>
      </c>
      <c r="B86" s="22" t="s">
        <v>1923</v>
      </c>
      <c r="C86" s="22" t="s">
        <v>1924</v>
      </c>
      <c r="D86" s="23" t="s">
        <v>1584</v>
      </c>
      <c r="E86" s="24">
        <f>[4]Summary!E85</f>
        <v>4.5</v>
      </c>
      <c r="F86" s="25">
        <f>[4]Summary!F85</f>
        <v>0</v>
      </c>
      <c r="G86" s="26">
        <f t="shared" si="1"/>
        <v>0</v>
      </c>
      <c r="H86" s="26" t="s">
        <v>5405</v>
      </c>
    </row>
    <row r="87" spans="1:8" ht="21">
      <c r="A87" s="16">
        <v>83</v>
      </c>
      <c r="B87" s="17" t="s">
        <v>1925</v>
      </c>
      <c r="C87" s="17" t="s">
        <v>1926</v>
      </c>
      <c r="D87" s="18" t="s">
        <v>1584</v>
      </c>
      <c r="E87" s="19">
        <f>[4]Summary!E86</f>
        <v>20</v>
      </c>
      <c r="F87" s="52">
        <f>[4]Summary!F86</f>
        <v>3</v>
      </c>
      <c r="G87" s="20">
        <f t="shared" si="1"/>
        <v>60</v>
      </c>
      <c r="H87" s="20" t="s">
        <v>5408</v>
      </c>
    </row>
    <row r="88" spans="1:8" ht="21">
      <c r="A88" s="21">
        <v>84</v>
      </c>
      <c r="B88" s="22" t="s">
        <v>1927</v>
      </c>
      <c r="C88" s="22" t="s">
        <v>1928</v>
      </c>
      <c r="D88" s="23" t="s">
        <v>1584</v>
      </c>
      <c r="E88" s="24">
        <f>[4]Summary!E87</f>
        <v>7</v>
      </c>
      <c r="F88" s="25">
        <f>[4]Summary!F87</f>
        <v>1</v>
      </c>
      <c r="G88" s="26">
        <f t="shared" si="1"/>
        <v>7</v>
      </c>
      <c r="H88" s="26" t="s">
        <v>5408</v>
      </c>
    </row>
    <row r="89" spans="1:8" ht="21">
      <c r="A89" s="16">
        <v>85</v>
      </c>
      <c r="B89" s="17" t="s">
        <v>1929</v>
      </c>
      <c r="C89" s="17" t="s">
        <v>5750</v>
      </c>
      <c r="D89" s="18" t="s">
        <v>1584</v>
      </c>
      <c r="E89" s="19">
        <f>[4]Summary!E88</f>
        <v>18</v>
      </c>
      <c r="F89" s="52">
        <f>[4]Summary!F88</f>
        <v>0</v>
      </c>
      <c r="G89" s="20">
        <f t="shared" si="1"/>
        <v>0</v>
      </c>
      <c r="H89" s="20" t="s">
        <v>5408</v>
      </c>
    </row>
    <row r="90" spans="1:8" ht="21">
      <c r="A90" s="21">
        <v>86</v>
      </c>
      <c r="B90" s="22" t="s">
        <v>1930</v>
      </c>
      <c r="C90" s="22" t="s">
        <v>1931</v>
      </c>
      <c r="D90" s="23" t="s">
        <v>1584</v>
      </c>
      <c r="E90" s="24">
        <f>[4]Summary!E89</f>
        <v>30</v>
      </c>
      <c r="F90" s="25">
        <f>[4]Summary!F89</f>
        <v>0</v>
      </c>
      <c r="G90" s="26">
        <f t="shared" si="1"/>
        <v>0</v>
      </c>
      <c r="H90" s="26" t="s">
        <v>5409</v>
      </c>
    </row>
    <row r="91" spans="1:8" ht="21">
      <c r="A91" s="16">
        <v>87</v>
      </c>
      <c r="B91" s="17" t="s">
        <v>1932</v>
      </c>
      <c r="C91" s="17" t="s">
        <v>5751</v>
      </c>
      <c r="D91" s="18" t="s">
        <v>1584</v>
      </c>
      <c r="E91" s="19">
        <f>[4]Summary!E90</f>
        <v>35</v>
      </c>
      <c r="F91" s="52">
        <f>[4]Summary!F90</f>
        <v>0</v>
      </c>
      <c r="G91" s="20">
        <f t="shared" si="1"/>
        <v>0</v>
      </c>
      <c r="H91" s="20" t="s">
        <v>5408</v>
      </c>
    </row>
    <row r="92" spans="1:8" ht="21">
      <c r="A92" s="21">
        <v>88</v>
      </c>
      <c r="B92" s="22" t="s">
        <v>1933</v>
      </c>
      <c r="C92" s="22" t="s">
        <v>1934</v>
      </c>
      <c r="D92" s="23" t="s">
        <v>1584</v>
      </c>
      <c r="E92" s="24">
        <f>[4]Summary!E91</f>
        <v>5</v>
      </c>
      <c r="F92" s="25">
        <f>[4]Summary!F91</f>
        <v>17</v>
      </c>
      <c r="G92" s="26">
        <f t="shared" si="1"/>
        <v>85</v>
      </c>
      <c r="H92" s="26" t="s">
        <v>5408</v>
      </c>
    </row>
    <row r="93" spans="1:8" ht="21">
      <c r="A93" s="16">
        <v>89</v>
      </c>
      <c r="B93" s="17" t="s">
        <v>1935</v>
      </c>
      <c r="C93" s="17" t="s">
        <v>1936</v>
      </c>
      <c r="D93" s="18" t="s">
        <v>1584</v>
      </c>
      <c r="E93" s="19">
        <f>[4]Summary!E92</f>
        <v>50</v>
      </c>
      <c r="F93" s="52">
        <f>[4]Summary!F92</f>
        <v>1</v>
      </c>
      <c r="G93" s="20">
        <f t="shared" si="1"/>
        <v>50</v>
      </c>
      <c r="H93" s="20" t="s">
        <v>5408</v>
      </c>
    </row>
    <row r="94" spans="1:8" ht="21">
      <c r="A94" s="21">
        <v>90</v>
      </c>
      <c r="B94" s="22" t="s">
        <v>1937</v>
      </c>
      <c r="C94" s="22" t="s">
        <v>1938</v>
      </c>
      <c r="D94" s="23" t="s">
        <v>1584</v>
      </c>
      <c r="E94" s="24">
        <f>[4]Summary!E93</f>
        <v>0</v>
      </c>
      <c r="F94" s="25">
        <f>[4]Summary!F93</f>
        <v>9</v>
      </c>
      <c r="G94" s="26">
        <f t="shared" si="1"/>
        <v>0</v>
      </c>
      <c r="H94" s="26" t="s">
        <v>5414</v>
      </c>
    </row>
    <row r="95" spans="1:8" ht="21">
      <c r="A95" s="16">
        <v>91</v>
      </c>
      <c r="B95" s="17" t="s">
        <v>1939</v>
      </c>
      <c r="C95" s="17" t="s">
        <v>1940</v>
      </c>
      <c r="D95" s="18" t="s">
        <v>1584</v>
      </c>
      <c r="E95" s="19">
        <f>[4]Summary!E94</f>
        <v>8</v>
      </c>
      <c r="F95" s="52">
        <f>[4]Summary!F94</f>
        <v>0</v>
      </c>
      <c r="G95" s="20">
        <f t="shared" si="1"/>
        <v>0</v>
      </c>
      <c r="H95" s="20" t="s">
        <v>5408</v>
      </c>
    </row>
    <row r="96" spans="1:8" ht="21">
      <c r="A96" s="21">
        <v>92</v>
      </c>
      <c r="B96" s="22" t="s">
        <v>1941</v>
      </c>
      <c r="C96" s="22" t="s">
        <v>1942</v>
      </c>
      <c r="D96" s="23" t="s">
        <v>1584</v>
      </c>
      <c r="E96" s="24">
        <f>[4]Summary!E95</f>
        <v>3.15</v>
      </c>
      <c r="F96" s="25">
        <f>[4]Summary!F95</f>
        <v>0</v>
      </c>
      <c r="G96" s="26">
        <f t="shared" si="1"/>
        <v>0</v>
      </c>
      <c r="H96" s="26" t="s">
        <v>5410</v>
      </c>
    </row>
    <row r="97" spans="1:8" ht="42">
      <c r="A97" s="16">
        <v>93</v>
      </c>
      <c r="B97" s="17" t="s">
        <v>1943</v>
      </c>
      <c r="C97" s="17" t="s">
        <v>1944</v>
      </c>
      <c r="D97" s="18" t="s">
        <v>1584</v>
      </c>
      <c r="E97" s="19">
        <f>[4]Summary!E96</f>
        <v>0.33</v>
      </c>
      <c r="F97" s="52">
        <f>[4]Summary!F96</f>
        <v>0</v>
      </c>
      <c r="G97" s="20">
        <f t="shared" si="1"/>
        <v>0</v>
      </c>
      <c r="H97" s="20" t="s">
        <v>5415</v>
      </c>
    </row>
    <row r="98" spans="1:8" ht="21">
      <c r="A98" s="21">
        <v>94</v>
      </c>
      <c r="B98" s="22" t="s">
        <v>1945</v>
      </c>
      <c r="C98" s="22" t="s">
        <v>1946</v>
      </c>
      <c r="D98" s="23" t="s">
        <v>1584</v>
      </c>
      <c r="E98" s="24">
        <f>[4]Summary!E97</f>
        <v>0.68</v>
      </c>
      <c r="F98" s="25">
        <f>[4]Summary!F97</f>
        <v>0</v>
      </c>
      <c r="G98" s="26">
        <f t="shared" si="1"/>
        <v>0</v>
      </c>
      <c r="H98" s="26" t="s">
        <v>5415</v>
      </c>
    </row>
    <row r="99" spans="1:8" ht="21">
      <c r="A99" s="16">
        <v>95</v>
      </c>
      <c r="B99" s="17" t="s">
        <v>1947</v>
      </c>
      <c r="C99" s="17" t="s">
        <v>1948</v>
      </c>
      <c r="D99" s="18" t="s">
        <v>1584</v>
      </c>
      <c r="E99" s="19">
        <f>[4]Summary!E98</f>
        <v>0.68030000000000002</v>
      </c>
      <c r="F99" s="52">
        <f>[4]Summary!F98</f>
        <v>10</v>
      </c>
      <c r="G99" s="20">
        <f t="shared" si="1"/>
        <v>6.8029999999999999</v>
      </c>
      <c r="H99" s="20" t="s">
        <v>5415</v>
      </c>
    </row>
    <row r="100" spans="1:8" ht="21">
      <c r="A100" s="21">
        <v>96</v>
      </c>
      <c r="B100" s="22" t="s">
        <v>1949</v>
      </c>
      <c r="C100" s="22" t="s">
        <v>1950</v>
      </c>
      <c r="D100" s="23" t="s">
        <v>1584</v>
      </c>
      <c r="E100" s="24">
        <f>[4]Summary!E99</f>
        <v>0.8</v>
      </c>
      <c r="F100" s="25">
        <f>[4]Summary!F99</f>
        <v>58</v>
      </c>
      <c r="G100" s="26">
        <f t="shared" si="1"/>
        <v>46.400000000000006</v>
      </c>
      <c r="H100" s="26" t="s">
        <v>5415</v>
      </c>
    </row>
    <row r="101" spans="1:8" ht="21">
      <c r="A101" s="16">
        <v>97</v>
      </c>
      <c r="B101" s="17" t="s">
        <v>1951</v>
      </c>
      <c r="C101" s="17" t="s">
        <v>1952</v>
      </c>
      <c r="D101" s="18" t="s">
        <v>1584</v>
      </c>
      <c r="E101" s="19">
        <f>[4]Summary!E100</f>
        <v>0.68</v>
      </c>
      <c r="F101" s="52">
        <f>[4]Summary!F100</f>
        <v>0</v>
      </c>
      <c r="G101" s="20">
        <f t="shared" si="1"/>
        <v>0</v>
      </c>
      <c r="H101" s="20" t="s">
        <v>5415</v>
      </c>
    </row>
    <row r="102" spans="1:8" ht="21">
      <c r="A102" s="21">
        <v>98</v>
      </c>
      <c r="B102" s="22" t="s">
        <v>1953</v>
      </c>
      <c r="C102" s="22" t="s">
        <v>1954</v>
      </c>
      <c r="D102" s="23" t="s">
        <v>1584</v>
      </c>
      <c r="E102" s="24">
        <f>[4]Summary!E101</f>
        <v>1</v>
      </c>
      <c r="F102" s="25">
        <f>[4]Summary!F101</f>
        <v>0</v>
      </c>
      <c r="G102" s="26">
        <f t="shared" si="1"/>
        <v>0</v>
      </c>
      <c r="H102" s="26" t="s">
        <v>5404</v>
      </c>
    </row>
    <row r="103" spans="1:8" ht="21">
      <c r="A103" s="16">
        <v>99</v>
      </c>
      <c r="B103" s="17" t="s">
        <v>1955</v>
      </c>
      <c r="C103" s="17" t="s">
        <v>1956</v>
      </c>
      <c r="D103" s="18" t="s">
        <v>1584</v>
      </c>
      <c r="E103" s="19">
        <f>[4]Summary!E102</f>
        <v>2.25</v>
      </c>
      <c r="F103" s="52">
        <f>[4]Summary!F102</f>
        <v>57</v>
      </c>
      <c r="G103" s="20">
        <f t="shared" si="1"/>
        <v>128.25</v>
      </c>
      <c r="H103" s="20" t="s">
        <v>5404</v>
      </c>
    </row>
    <row r="104" spans="1:8" ht="21">
      <c r="A104" s="21">
        <v>100</v>
      </c>
      <c r="B104" s="22" t="s">
        <v>1957</v>
      </c>
      <c r="C104" s="22" t="s">
        <v>1958</v>
      </c>
      <c r="D104" s="23" t="s">
        <v>1584</v>
      </c>
      <c r="E104" s="24">
        <f>[4]Summary!E103</f>
        <v>1.75</v>
      </c>
      <c r="F104" s="25">
        <f>[4]Summary!F103</f>
        <v>40</v>
      </c>
      <c r="G104" s="26">
        <f t="shared" si="1"/>
        <v>70</v>
      </c>
      <c r="H104" s="26" t="s">
        <v>5404</v>
      </c>
    </row>
    <row r="105" spans="1:8" ht="21">
      <c r="A105" s="16">
        <v>101</v>
      </c>
      <c r="B105" s="17" t="s">
        <v>1959</v>
      </c>
      <c r="C105" s="17" t="s">
        <v>1960</v>
      </c>
      <c r="D105" s="18" t="s">
        <v>1584</v>
      </c>
      <c r="E105" s="19">
        <f>[4]Summary!E104</f>
        <v>3.55</v>
      </c>
      <c r="F105" s="52">
        <f>[4]Summary!F104</f>
        <v>6</v>
      </c>
      <c r="G105" s="20">
        <f t="shared" si="1"/>
        <v>21.299999999999997</v>
      </c>
      <c r="H105" s="20" t="s">
        <v>5404</v>
      </c>
    </row>
    <row r="106" spans="1:8" ht="21">
      <c r="A106" s="21">
        <v>102</v>
      </c>
      <c r="B106" s="22" t="s">
        <v>1961</v>
      </c>
      <c r="C106" s="22" t="s">
        <v>1962</v>
      </c>
      <c r="D106" s="23" t="s">
        <v>1584</v>
      </c>
      <c r="E106" s="24">
        <f>[4]Summary!E105</f>
        <v>4.0670000000000002</v>
      </c>
      <c r="F106" s="25">
        <f>[4]Summary!F105</f>
        <v>0</v>
      </c>
      <c r="G106" s="26">
        <f t="shared" si="1"/>
        <v>0</v>
      </c>
      <c r="H106" s="26" t="s">
        <v>5416</v>
      </c>
    </row>
    <row r="107" spans="1:8" ht="21">
      <c r="A107" s="16">
        <v>103</v>
      </c>
      <c r="B107" s="17" t="s">
        <v>1963</v>
      </c>
      <c r="C107" s="17" t="s">
        <v>1964</v>
      </c>
      <c r="D107" s="18" t="s">
        <v>1584</v>
      </c>
      <c r="E107" s="19">
        <f>[4]Summary!E106</f>
        <v>67.56</v>
      </c>
      <c r="F107" s="52">
        <f>[4]Summary!F106</f>
        <v>1</v>
      </c>
      <c r="G107" s="20">
        <f t="shared" si="1"/>
        <v>67.56</v>
      </c>
      <c r="H107" s="20" t="s">
        <v>5416</v>
      </c>
    </row>
    <row r="108" spans="1:8" ht="21">
      <c r="A108" s="21">
        <v>104</v>
      </c>
      <c r="B108" s="22" t="s">
        <v>1965</v>
      </c>
      <c r="C108" s="22" t="s">
        <v>1966</v>
      </c>
      <c r="D108" s="23" t="s">
        <v>1584</v>
      </c>
      <c r="E108" s="24">
        <f>[4]Summary!E107</f>
        <v>0.95</v>
      </c>
      <c r="F108" s="25">
        <f>[4]Summary!F107</f>
        <v>0</v>
      </c>
      <c r="G108" s="26">
        <f t="shared" si="1"/>
        <v>0</v>
      </c>
      <c r="H108" s="26" t="s">
        <v>5416</v>
      </c>
    </row>
    <row r="109" spans="1:8" ht="21">
      <c r="A109" s="16">
        <v>105</v>
      </c>
      <c r="B109" s="17" t="s">
        <v>1967</v>
      </c>
      <c r="C109" s="17" t="s">
        <v>1968</v>
      </c>
      <c r="D109" s="18" t="s">
        <v>1584</v>
      </c>
      <c r="E109" s="19">
        <f>[4]Summary!E108</f>
        <v>3.5</v>
      </c>
      <c r="F109" s="52">
        <f>[4]Summary!F108</f>
        <v>0</v>
      </c>
      <c r="G109" s="20">
        <f t="shared" si="1"/>
        <v>0</v>
      </c>
      <c r="H109" s="20" t="s">
        <v>5416</v>
      </c>
    </row>
    <row r="110" spans="1:8" ht="21">
      <c r="A110" s="21">
        <v>106</v>
      </c>
      <c r="B110" s="22" t="s">
        <v>1969</v>
      </c>
      <c r="C110" s="22" t="s">
        <v>1970</v>
      </c>
      <c r="D110" s="23" t="s">
        <v>1584</v>
      </c>
      <c r="E110" s="24">
        <f>[4]Summary!E109</f>
        <v>1.2</v>
      </c>
      <c r="F110" s="25">
        <f>[4]Summary!F109</f>
        <v>38</v>
      </c>
      <c r="G110" s="26">
        <f t="shared" si="1"/>
        <v>45.6</v>
      </c>
      <c r="H110" s="26" t="s">
        <v>5411</v>
      </c>
    </row>
    <row r="111" spans="1:8" ht="21">
      <c r="A111" s="16">
        <v>107</v>
      </c>
      <c r="B111" s="17" t="s">
        <v>1971</v>
      </c>
      <c r="C111" s="17" t="s">
        <v>1972</v>
      </c>
      <c r="D111" s="18" t="s">
        <v>1584</v>
      </c>
      <c r="E111" s="19">
        <f>[4]Summary!E110</f>
        <v>2</v>
      </c>
      <c r="F111" s="52">
        <f>[4]Summary!F110</f>
        <v>13</v>
      </c>
      <c r="G111" s="20">
        <f t="shared" si="1"/>
        <v>26</v>
      </c>
      <c r="H111" s="20" t="s">
        <v>5411</v>
      </c>
    </row>
    <row r="112" spans="1:8" ht="21">
      <c r="A112" s="21">
        <v>108</v>
      </c>
      <c r="B112" s="22" t="s">
        <v>1973</v>
      </c>
      <c r="C112" s="22" t="s">
        <v>1974</v>
      </c>
      <c r="D112" s="23" t="s">
        <v>1584</v>
      </c>
      <c r="E112" s="24">
        <f>[4]Summary!E111</f>
        <v>2</v>
      </c>
      <c r="F112" s="25">
        <f>[4]Summary!F111</f>
        <v>5</v>
      </c>
      <c r="G112" s="26">
        <f t="shared" si="1"/>
        <v>10</v>
      </c>
      <c r="H112" s="26" t="s">
        <v>5411</v>
      </c>
    </row>
    <row r="113" spans="1:8" ht="21">
      <c r="A113" s="16">
        <v>109</v>
      </c>
      <c r="B113" s="17" t="s">
        <v>1975</v>
      </c>
      <c r="C113" s="17" t="s">
        <v>1976</v>
      </c>
      <c r="D113" s="18" t="s">
        <v>1584</v>
      </c>
      <c r="E113" s="19">
        <f>[4]Summary!E112</f>
        <v>1.25</v>
      </c>
      <c r="F113" s="52">
        <f>[4]Summary!F112</f>
        <v>0</v>
      </c>
      <c r="G113" s="20">
        <f t="shared" si="1"/>
        <v>0</v>
      </c>
      <c r="H113" s="20" t="s">
        <v>5404</v>
      </c>
    </row>
    <row r="114" spans="1:8" ht="21">
      <c r="A114" s="21">
        <v>110</v>
      </c>
      <c r="B114" s="22" t="s">
        <v>1977</v>
      </c>
      <c r="C114" s="22" t="s">
        <v>1978</v>
      </c>
      <c r="D114" s="23" t="s">
        <v>1584</v>
      </c>
      <c r="E114" s="24">
        <f>[4]Summary!E113</f>
        <v>3.5</v>
      </c>
      <c r="F114" s="25">
        <f>[4]Summary!F113</f>
        <v>0</v>
      </c>
      <c r="G114" s="26">
        <f t="shared" si="1"/>
        <v>0</v>
      </c>
      <c r="H114" s="26" t="s">
        <v>5404</v>
      </c>
    </row>
    <row r="115" spans="1:8" ht="21">
      <c r="A115" s="16">
        <v>111</v>
      </c>
      <c r="B115" s="17" t="s">
        <v>1979</v>
      </c>
      <c r="C115" s="17" t="s">
        <v>1980</v>
      </c>
      <c r="D115" s="18" t="s">
        <v>1584</v>
      </c>
      <c r="E115" s="19">
        <f>[4]Summary!E114</f>
        <v>0.34</v>
      </c>
      <c r="F115" s="52">
        <f>[4]Summary!F114</f>
        <v>32</v>
      </c>
      <c r="G115" s="20">
        <f t="shared" si="1"/>
        <v>10.88</v>
      </c>
      <c r="H115" s="20" t="s">
        <v>5406</v>
      </c>
    </row>
    <row r="116" spans="1:8" ht="21">
      <c r="A116" s="21">
        <v>112</v>
      </c>
      <c r="B116" s="22" t="s">
        <v>1981</v>
      </c>
      <c r="C116" s="22" t="s">
        <v>1982</v>
      </c>
      <c r="D116" s="23" t="s">
        <v>1584</v>
      </c>
      <c r="E116" s="24">
        <f>[4]Summary!E115</f>
        <v>0.55000000000000004</v>
      </c>
      <c r="F116" s="25">
        <f>[4]Summary!F115</f>
        <v>0</v>
      </c>
      <c r="G116" s="26">
        <f t="shared" si="1"/>
        <v>0</v>
      </c>
      <c r="H116" s="26" t="s">
        <v>5405</v>
      </c>
    </row>
    <row r="117" spans="1:8" ht="21">
      <c r="A117" s="16">
        <v>113</v>
      </c>
      <c r="B117" s="17" t="s">
        <v>1983</v>
      </c>
      <c r="C117" s="17" t="s">
        <v>1984</v>
      </c>
      <c r="D117" s="18" t="s">
        <v>1584</v>
      </c>
      <c r="E117" s="19">
        <f>[4]Summary!E116</f>
        <v>1</v>
      </c>
      <c r="F117" s="52">
        <f>[4]Summary!F116</f>
        <v>150</v>
      </c>
      <c r="G117" s="20">
        <f t="shared" si="1"/>
        <v>150</v>
      </c>
      <c r="H117" s="20" t="s">
        <v>5404</v>
      </c>
    </row>
    <row r="118" spans="1:8" ht="21">
      <c r="A118" s="21">
        <v>114</v>
      </c>
      <c r="B118" s="22" t="s">
        <v>1985</v>
      </c>
      <c r="C118" s="22" t="s">
        <v>1986</v>
      </c>
      <c r="D118" s="23" t="s">
        <v>1584</v>
      </c>
      <c r="E118" s="24">
        <f>[4]Summary!E117</f>
        <v>0.3</v>
      </c>
      <c r="F118" s="25">
        <f>[4]Summary!F117</f>
        <v>13</v>
      </c>
      <c r="G118" s="26">
        <f t="shared" si="1"/>
        <v>3.9</v>
      </c>
      <c r="H118" s="26" t="s">
        <v>5408</v>
      </c>
    </row>
    <row r="119" spans="1:8" ht="21">
      <c r="A119" s="16">
        <v>115</v>
      </c>
      <c r="B119" s="17" t="s">
        <v>1987</v>
      </c>
      <c r="C119" s="17" t="s">
        <v>1988</v>
      </c>
      <c r="D119" s="18" t="s">
        <v>1584</v>
      </c>
      <c r="E119" s="19">
        <f>[4]Summary!E118</f>
        <v>4</v>
      </c>
      <c r="F119" s="52">
        <f>[4]Summary!F118</f>
        <v>0</v>
      </c>
      <c r="G119" s="20">
        <f t="shared" si="1"/>
        <v>0</v>
      </c>
      <c r="H119" s="20" t="s">
        <v>5409</v>
      </c>
    </row>
    <row r="120" spans="1:8" ht="21">
      <c r="A120" s="21">
        <v>116</v>
      </c>
      <c r="B120" s="22" t="s">
        <v>1989</v>
      </c>
      <c r="C120" s="22" t="s">
        <v>1990</v>
      </c>
      <c r="D120" s="23" t="s">
        <v>1584</v>
      </c>
      <c r="E120" s="24">
        <f>[4]Summary!E119</f>
        <v>0.15</v>
      </c>
      <c r="F120" s="25">
        <f>[4]Summary!F119</f>
        <v>0</v>
      </c>
      <c r="G120" s="26">
        <f t="shared" si="1"/>
        <v>0</v>
      </c>
      <c r="H120" s="26" t="s">
        <v>5406</v>
      </c>
    </row>
    <row r="121" spans="1:8" ht="42">
      <c r="A121" s="16">
        <v>117</v>
      </c>
      <c r="B121" s="17" t="s">
        <v>1991</v>
      </c>
      <c r="C121" s="17" t="s">
        <v>1992</v>
      </c>
      <c r="D121" s="18" t="s">
        <v>1584</v>
      </c>
      <c r="E121" s="19">
        <f>[4]Summary!E120</f>
        <v>2.14</v>
      </c>
      <c r="F121" s="52">
        <f>[4]Summary!F120</f>
        <v>0</v>
      </c>
      <c r="G121" s="20">
        <f t="shared" si="1"/>
        <v>0</v>
      </c>
      <c r="H121" s="20" t="s">
        <v>5409</v>
      </c>
    </row>
    <row r="122" spans="1:8" ht="21">
      <c r="A122" s="21">
        <v>118</v>
      </c>
      <c r="B122" s="22" t="s">
        <v>1993</v>
      </c>
      <c r="C122" s="22" t="s">
        <v>1994</v>
      </c>
      <c r="D122" s="23" t="s">
        <v>1584</v>
      </c>
      <c r="E122" s="24">
        <f>[4]Summary!E121</f>
        <v>1.75</v>
      </c>
      <c r="F122" s="25">
        <f>[4]Summary!F121</f>
        <v>5</v>
      </c>
      <c r="G122" s="26">
        <f t="shared" si="1"/>
        <v>8.75</v>
      </c>
      <c r="H122" s="26" t="s">
        <v>5410</v>
      </c>
    </row>
    <row r="123" spans="1:8" ht="21">
      <c r="A123" s="16">
        <v>119</v>
      </c>
      <c r="B123" s="17" t="s">
        <v>1995</v>
      </c>
      <c r="C123" s="17" t="s">
        <v>1996</v>
      </c>
      <c r="D123" s="18" t="s">
        <v>1584</v>
      </c>
      <c r="E123" s="19">
        <f>[4]Summary!E122</f>
        <v>1.2</v>
      </c>
      <c r="F123" s="52">
        <f>[4]Summary!F122</f>
        <v>166</v>
      </c>
      <c r="G123" s="20">
        <f t="shared" si="1"/>
        <v>199.2</v>
      </c>
      <c r="H123" s="20" t="s">
        <v>5408</v>
      </c>
    </row>
    <row r="124" spans="1:8" ht="21">
      <c r="A124" s="21">
        <v>120</v>
      </c>
      <c r="B124" s="22" t="s">
        <v>1997</v>
      </c>
      <c r="C124" s="22" t="s">
        <v>1998</v>
      </c>
      <c r="D124" s="23" t="s">
        <v>1584</v>
      </c>
      <c r="E124" s="24">
        <f>[4]Summary!E123</f>
        <v>0.65</v>
      </c>
      <c r="F124" s="25">
        <f>[4]Summary!F123</f>
        <v>13</v>
      </c>
      <c r="G124" s="26">
        <f t="shared" si="1"/>
        <v>8.4500000000000011</v>
      </c>
      <c r="H124" s="26" t="s">
        <v>5409</v>
      </c>
    </row>
    <row r="125" spans="1:8" ht="21">
      <c r="A125" s="16">
        <v>121</v>
      </c>
      <c r="B125" s="17" t="s">
        <v>1999</v>
      </c>
      <c r="C125" s="17" t="s">
        <v>2000</v>
      </c>
      <c r="D125" s="18" t="s">
        <v>1584</v>
      </c>
      <c r="E125" s="19">
        <f>[4]Summary!E124</f>
        <v>0.21</v>
      </c>
      <c r="F125" s="52">
        <f>[4]Summary!F124</f>
        <v>56</v>
      </c>
      <c r="G125" s="20">
        <f t="shared" si="1"/>
        <v>11.76</v>
      </c>
      <c r="H125" s="20" t="s">
        <v>5406</v>
      </c>
    </row>
    <row r="126" spans="1:8" ht="21">
      <c r="A126" s="21">
        <v>122</v>
      </c>
      <c r="B126" s="22" t="s">
        <v>2001</v>
      </c>
      <c r="C126" s="22" t="s">
        <v>2002</v>
      </c>
      <c r="D126" s="23" t="s">
        <v>1584</v>
      </c>
      <c r="E126" s="24">
        <f>[4]Summary!E125</f>
        <v>0.6</v>
      </c>
      <c r="F126" s="25">
        <f>[4]Summary!F125</f>
        <v>6</v>
      </c>
      <c r="G126" s="26">
        <f t="shared" si="1"/>
        <v>3.5999999999999996</v>
      </c>
      <c r="H126" s="26" t="s">
        <v>5405</v>
      </c>
    </row>
    <row r="127" spans="1:8" ht="21">
      <c r="A127" s="16">
        <v>123</v>
      </c>
      <c r="B127" s="17" t="s">
        <v>5721</v>
      </c>
      <c r="C127" s="17" t="s">
        <v>5722</v>
      </c>
      <c r="D127" s="18" t="s">
        <v>1584</v>
      </c>
      <c r="E127" s="19">
        <f>[4]Summary!E126</f>
        <v>0.55000000000000004</v>
      </c>
      <c r="F127" s="52">
        <f>[4]Summary!F126</f>
        <v>144</v>
      </c>
      <c r="G127" s="20">
        <f t="shared" si="1"/>
        <v>79.2</v>
      </c>
      <c r="H127" s="20" t="s">
        <v>5409</v>
      </c>
    </row>
    <row r="128" spans="1:8" ht="21">
      <c r="A128" s="21">
        <v>124</v>
      </c>
      <c r="B128" s="22" t="s">
        <v>2003</v>
      </c>
      <c r="C128" s="22" t="s">
        <v>2004</v>
      </c>
      <c r="D128" s="23" t="s">
        <v>1584</v>
      </c>
      <c r="E128" s="24">
        <f>[4]Summary!E127</f>
        <v>8</v>
      </c>
      <c r="F128" s="25">
        <f>[4]Summary!F127</f>
        <v>0</v>
      </c>
      <c r="G128" s="26">
        <f t="shared" si="1"/>
        <v>0</v>
      </c>
      <c r="H128" s="26" t="s">
        <v>5410</v>
      </c>
    </row>
    <row r="129" spans="1:8" ht="21">
      <c r="A129" s="16">
        <v>125</v>
      </c>
      <c r="B129" s="17" t="s">
        <v>2005</v>
      </c>
      <c r="C129" s="17" t="s">
        <v>2006</v>
      </c>
      <c r="D129" s="18" t="s">
        <v>1584</v>
      </c>
      <c r="E129" s="19">
        <f>[4]Summary!E128</f>
        <v>1.6</v>
      </c>
      <c r="F129" s="52">
        <f>[4]Summary!F128</f>
        <v>26</v>
      </c>
      <c r="G129" s="20">
        <f t="shared" si="1"/>
        <v>41.6</v>
      </c>
      <c r="H129" s="20" t="s">
        <v>5408</v>
      </c>
    </row>
    <row r="130" spans="1:8" ht="21">
      <c r="A130" s="21">
        <v>126</v>
      </c>
      <c r="B130" s="22" t="s">
        <v>2007</v>
      </c>
      <c r="C130" s="22" t="s">
        <v>2008</v>
      </c>
      <c r="D130" s="23" t="s">
        <v>1584</v>
      </c>
      <c r="E130" s="24">
        <f>[4]Summary!E129</f>
        <v>0.52</v>
      </c>
      <c r="F130" s="25">
        <f>[4]Summary!F129</f>
        <v>209</v>
      </c>
      <c r="G130" s="26">
        <f t="shared" si="1"/>
        <v>108.68</v>
      </c>
      <c r="H130" s="26" t="s">
        <v>5406</v>
      </c>
    </row>
    <row r="131" spans="1:8" ht="21">
      <c r="A131" s="16">
        <v>127</v>
      </c>
      <c r="B131" s="17" t="s">
        <v>2009</v>
      </c>
      <c r="C131" s="17" t="s">
        <v>2010</v>
      </c>
      <c r="D131" s="18" t="s">
        <v>1584</v>
      </c>
      <c r="E131" s="19">
        <f>[4]Summary!E130</f>
        <v>2.0499999999999998</v>
      </c>
      <c r="F131" s="52">
        <f>[4]Summary!F130</f>
        <v>4</v>
      </c>
      <c r="G131" s="20">
        <f t="shared" si="1"/>
        <v>8.1999999999999993</v>
      </c>
      <c r="H131" s="20" t="s">
        <v>5408</v>
      </c>
    </row>
    <row r="132" spans="1:8" ht="21">
      <c r="A132" s="21">
        <v>128</v>
      </c>
      <c r="B132" s="22" t="s">
        <v>2011</v>
      </c>
      <c r="C132" s="22" t="s">
        <v>2012</v>
      </c>
      <c r="D132" s="23" t="s">
        <v>1584</v>
      </c>
      <c r="E132" s="24">
        <f>[4]Summary!E131</f>
        <v>2.2000000000000002</v>
      </c>
      <c r="F132" s="25">
        <f>[4]Summary!F131</f>
        <v>5</v>
      </c>
      <c r="G132" s="26">
        <f t="shared" si="1"/>
        <v>11</v>
      </c>
      <c r="H132" s="26" t="s">
        <v>5408</v>
      </c>
    </row>
    <row r="133" spans="1:8" ht="21">
      <c r="A133" s="16">
        <v>129</v>
      </c>
      <c r="B133" s="17" t="s">
        <v>2003</v>
      </c>
      <c r="C133" s="17" t="s">
        <v>2013</v>
      </c>
      <c r="D133" s="18" t="s">
        <v>1584</v>
      </c>
      <c r="E133" s="19">
        <f>[4]Summary!E132</f>
        <v>12</v>
      </c>
      <c r="F133" s="52">
        <f>[4]Summary!F132</f>
        <v>0</v>
      </c>
      <c r="G133" s="20">
        <f t="shared" si="1"/>
        <v>0</v>
      </c>
      <c r="H133" s="20" t="s">
        <v>5410</v>
      </c>
    </row>
    <row r="134" spans="1:8" ht="21">
      <c r="A134" s="21">
        <v>130</v>
      </c>
      <c r="B134" s="22" t="s">
        <v>2014</v>
      </c>
      <c r="C134" s="22" t="s">
        <v>2015</v>
      </c>
      <c r="D134" s="23" t="s">
        <v>1584</v>
      </c>
      <c r="E134" s="24">
        <f>[4]Summary!E133</f>
        <v>0.75</v>
      </c>
      <c r="F134" s="25">
        <f>[4]Summary!F133</f>
        <v>66</v>
      </c>
      <c r="G134" s="26">
        <f t="shared" si="1"/>
        <v>49.5</v>
      </c>
      <c r="H134" s="26" t="s">
        <v>5406</v>
      </c>
    </row>
    <row r="135" spans="1:8" ht="21">
      <c r="A135" s="16">
        <v>131</v>
      </c>
      <c r="B135" s="17" t="s">
        <v>5728</v>
      </c>
      <c r="C135" s="17" t="s">
        <v>5729</v>
      </c>
      <c r="D135" s="16" t="s">
        <v>1584</v>
      </c>
      <c r="E135" s="19">
        <f>[4]Summary!E134</f>
        <v>0.65</v>
      </c>
      <c r="F135" s="52">
        <f>[4]Summary!F134</f>
        <v>11</v>
      </c>
      <c r="G135" s="20">
        <f t="shared" ref="G135:G198" si="2">E135*F135</f>
        <v>7.15</v>
      </c>
      <c r="H135" s="20" t="s">
        <v>5404</v>
      </c>
    </row>
    <row r="136" spans="1:8" ht="21">
      <c r="A136" s="21">
        <v>132</v>
      </c>
      <c r="B136" s="22" t="s">
        <v>2016</v>
      </c>
      <c r="C136" s="22" t="s">
        <v>2017</v>
      </c>
      <c r="D136" s="23" t="s">
        <v>1584</v>
      </c>
      <c r="E136" s="24">
        <f>[4]Summary!E135</f>
        <v>1.25</v>
      </c>
      <c r="F136" s="25">
        <f>[4]Summary!F135</f>
        <v>116</v>
      </c>
      <c r="G136" s="26">
        <f t="shared" si="2"/>
        <v>145</v>
      </c>
      <c r="H136" s="26" t="s">
        <v>5404</v>
      </c>
    </row>
    <row r="137" spans="1:8" ht="21">
      <c r="A137" s="16">
        <v>133</v>
      </c>
      <c r="B137" s="17" t="s">
        <v>2018</v>
      </c>
      <c r="C137" s="17" t="s">
        <v>2019</v>
      </c>
      <c r="D137" s="18" t="s">
        <v>1584</v>
      </c>
      <c r="E137" s="19">
        <f>[4]Summary!E136</f>
        <v>0.5</v>
      </c>
      <c r="F137" s="52">
        <f>[4]Summary!F136</f>
        <v>108</v>
      </c>
      <c r="G137" s="20">
        <f t="shared" si="2"/>
        <v>54</v>
      </c>
      <c r="H137" s="20" t="s">
        <v>5408</v>
      </c>
    </row>
    <row r="138" spans="1:8" ht="21">
      <c r="A138" s="21">
        <v>134</v>
      </c>
      <c r="B138" s="22" t="s">
        <v>2020</v>
      </c>
      <c r="C138" s="22" t="s">
        <v>2021</v>
      </c>
      <c r="D138" s="23" t="s">
        <v>1584</v>
      </c>
      <c r="E138" s="24">
        <f>[4]Summary!E137</f>
        <v>1.75</v>
      </c>
      <c r="F138" s="25">
        <f>[4]Summary!F137</f>
        <v>0</v>
      </c>
      <c r="G138" s="26">
        <f t="shared" si="2"/>
        <v>0</v>
      </c>
      <c r="H138" s="26" t="s">
        <v>5409</v>
      </c>
    </row>
    <row r="139" spans="1:8" ht="21">
      <c r="A139" s="16">
        <v>135</v>
      </c>
      <c r="B139" s="17" t="s">
        <v>2022</v>
      </c>
      <c r="C139" s="17" t="s">
        <v>2023</v>
      </c>
      <c r="D139" s="18" t="s">
        <v>1584</v>
      </c>
      <c r="E139" s="19">
        <f>[4]Summary!E138</f>
        <v>0.14000000000000001</v>
      </c>
      <c r="F139" s="52">
        <f>[4]Summary!F138</f>
        <v>1388</v>
      </c>
      <c r="G139" s="20">
        <f t="shared" si="2"/>
        <v>194.32000000000002</v>
      </c>
      <c r="H139" s="20" t="s">
        <v>5406</v>
      </c>
    </row>
    <row r="140" spans="1:8" ht="21">
      <c r="A140" s="21">
        <v>136</v>
      </c>
      <c r="B140" s="22" t="s">
        <v>2024</v>
      </c>
      <c r="C140" s="22" t="s">
        <v>2025</v>
      </c>
      <c r="D140" s="23" t="s">
        <v>1584</v>
      </c>
      <c r="E140" s="24">
        <f>[4]Summary!E139</f>
        <v>0.12</v>
      </c>
      <c r="F140" s="25">
        <f>[4]Summary!F139</f>
        <v>7</v>
      </c>
      <c r="G140" s="26">
        <f t="shared" si="2"/>
        <v>0.84</v>
      </c>
      <c r="H140" s="26" t="s">
        <v>5405</v>
      </c>
    </row>
    <row r="141" spans="1:8" ht="21">
      <c r="A141" s="16">
        <v>137</v>
      </c>
      <c r="B141" s="17" t="s">
        <v>2026</v>
      </c>
      <c r="C141" s="17" t="s">
        <v>2027</v>
      </c>
      <c r="D141" s="18" t="s">
        <v>1584</v>
      </c>
      <c r="E141" s="19">
        <f>[4]Summary!E140</f>
        <v>0.7</v>
      </c>
      <c r="F141" s="52">
        <f>[4]Summary!F140</f>
        <v>10</v>
      </c>
      <c r="G141" s="20">
        <f t="shared" si="2"/>
        <v>7</v>
      </c>
      <c r="H141" s="20" t="s">
        <v>5405</v>
      </c>
    </row>
    <row r="142" spans="1:8" ht="21">
      <c r="A142" s="21">
        <v>138</v>
      </c>
      <c r="B142" s="22" t="s">
        <v>2028</v>
      </c>
      <c r="C142" s="22" t="s">
        <v>2029</v>
      </c>
      <c r="D142" s="23" t="s">
        <v>1584</v>
      </c>
      <c r="E142" s="24">
        <f>[4]Summary!E141</f>
        <v>0.5</v>
      </c>
      <c r="F142" s="25">
        <f>[4]Summary!F141</f>
        <v>6</v>
      </c>
      <c r="G142" s="26">
        <f t="shared" si="2"/>
        <v>3</v>
      </c>
      <c r="H142" s="26" t="s">
        <v>5405</v>
      </c>
    </row>
    <row r="143" spans="1:8" ht="21">
      <c r="A143" s="16">
        <v>139</v>
      </c>
      <c r="B143" s="17" t="s">
        <v>2030</v>
      </c>
      <c r="C143" s="17" t="s">
        <v>2031</v>
      </c>
      <c r="D143" s="18" t="s">
        <v>1584</v>
      </c>
      <c r="E143" s="19">
        <f>[4]Summary!E142</f>
        <v>0.55000000000000004</v>
      </c>
      <c r="F143" s="52">
        <f>[4]Summary!F142</f>
        <v>4</v>
      </c>
      <c r="G143" s="20">
        <f t="shared" si="2"/>
        <v>2.2000000000000002</v>
      </c>
      <c r="H143" s="20" t="s">
        <v>5405</v>
      </c>
    </row>
    <row r="144" spans="1:8" ht="21">
      <c r="A144" s="21">
        <v>140</v>
      </c>
      <c r="B144" s="22" t="s">
        <v>2032</v>
      </c>
      <c r="C144" s="22" t="s">
        <v>2033</v>
      </c>
      <c r="D144" s="23" t="s">
        <v>1584</v>
      </c>
      <c r="E144" s="24">
        <f>[4]Summary!E143</f>
        <v>0.6</v>
      </c>
      <c r="F144" s="25">
        <f>[4]Summary!F143</f>
        <v>3</v>
      </c>
      <c r="G144" s="26">
        <f t="shared" si="2"/>
        <v>1.7999999999999998</v>
      </c>
      <c r="H144" s="26" t="s">
        <v>5405</v>
      </c>
    </row>
    <row r="145" spans="1:8" ht="21">
      <c r="A145" s="16">
        <v>141</v>
      </c>
      <c r="B145" s="17" t="s">
        <v>2034</v>
      </c>
      <c r="C145" s="17" t="s">
        <v>2035</v>
      </c>
      <c r="D145" s="18" t="s">
        <v>1584</v>
      </c>
      <c r="E145" s="19">
        <f>[4]Summary!E144</f>
        <v>0.9</v>
      </c>
      <c r="F145" s="52">
        <f>[4]Summary!F144</f>
        <v>2</v>
      </c>
      <c r="G145" s="20">
        <f t="shared" si="2"/>
        <v>1.8</v>
      </c>
      <c r="H145" s="20" t="s">
        <v>5405</v>
      </c>
    </row>
    <row r="146" spans="1:8" ht="21">
      <c r="A146" s="21">
        <v>142</v>
      </c>
      <c r="B146" s="22" t="s">
        <v>2036</v>
      </c>
      <c r="C146" s="22" t="s">
        <v>2037</v>
      </c>
      <c r="D146" s="23" t="s">
        <v>1584</v>
      </c>
      <c r="E146" s="24">
        <f>[4]Summary!E145</f>
        <v>5.5</v>
      </c>
      <c r="F146" s="25">
        <f>[4]Summary!F145</f>
        <v>14</v>
      </c>
      <c r="G146" s="26">
        <f t="shared" si="2"/>
        <v>77</v>
      </c>
      <c r="H146" s="26" t="s">
        <v>5408</v>
      </c>
    </row>
    <row r="147" spans="1:8" ht="21">
      <c r="A147" s="16">
        <v>143</v>
      </c>
      <c r="B147" s="17" t="s">
        <v>2003</v>
      </c>
      <c r="C147" s="17" t="s">
        <v>2038</v>
      </c>
      <c r="D147" s="18" t="s">
        <v>1584</v>
      </c>
      <c r="E147" s="19">
        <f>[4]Summary!E146</f>
        <v>15</v>
      </c>
      <c r="F147" s="52">
        <f>[4]Summary!F146</f>
        <v>0</v>
      </c>
      <c r="G147" s="20">
        <f t="shared" si="2"/>
        <v>0</v>
      </c>
      <c r="H147" s="20" t="s">
        <v>5410</v>
      </c>
    </row>
    <row r="148" spans="1:8" ht="21">
      <c r="A148" s="21">
        <v>144</v>
      </c>
      <c r="B148" s="22" t="s">
        <v>2039</v>
      </c>
      <c r="C148" s="22" t="s">
        <v>2040</v>
      </c>
      <c r="D148" s="23" t="s">
        <v>1584</v>
      </c>
      <c r="E148" s="24">
        <f>[4]Summary!E147</f>
        <v>7.5</v>
      </c>
      <c r="F148" s="25">
        <f>[4]Summary!F147</f>
        <v>21</v>
      </c>
      <c r="G148" s="26">
        <f t="shared" si="2"/>
        <v>157.5</v>
      </c>
      <c r="H148" s="26" t="s">
        <v>5408</v>
      </c>
    </row>
    <row r="149" spans="1:8" ht="21">
      <c r="A149" s="16">
        <v>145</v>
      </c>
      <c r="B149" s="17" t="s">
        <v>2003</v>
      </c>
      <c r="C149" s="17" t="s">
        <v>2041</v>
      </c>
      <c r="D149" s="18" t="s">
        <v>1584</v>
      </c>
      <c r="E149" s="19">
        <f>[4]Summary!E148</f>
        <v>0</v>
      </c>
      <c r="F149" s="52">
        <f>[4]Summary!F148</f>
        <v>12</v>
      </c>
      <c r="G149" s="20">
        <f t="shared" si="2"/>
        <v>0</v>
      </c>
      <c r="H149" s="20" t="s">
        <v>5410</v>
      </c>
    </row>
    <row r="150" spans="1:8" ht="21">
      <c r="A150" s="21">
        <v>146</v>
      </c>
      <c r="B150" s="22" t="s">
        <v>2042</v>
      </c>
      <c r="C150" s="22" t="s">
        <v>2043</v>
      </c>
      <c r="D150" s="23" t="s">
        <v>1584</v>
      </c>
      <c r="E150" s="24">
        <f>[4]Summary!E149</f>
        <v>2.25</v>
      </c>
      <c r="F150" s="25">
        <f>[4]Summary!F149</f>
        <v>57</v>
      </c>
      <c r="G150" s="26">
        <f t="shared" si="2"/>
        <v>128.25</v>
      </c>
      <c r="H150" s="26" t="s">
        <v>5404</v>
      </c>
    </row>
    <row r="151" spans="1:8" ht="21">
      <c r="A151" s="16">
        <v>147</v>
      </c>
      <c r="B151" s="17" t="s">
        <v>2044</v>
      </c>
      <c r="C151" s="17" t="s">
        <v>2045</v>
      </c>
      <c r="D151" s="18" t="s">
        <v>1584</v>
      </c>
      <c r="E151" s="19">
        <f>[4]Summary!E150</f>
        <v>8</v>
      </c>
      <c r="F151" s="52">
        <f>[4]Summary!F150</f>
        <v>2</v>
      </c>
      <c r="G151" s="20">
        <f t="shared" si="2"/>
        <v>16</v>
      </c>
      <c r="H151" s="20" t="s">
        <v>5405</v>
      </c>
    </row>
    <row r="152" spans="1:8" ht="42">
      <c r="A152" s="21">
        <v>148</v>
      </c>
      <c r="B152" s="22" t="s">
        <v>5752</v>
      </c>
      <c r="C152" s="22" t="s">
        <v>2046</v>
      </c>
      <c r="D152" s="23" t="s">
        <v>1584</v>
      </c>
      <c r="E152" s="24">
        <f>[4]Summary!E151</f>
        <v>4</v>
      </c>
      <c r="F152" s="25">
        <f>[4]Summary!F151</f>
        <v>0</v>
      </c>
      <c r="G152" s="26">
        <f t="shared" si="2"/>
        <v>0</v>
      </c>
      <c r="H152" s="26" t="s">
        <v>5404</v>
      </c>
    </row>
    <row r="153" spans="1:8" ht="42">
      <c r="A153" s="16">
        <v>149</v>
      </c>
      <c r="B153" s="17" t="s">
        <v>5753</v>
      </c>
      <c r="C153" s="17" t="s">
        <v>5754</v>
      </c>
      <c r="D153" s="18" t="s">
        <v>1584</v>
      </c>
      <c r="E153" s="19">
        <f>[4]Summary!E152</f>
        <v>0</v>
      </c>
      <c r="F153" s="52">
        <f>[4]Summary!F152</f>
        <v>0</v>
      </c>
      <c r="G153" s="20">
        <f t="shared" si="2"/>
        <v>0</v>
      </c>
      <c r="H153" s="20" t="s">
        <v>5404</v>
      </c>
    </row>
    <row r="154" spans="1:8" ht="42">
      <c r="A154" s="21">
        <v>150</v>
      </c>
      <c r="B154" s="22" t="s">
        <v>2047</v>
      </c>
      <c r="C154" s="22" t="s">
        <v>2048</v>
      </c>
      <c r="D154" s="23" t="s">
        <v>1584</v>
      </c>
      <c r="E154" s="24">
        <f>[4]Summary!E153</f>
        <v>2.5</v>
      </c>
      <c r="F154" s="25">
        <f>[4]Summary!F153</f>
        <v>137</v>
      </c>
      <c r="G154" s="26">
        <f t="shared" si="2"/>
        <v>342.5</v>
      </c>
      <c r="H154" s="26" t="s">
        <v>5404</v>
      </c>
    </row>
    <row r="155" spans="1:8" ht="21">
      <c r="A155" s="16">
        <v>151</v>
      </c>
      <c r="B155" s="17" t="s">
        <v>2049</v>
      </c>
      <c r="C155" s="17" t="s">
        <v>2050</v>
      </c>
      <c r="D155" s="18" t="s">
        <v>1584</v>
      </c>
      <c r="E155" s="19">
        <f>[4]Summary!E154</f>
        <v>4.7</v>
      </c>
      <c r="F155" s="52">
        <f>[4]Summary!F154</f>
        <v>16</v>
      </c>
      <c r="G155" s="20">
        <f t="shared" si="2"/>
        <v>75.2</v>
      </c>
      <c r="H155" s="20" t="s">
        <v>5404</v>
      </c>
    </row>
    <row r="156" spans="1:8" ht="21">
      <c r="A156" s="21">
        <v>152</v>
      </c>
      <c r="B156" s="22" t="s">
        <v>2051</v>
      </c>
      <c r="C156" s="22" t="s">
        <v>2052</v>
      </c>
      <c r="D156" s="23" t="s">
        <v>1584</v>
      </c>
      <c r="E156" s="24">
        <f>[4]Summary!E155</f>
        <v>0</v>
      </c>
      <c r="F156" s="25">
        <f>[4]Summary!F155</f>
        <v>8</v>
      </c>
      <c r="G156" s="26">
        <f t="shared" si="2"/>
        <v>0</v>
      </c>
      <c r="H156" s="26" t="s">
        <v>5410</v>
      </c>
    </row>
    <row r="157" spans="1:8" ht="21">
      <c r="A157" s="16">
        <v>153</v>
      </c>
      <c r="B157" s="17" t="s">
        <v>2053</v>
      </c>
      <c r="C157" s="17" t="s">
        <v>2054</v>
      </c>
      <c r="D157" s="18" t="s">
        <v>1584</v>
      </c>
      <c r="E157" s="19">
        <f>[4]Summary!E156</f>
        <v>0</v>
      </c>
      <c r="F157" s="52">
        <f>[4]Summary!F156</f>
        <v>20</v>
      </c>
      <c r="G157" s="20">
        <f t="shared" si="2"/>
        <v>0</v>
      </c>
      <c r="H157" s="20" t="s">
        <v>5410</v>
      </c>
    </row>
    <row r="158" spans="1:8" ht="21">
      <c r="A158" s="21">
        <v>154</v>
      </c>
      <c r="B158" s="22" t="s">
        <v>2055</v>
      </c>
      <c r="C158" s="22" t="s">
        <v>2056</v>
      </c>
      <c r="D158" s="23" t="s">
        <v>1584</v>
      </c>
      <c r="E158" s="24">
        <f>[4]Summary!E157</f>
        <v>0</v>
      </c>
      <c r="F158" s="25">
        <f>[4]Summary!F157</f>
        <v>1</v>
      </c>
      <c r="G158" s="26">
        <f t="shared" si="2"/>
        <v>0</v>
      </c>
      <c r="H158" s="26" t="s">
        <v>5410</v>
      </c>
    </row>
    <row r="159" spans="1:8" ht="21">
      <c r="A159" s="16">
        <v>155</v>
      </c>
      <c r="B159" s="17" t="s">
        <v>2057</v>
      </c>
      <c r="C159" s="17" t="s">
        <v>5755</v>
      </c>
      <c r="D159" s="18" t="s">
        <v>1584</v>
      </c>
      <c r="E159" s="19">
        <f>[4]Summary!E158</f>
        <v>3.52</v>
      </c>
      <c r="F159" s="52">
        <f>[4]Summary!F158</f>
        <v>0</v>
      </c>
      <c r="G159" s="20">
        <f t="shared" si="2"/>
        <v>0</v>
      </c>
      <c r="H159" s="20" t="s">
        <v>5408</v>
      </c>
    </row>
    <row r="160" spans="1:8" ht="21">
      <c r="A160" s="21">
        <v>156</v>
      </c>
      <c r="B160" s="22" t="s">
        <v>2058</v>
      </c>
      <c r="C160" s="22" t="s">
        <v>5756</v>
      </c>
      <c r="D160" s="23" t="s">
        <v>1584</v>
      </c>
      <c r="E160" s="24">
        <f>[4]Summary!E159</f>
        <v>8</v>
      </c>
      <c r="F160" s="25">
        <f>[4]Summary!F159</f>
        <v>0</v>
      </c>
      <c r="G160" s="26">
        <f t="shared" si="2"/>
        <v>0</v>
      </c>
      <c r="H160" s="26" t="s">
        <v>5408</v>
      </c>
    </row>
    <row r="161" spans="1:8" ht="21">
      <c r="A161" s="16">
        <v>157</v>
      </c>
      <c r="B161" s="17" t="s">
        <v>2059</v>
      </c>
      <c r="C161" s="17" t="s">
        <v>2060</v>
      </c>
      <c r="D161" s="18" t="s">
        <v>1584</v>
      </c>
      <c r="E161" s="19">
        <f>[4]Summary!E160</f>
        <v>20</v>
      </c>
      <c r="F161" s="52">
        <f>[4]Summary!F160</f>
        <v>21</v>
      </c>
      <c r="G161" s="20">
        <f t="shared" si="2"/>
        <v>420</v>
      </c>
      <c r="H161" s="20" t="s">
        <v>5414</v>
      </c>
    </row>
    <row r="162" spans="1:8" ht="42">
      <c r="A162" s="21">
        <v>158</v>
      </c>
      <c r="B162" s="22" t="s">
        <v>2061</v>
      </c>
      <c r="C162" s="22" t="s">
        <v>2062</v>
      </c>
      <c r="D162" s="23" t="s">
        <v>1584</v>
      </c>
      <c r="E162" s="24">
        <f>[4]Summary!E161</f>
        <v>48.19</v>
      </c>
      <c r="F162" s="25">
        <f>[4]Summary!F161</f>
        <v>0</v>
      </c>
      <c r="G162" s="26">
        <f t="shared" si="2"/>
        <v>0</v>
      </c>
      <c r="H162" s="26" t="s">
        <v>5414</v>
      </c>
    </row>
    <row r="163" spans="1:8" ht="21">
      <c r="A163" s="16">
        <v>159</v>
      </c>
      <c r="B163" s="17" t="s">
        <v>2063</v>
      </c>
      <c r="C163" s="17" t="s">
        <v>2064</v>
      </c>
      <c r="D163" s="18" t="s">
        <v>1584</v>
      </c>
      <c r="E163" s="19">
        <f>[4]Summary!E162</f>
        <v>6</v>
      </c>
      <c r="F163" s="52">
        <f>[4]Summary!F162</f>
        <v>6</v>
      </c>
      <c r="G163" s="20">
        <f t="shared" si="2"/>
        <v>36</v>
      </c>
      <c r="H163" s="20" t="s">
        <v>5418</v>
      </c>
    </row>
    <row r="164" spans="1:8" ht="21">
      <c r="A164" s="21">
        <v>160</v>
      </c>
      <c r="B164" s="22" t="s">
        <v>2065</v>
      </c>
      <c r="C164" s="22" t="s">
        <v>2066</v>
      </c>
      <c r="D164" s="23" t="s">
        <v>1584</v>
      </c>
      <c r="E164" s="24">
        <f>[4]Summary!E163</f>
        <v>5</v>
      </c>
      <c r="F164" s="25">
        <f>[4]Summary!F163</f>
        <v>2</v>
      </c>
      <c r="G164" s="26">
        <f t="shared" si="2"/>
        <v>10</v>
      </c>
      <c r="H164" s="26" t="s">
        <v>5418</v>
      </c>
    </row>
    <row r="165" spans="1:8" ht="21">
      <c r="A165" s="16">
        <v>161</v>
      </c>
      <c r="B165" s="17" t="s">
        <v>2067</v>
      </c>
      <c r="C165" s="17" t="s">
        <v>2068</v>
      </c>
      <c r="D165" s="18" t="s">
        <v>1584</v>
      </c>
      <c r="E165" s="19">
        <f>[4]Summary!E164</f>
        <v>2</v>
      </c>
      <c r="F165" s="52">
        <f>[4]Summary!F164</f>
        <v>1</v>
      </c>
      <c r="G165" s="20">
        <f t="shared" si="2"/>
        <v>2</v>
      </c>
      <c r="H165" s="20" t="s">
        <v>5417</v>
      </c>
    </row>
    <row r="166" spans="1:8" ht="21">
      <c r="A166" s="21">
        <v>162</v>
      </c>
      <c r="B166" s="22" t="s">
        <v>2069</v>
      </c>
      <c r="C166" s="22" t="s">
        <v>2070</v>
      </c>
      <c r="D166" s="23" t="s">
        <v>1584</v>
      </c>
      <c r="E166" s="24">
        <f>[4]Summary!E165</f>
        <v>2.2000000000000002</v>
      </c>
      <c r="F166" s="25">
        <f>[4]Summary!F165</f>
        <v>2</v>
      </c>
      <c r="G166" s="26">
        <f t="shared" si="2"/>
        <v>4.4000000000000004</v>
      </c>
      <c r="H166" s="26" t="s">
        <v>5417</v>
      </c>
    </row>
    <row r="167" spans="1:8" ht="21">
      <c r="A167" s="16">
        <v>163</v>
      </c>
      <c r="B167" s="17" t="s">
        <v>2071</v>
      </c>
      <c r="C167" s="17" t="s">
        <v>2072</v>
      </c>
      <c r="D167" s="18" t="s">
        <v>1584</v>
      </c>
      <c r="E167" s="19">
        <f>[4]Summary!E166</f>
        <v>3</v>
      </c>
      <c r="F167" s="52">
        <f>[4]Summary!F166</f>
        <v>25</v>
      </c>
      <c r="G167" s="20">
        <f t="shared" si="2"/>
        <v>75</v>
      </c>
      <c r="H167" s="20" t="s">
        <v>5417</v>
      </c>
    </row>
    <row r="168" spans="1:8" ht="21">
      <c r="A168" s="21">
        <v>164</v>
      </c>
      <c r="B168" s="22" t="s">
        <v>2073</v>
      </c>
      <c r="C168" s="22" t="s">
        <v>2074</v>
      </c>
      <c r="D168" s="23" t="s">
        <v>1584</v>
      </c>
      <c r="E168" s="24">
        <f>[4]Summary!E167</f>
        <v>3.2</v>
      </c>
      <c r="F168" s="25">
        <f>[4]Summary!F167</f>
        <v>8</v>
      </c>
      <c r="G168" s="26">
        <f t="shared" si="2"/>
        <v>25.6</v>
      </c>
      <c r="H168" s="26" t="s">
        <v>5417</v>
      </c>
    </row>
    <row r="169" spans="1:8" ht="21">
      <c r="A169" s="16">
        <v>165</v>
      </c>
      <c r="B169" s="17" t="s">
        <v>2075</v>
      </c>
      <c r="C169" s="17" t="s">
        <v>2076</v>
      </c>
      <c r="D169" s="18" t="s">
        <v>1584</v>
      </c>
      <c r="E169" s="19">
        <f>[4]Summary!E168</f>
        <v>1.2</v>
      </c>
      <c r="F169" s="52">
        <f>[4]Summary!F168</f>
        <v>4</v>
      </c>
      <c r="G169" s="20">
        <f t="shared" si="2"/>
        <v>4.8</v>
      </c>
      <c r="H169" s="20" t="s">
        <v>5417</v>
      </c>
    </row>
    <row r="170" spans="1:8" ht="21">
      <c r="A170" s="21">
        <v>166</v>
      </c>
      <c r="B170" s="22" t="s">
        <v>2077</v>
      </c>
      <c r="C170" s="22" t="s">
        <v>2078</v>
      </c>
      <c r="D170" s="23" t="s">
        <v>1584</v>
      </c>
      <c r="E170" s="24">
        <f>[4]Summary!E169</f>
        <v>1</v>
      </c>
      <c r="F170" s="25">
        <f>[4]Summary!F169</f>
        <v>6</v>
      </c>
      <c r="G170" s="26">
        <f t="shared" si="2"/>
        <v>6</v>
      </c>
      <c r="H170" s="26" t="s">
        <v>5417</v>
      </c>
    </row>
    <row r="171" spans="1:8" ht="21">
      <c r="A171" s="16">
        <v>167</v>
      </c>
      <c r="B171" s="17" t="s">
        <v>2079</v>
      </c>
      <c r="C171" s="17" t="s">
        <v>2080</v>
      </c>
      <c r="D171" s="18" t="s">
        <v>1584</v>
      </c>
      <c r="E171" s="19">
        <f>[4]Summary!E170</f>
        <v>0.7</v>
      </c>
      <c r="F171" s="52">
        <f>[4]Summary!F170</f>
        <v>6</v>
      </c>
      <c r="G171" s="20">
        <f t="shared" si="2"/>
        <v>4.1999999999999993</v>
      </c>
      <c r="H171" s="20" t="s">
        <v>5417</v>
      </c>
    </row>
    <row r="172" spans="1:8" ht="21">
      <c r="A172" s="21">
        <v>168</v>
      </c>
      <c r="B172" s="22" t="s">
        <v>2081</v>
      </c>
      <c r="C172" s="22" t="s">
        <v>2082</v>
      </c>
      <c r="D172" s="23" t="s">
        <v>1584</v>
      </c>
      <c r="E172" s="24">
        <f>[4]Summary!E171</f>
        <v>0.8</v>
      </c>
      <c r="F172" s="25">
        <f>[4]Summary!F171</f>
        <v>30</v>
      </c>
      <c r="G172" s="26">
        <f t="shared" si="2"/>
        <v>24</v>
      </c>
      <c r="H172" s="26" t="s">
        <v>5417</v>
      </c>
    </row>
    <row r="173" spans="1:8" ht="21">
      <c r="A173" s="16">
        <v>169</v>
      </c>
      <c r="B173" s="17" t="s">
        <v>2083</v>
      </c>
      <c r="C173" s="17" t="s">
        <v>2084</v>
      </c>
      <c r="D173" s="18" t="s">
        <v>1584</v>
      </c>
      <c r="E173" s="19">
        <f>[4]Summary!E172</f>
        <v>0.9</v>
      </c>
      <c r="F173" s="52">
        <f>[4]Summary!F172</f>
        <v>0</v>
      </c>
      <c r="G173" s="20">
        <f t="shared" si="2"/>
        <v>0</v>
      </c>
      <c r="H173" s="20" t="s">
        <v>5417</v>
      </c>
    </row>
    <row r="174" spans="1:8" ht="21">
      <c r="A174" s="21">
        <v>170</v>
      </c>
      <c r="B174" s="22" t="s">
        <v>2085</v>
      </c>
      <c r="C174" s="22" t="s">
        <v>2086</v>
      </c>
      <c r="D174" s="23" t="s">
        <v>1584</v>
      </c>
      <c r="E174" s="24">
        <f>[4]Summary!E173</f>
        <v>0.9</v>
      </c>
      <c r="F174" s="25">
        <f>[4]Summary!F173</f>
        <v>2</v>
      </c>
      <c r="G174" s="26">
        <f t="shared" si="2"/>
        <v>1.8</v>
      </c>
      <c r="H174" s="26" t="s">
        <v>5417</v>
      </c>
    </row>
    <row r="175" spans="1:8" ht="21">
      <c r="A175" s="16">
        <v>171</v>
      </c>
      <c r="B175" s="17" t="s">
        <v>2087</v>
      </c>
      <c r="C175" s="17" t="s">
        <v>2088</v>
      </c>
      <c r="D175" s="18" t="s">
        <v>1584</v>
      </c>
      <c r="E175" s="19">
        <f>[4]Summary!E174</f>
        <v>0.9</v>
      </c>
      <c r="F175" s="52">
        <f>[4]Summary!F174</f>
        <v>5</v>
      </c>
      <c r="G175" s="20">
        <f t="shared" si="2"/>
        <v>4.5</v>
      </c>
      <c r="H175" s="20" t="s">
        <v>5417</v>
      </c>
    </row>
    <row r="176" spans="1:8" ht="21">
      <c r="A176" s="21">
        <v>172</v>
      </c>
      <c r="B176" s="22" t="s">
        <v>2089</v>
      </c>
      <c r="C176" s="22" t="s">
        <v>2090</v>
      </c>
      <c r="D176" s="23" t="s">
        <v>1584</v>
      </c>
      <c r="E176" s="24">
        <f>[4]Summary!E175</f>
        <v>0.5</v>
      </c>
      <c r="F176" s="25">
        <f>[4]Summary!F175</f>
        <v>29</v>
      </c>
      <c r="G176" s="26">
        <f t="shared" si="2"/>
        <v>14.5</v>
      </c>
      <c r="H176" s="26" t="s">
        <v>5417</v>
      </c>
    </row>
    <row r="177" spans="1:8" ht="21">
      <c r="A177" s="16">
        <v>173</v>
      </c>
      <c r="B177" s="17" t="s">
        <v>2091</v>
      </c>
      <c r="C177" s="17" t="s">
        <v>2092</v>
      </c>
      <c r="D177" s="18" t="s">
        <v>1584</v>
      </c>
      <c r="E177" s="19">
        <f>[4]Summary!E176</f>
        <v>0.7</v>
      </c>
      <c r="F177" s="52">
        <f>[4]Summary!F176</f>
        <v>4</v>
      </c>
      <c r="G177" s="20">
        <f t="shared" si="2"/>
        <v>2.8</v>
      </c>
      <c r="H177" s="20" t="s">
        <v>5417</v>
      </c>
    </row>
    <row r="178" spans="1:8" ht="21">
      <c r="A178" s="21">
        <v>174</v>
      </c>
      <c r="B178" s="22" t="s">
        <v>2093</v>
      </c>
      <c r="C178" s="22" t="s">
        <v>2094</v>
      </c>
      <c r="D178" s="23" t="s">
        <v>1584</v>
      </c>
      <c r="E178" s="24">
        <f>[4]Summary!E177</f>
        <v>0.6</v>
      </c>
      <c r="F178" s="25">
        <f>[4]Summary!F177</f>
        <v>36</v>
      </c>
      <c r="G178" s="26">
        <f t="shared" si="2"/>
        <v>21.599999999999998</v>
      </c>
      <c r="H178" s="26" t="s">
        <v>5417</v>
      </c>
    </row>
    <row r="179" spans="1:8" ht="42">
      <c r="A179" s="16">
        <v>175</v>
      </c>
      <c r="B179" s="17" t="s">
        <v>2095</v>
      </c>
      <c r="C179" s="17" t="s">
        <v>2096</v>
      </c>
      <c r="D179" s="18" t="s">
        <v>1584</v>
      </c>
      <c r="E179" s="19">
        <f>[4]Summary!E178</f>
        <v>0.9</v>
      </c>
      <c r="F179" s="52">
        <f>[4]Summary!F178</f>
        <v>6</v>
      </c>
      <c r="G179" s="20">
        <f t="shared" si="2"/>
        <v>5.4</v>
      </c>
      <c r="H179" s="20" t="s">
        <v>5417</v>
      </c>
    </row>
    <row r="180" spans="1:8" ht="21">
      <c r="A180" s="21">
        <v>176</v>
      </c>
      <c r="B180" s="22" t="s">
        <v>2097</v>
      </c>
      <c r="C180" s="22" t="s">
        <v>2098</v>
      </c>
      <c r="D180" s="23" t="s">
        <v>1584</v>
      </c>
      <c r="E180" s="24">
        <f>[4]Summary!E179</f>
        <v>0</v>
      </c>
      <c r="F180" s="25">
        <f>[4]Summary!F179</f>
        <v>0</v>
      </c>
      <c r="G180" s="26">
        <f t="shared" si="2"/>
        <v>0</v>
      </c>
      <c r="H180" s="26" t="s">
        <v>5417</v>
      </c>
    </row>
    <row r="181" spans="1:8" ht="21">
      <c r="A181" s="16">
        <v>177</v>
      </c>
      <c r="B181" s="17" t="s">
        <v>2099</v>
      </c>
      <c r="C181" s="17" t="s">
        <v>2100</v>
      </c>
      <c r="D181" s="18" t="s">
        <v>1584</v>
      </c>
      <c r="E181" s="19">
        <f>[4]Summary!E180</f>
        <v>3</v>
      </c>
      <c r="F181" s="52">
        <f>[4]Summary!F180</f>
        <v>212</v>
      </c>
      <c r="G181" s="20">
        <f t="shared" si="2"/>
        <v>636</v>
      </c>
      <c r="H181" s="20" t="s">
        <v>5404</v>
      </c>
    </row>
    <row r="182" spans="1:8" ht="21">
      <c r="A182" s="21">
        <v>178</v>
      </c>
      <c r="B182" s="22" t="s">
        <v>2101</v>
      </c>
      <c r="C182" s="22" t="s">
        <v>2102</v>
      </c>
      <c r="D182" s="23" t="s">
        <v>1584</v>
      </c>
      <c r="E182" s="24">
        <f>[4]Summary!E181</f>
        <v>5.8</v>
      </c>
      <c r="F182" s="25">
        <f>[4]Summary!F181</f>
        <v>1</v>
      </c>
      <c r="G182" s="26">
        <f t="shared" si="2"/>
        <v>5.8</v>
      </c>
      <c r="H182" s="26" t="s">
        <v>5404</v>
      </c>
    </row>
    <row r="183" spans="1:8" ht="21">
      <c r="A183" s="16">
        <v>179</v>
      </c>
      <c r="B183" s="17" t="s">
        <v>2103</v>
      </c>
      <c r="C183" s="17" t="s">
        <v>2104</v>
      </c>
      <c r="D183" s="18" t="s">
        <v>1584</v>
      </c>
      <c r="E183" s="19">
        <f>[4]Summary!E182</f>
        <v>2</v>
      </c>
      <c r="F183" s="52">
        <f>[4]Summary!F182</f>
        <v>64</v>
      </c>
      <c r="G183" s="20">
        <f t="shared" si="2"/>
        <v>128</v>
      </c>
      <c r="H183" s="20" t="s">
        <v>5404</v>
      </c>
    </row>
    <row r="184" spans="1:8" ht="21">
      <c r="A184" s="21">
        <v>180</v>
      </c>
      <c r="B184" s="22" t="s">
        <v>2105</v>
      </c>
      <c r="C184" s="22" t="s">
        <v>2106</v>
      </c>
      <c r="D184" s="23" t="s">
        <v>1584</v>
      </c>
      <c r="E184" s="24">
        <f>[4]Summary!E183</f>
        <v>3</v>
      </c>
      <c r="F184" s="25">
        <f>[4]Summary!F183</f>
        <v>75</v>
      </c>
      <c r="G184" s="26">
        <f t="shared" si="2"/>
        <v>225</v>
      </c>
      <c r="H184" s="26" t="s">
        <v>5404</v>
      </c>
    </row>
    <row r="185" spans="1:8" ht="21">
      <c r="A185" s="16">
        <v>181</v>
      </c>
      <c r="B185" s="17" t="s">
        <v>2107</v>
      </c>
      <c r="C185" s="17" t="s">
        <v>2108</v>
      </c>
      <c r="D185" s="18" t="s">
        <v>1584</v>
      </c>
      <c r="E185" s="19">
        <f>[4]Summary!E184</f>
        <v>8</v>
      </c>
      <c r="F185" s="52">
        <f>[4]Summary!F184</f>
        <v>24</v>
      </c>
      <c r="G185" s="20">
        <f t="shared" si="2"/>
        <v>192</v>
      </c>
      <c r="H185" s="20" t="s">
        <v>5404</v>
      </c>
    </row>
    <row r="186" spans="1:8" ht="21">
      <c r="A186" s="21">
        <v>182</v>
      </c>
      <c r="B186" s="22" t="s">
        <v>2109</v>
      </c>
      <c r="C186" s="22" t="s">
        <v>2110</v>
      </c>
      <c r="D186" s="23" t="s">
        <v>1584</v>
      </c>
      <c r="E186" s="24">
        <f>[4]Summary!E185</f>
        <v>1.42</v>
      </c>
      <c r="F186" s="25">
        <f>[4]Summary!F185</f>
        <v>0</v>
      </c>
      <c r="G186" s="26">
        <f t="shared" si="2"/>
        <v>0</v>
      </c>
      <c r="H186" s="26" t="s">
        <v>5404</v>
      </c>
    </row>
    <row r="187" spans="1:8" ht="21">
      <c r="A187" s="16">
        <v>183</v>
      </c>
      <c r="B187" s="17" t="s">
        <v>2111</v>
      </c>
      <c r="C187" s="17" t="s">
        <v>2112</v>
      </c>
      <c r="D187" s="18" t="s">
        <v>1584</v>
      </c>
      <c r="E187" s="19">
        <f>[4]Summary!E186</f>
        <v>11.9</v>
      </c>
      <c r="F187" s="52">
        <f>[4]Summary!F186</f>
        <v>0</v>
      </c>
      <c r="G187" s="20">
        <f t="shared" si="2"/>
        <v>0</v>
      </c>
      <c r="H187" s="20" t="s">
        <v>5408</v>
      </c>
    </row>
    <row r="188" spans="1:8" ht="21">
      <c r="A188" s="21">
        <v>184</v>
      </c>
      <c r="B188" s="22" t="s">
        <v>2113</v>
      </c>
      <c r="C188" s="22" t="s">
        <v>2114</v>
      </c>
      <c r="D188" s="23" t="s">
        <v>1584</v>
      </c>
      <c r="E188" s="24">
        <f>[4]Summary!E187</f>
        <v>2.7</v>
      </c>
      <c r="F188" s="25">
        <f>[4]Summary!F187</f>
        <v>0</v>
      </c>
      <c r="G188" s="26">
        <f t="shared" si="2"/>
        <v>0</v>
      </c>
      <c r="H188" s="26" t="s">
        <v>5404</v>
      </c>
    </row>
    <row r="189" spans="1:8" ht="21">
      <c r="A189" s="16">
        <v>185</v>
      </c>
      <c r="B189" s="17" t="s">
        <v>2115</v>
      </c>
      <c r="C189" s="17" t="s">
        <v>2116</v>
      </c>
      <c r="D189" s="18" t="s">
        <v>1584</v>
      </c>
      <c r="E189" s="19">
        <f>[4]Summary!E188</f>
        <v>0.16</v>
      </c>
      <c r="F189" s="52">
        <f>[4]Summary!F188</f>
        <v>0</v>
      </c>
      <c r="G189" s="20">
        <f t="shared" si="2"/>
        <v>0</v>
      </c>
      <c r="H189" s="20" t="s">
        <v>5405</v>
      </c>
    </row>
    <row r="190" spans="1:8" ht="21">
      <c r="A190" s="21">
        <v>186</v>
      </c>
      <c r="B190" s="22" t="s">
        <v>2117</v>
      </c>
      <c r="C190" s="22" t="s">
        <v>2118</v>
      </c>
      <c r="D190" s="23" t="s">
        <v>1584</v>
      </c>
      <c r="E190" s="24">
        <f>[4]Summary!E189</f>
        <v>1.25</v>
      </c>
      <c r="F190" s="25">
        <f>[4]Summary!F189</f>
        <v>25</v>
      </c>
      <c r="G190" s="26">
        <f t="shared" si="2"/>
        <v>31.25</v>
      </c>
      <c r="H190" s="26" t="s">
        <v>5408</v>
      </c>
    </row>
    <row r="191" spans="1:8" ht="21">
      <c r="A191" s="16">
        <v>187</v>
      </c>
      <c r="B191" s="17" t="s">
        <v>2119</v>
      </c>
      <c r="C191" s="17" t="s">
        <v>2120</v>
      </c>
      <c r="D191" s="18" t="s">
        <v>1584</v>
      </c>
      <c r="E191" s="19">
        <f>[4]Summary!E190</f>
        <v>0.3</v>
      </c>
      <c r="F191" s="52">
        <f>[4]Summary!F190</f>
        <v>0</v>
      </c>
      <c r="G191" s="20">
        <f t="shared" si="2"/>
        <v>0</v>
      </c>
      <c r="H191" s="20" t="s">
        <v>5404</v>
      </c>
    </row>
    <row r="192" spans="1:8" ht="21">
      <c r="A192" s="21">
        <v>188</v>
      </c>
      <c r="B192" s="22" t="s">
        <v>2121</v>
      </c>
      <c r="C192" s="22" t="s">
        <v>2122</v>
      </c>
      <c r="D192" s="23" t="s">
        <v>1584</v>
      </c>
      <c r="E192" s="24">
        <f>[4]Summary!E191</f>
        <v>1.9</v>
      </c>
      <c r="F192" s="25">
        <f>[4]Summary!F191</f>
        <v>1</v>
      </c>
      <c r="G192" s="26">
        <f t="shared" si="2"/>
        <v>1.9</v>
      </c>
      <c r="H192" s="26" t="s">
        <v>5404</v>
      </c>
    </row>
    <row r="193" spans="1:8" ht="21">
      <c r="A193" s="16">
        <v>189</v>
      </c>
      <c r="B193" s="17" t="s">
        <v>2123</v>
      </c>
      <c r="C193" s="17" t="s">
        <v>2124</v>
      </c>
      <c r="D193" s="18" t="s">
        <v>1584</v>
      </c>
      <c r="E193" s="19">
        <f>[4]Summary!E192</f>
        <v>0.15</v>
      </c>
      <c r="F193" s="52">
        <f>[4]Summary!F192</f>
        <v>832</v>
      </c>
      <c r="G193" s="20">
        <f t="shared" si="2"/>
        <v>124.8</v>
      </c>
      <c r="H193" s="20" t="s">
        <v>5406</v>
      </c>
    </row>
    <row r="194" spans="1:8" ht="21">
      <c r="A194" s="21">
        <v>190</v>
      </c>
      <c r="B194" s="22" t="s">
        <v>2125</v>
      </c>
      <c r="C194" s="22" t="s">
        <v>2126</v>
      </c>
      <c r="D194" s="23" t="s">
        <v>1584</v>
      </c>
      <c r="E194" s="24">
        <f>[4]Summary!E193</f>
        <v>0.25</v>
      </c>
      <c r="F194" s="25">
        <f>[4]Summary!F193</f>
        <v>30</v>
      </c>
      <c r="G194" s="26">
        <f t="shared" si="2"/>
        <v>7.5</v>
      </c>
      <c r="H194" s="26" t="s">
        <v>5409</v>
      </c>
    </row>
    <row r="195" spans="1:8" ht="21">
      <c r="A195" s="16">
        <v>191</v>
      </c>
      <c r="B195" s="17" t="s">
        <v>2127</v>
      </c>
      <c r="C195" s="17" t="s">
        <v>2128</v>
      </c>
      <c r="D195" s="18" t="s">
        <v>1584</v>
      </c>
      <c r="E195" s="19">
        <f>[4]Summary!E194</f>
        <v>0.27</v>
      </c>
      <c r="F195" s="52">
        <f>[4]Summary!F194</f>
        <v>362</v>
      </c>
      <c r="G195" s="20">
        <f t="shared" si="2"/>
        <v>97.740000000000009</v>
      </c>
      <c r="H195" s="20" t="s">
        <v>5406</v>
      </c>
    </row>
    <row r="196" spans="1:8" ht="21">
      <c r="A196" s="21">
        <v>192</v>
      </c>
      <c r="B196" s="22" t="s">
        <v>2129</v>
      </c>
      <c r="C196" s="22" t="s">
        <v>2130</v>
      </c>
      <c r="D196" s="23" t="s">
        <v>1584</v>
      </c>
      <c r="E196" s="24">
        <f>[4]Summary!E195</f>
        <v>0.6</v>
      </c>
      <c r="F196" s="25">
        <f>[4]Summary!F195</f>
        <v>4</v>
      </c>
      <c r="G196" s="26">
        <f t="shared" si="2"/>
        <v>2.4</v>
      </c>
      <c r="H196" s="26" t="s">
        <v>5405</v>
      </c>
    </row>
    <row r="197" spans="1:8" ht="21">
      <c r="A197" s="16">
        <v>193</v>
      </c>
      <c r="B197" s="17" t="s">
        <v>2131</v>
      </c>
      <c r="C197" s="17" t="s">
        <v>2132</v>
      </c>
      <c r="D197" s="18" t="s">
        <v>1584</v>
      </c>
      <c r="E197" s="19">
        <f>[4]Summary!E196</f>
        <v>0.25</v>
      </c>
      <c r="F197" s="52">
        <f>[4]Summary!F196</f>
        <v>1</v>
      </c>
      <c r="G197" s="20">
        <f t="shared" si="2"/>
        <v>0.25</v>
      </c>
      <c r="H197" s="20" t="s">
        <v>5405</v>
      </c>
    </row>
    <row r="198" spans="1:8" ht="21">
      <c r="A198" s="21">
        <v>194</v>
      </c>
      <c r="B198" s="22" t="s">
        <v>2127</v>
      </c>
      <c r="C198" s="22" t="s">
        <v>2133</v>
      </c>
      <c r="D198" s="23" t="s">
        <v>1584</v>
      </c>
      <c r="E198" s="24">
        <f>[4]Summary!E197</f>
        <v>0.7</v>
      </c>
      <c r="F198" s="25">
        <f>[4]Summary!F197</f>
        <v>82</v>
      </c>
      <c r="G198" s="26">
        <f t="shared" si="2"/>
        <v>57.4</v>
      </c>
      <c r="H198" s="26" t="s">
        <v>5406</v>
      </c>
    </row>
    <row r="199" spans="1:8" ht="21">
      <c r="A199" s="16">
        <v>195</v>
      </c>
      <c r="B199" s="17" t="s">
        <v>2134</v>
      </c>
      <c r="C199" s="17" t="s">
        <v>2135</v>
      </c>
      <c r="D199" s="18" t="s">
        <v>1584</v>
      </c>
      <c r="E199" s="19">
        <f>[4]Summary!E198</f>
        <v>0.85</v>
      </c>
      <c r="F199" s="52">
        <f>[4]Summary!F198</f>
        <v>48</v>
      </c>
      <c r="G199" s="20">
        <f t="shared" ref="G199:G262" si="3">E199*F199</f>
        <v>40.799999999999997</v>
      </c>
      <c r="H199" s="20" t="s">
        <v>5404</v>
      </c>
    </row>
    <row r="200" spans="1:8" ht="21">
      <c r="A200" s="21">
        <v>196</v>
      </c>
      <c r="B200" s="22" t="s">
        <v>2136</v>
      </c>
      <c r="C200" s="22" t="s">
        <v>2137</v>
      </c>
      <c r="D200" s="23" t="s">
        <v>1584</v>
      </c>
      <c r="E200" s="24">
        <f>[4]Summary!E199</f>
        <v>0</v>
      </c>
      <c r="F200" s="25">
        <f>[4]Summary!F199</f>
        <v>11</v>
      </c>
      <c r="G200" s="26">
        <f t="shared" si="3"/>
        <v>0</v>
      </c>
      <c r="H200" s="26" t="s">
        <v>5406</v>
      </c>
    </row>
    <row r="201" spans="1:8" ht="21">
      <c r="A201" s="16">
        <v>197</v>
      </c>
      <c r="B201" s="17" t="s">
        <v>2138</v>
      </c>
      <c r="C201" s="17" t="s">
        <v>2139</v>
      </c>
      <c r="D201" s="18" t="s">
        <v>1584</v>
      </c>
      <c r="E201" s="19">
        <f>[4]Summary!E200</f>
        <v>0.35</v>
      </c>
      <c r="F201" s="52">
        <f>[4]Summary!F200</f>
        <v>16</v>
      </c>
      <c r="G201" s="20">
        <f t="shared" si="3"/>
        <v>5.6</v>
      </c>
      <c r="H201" s="20" t="s">
        <v>5405</v>
      </c>
    </row>
    <row r="202" spans="1:8" ht="21">
      <c r="A202" s="21">
        <v>198</v>
      </c>
      <c r="B202" s="22" t="s">
        <v>2140</v>
      </c>
      <c r="C202" s="22" t="s">
        <v>2141</v>
      </c>
      <c r="D202" s="23" t="s">
        <v>1584</v>
      </c>
      <c r="E202" s="24">
        <f>[4]Summary!E201</f>
        <v>0.6</v>
      </c>
      <c r="F202" s="25">
        <f>[4]Summary!F201</f>
        <v>0</v>
      </c>
      <c r="G202" s="26">
        <f t="shared" si="3"/>
        <v>0</v>
      </c>
      <c r="H202" s="26" t="s">
        <v>5406</v>
      </c>
    </row>
    <row r="203" spans="1:8" ht="21">
      <c r="A203" s="16">
        <v>199</v>
      </c>
      <c r="B203" s="17" t="s">
        <v>5757</v>
      </c>
      <c r="C203" s="17" t="s">
        <v>2142</v>
      </c>
      <c r="D203" s="18" t="s">
        <v>1584</v>
      </c>
      <c r="E203" s="19">
        <f>[4]Summary!E202</f>
        <v>1.4</v>
      </c>
      <c r="F203" s="52">
        <f>[4]Summary!F202</f>
        <v>28</v>
      </c>
      <c r="G203" s="20">
        <f t="shared" si="3"/>
        <v>39.199999999999996</v>
      </c>
      <c r="H203" s="20" t="s">
        <v>5404</v>
      </c>
    </row>
    <row r="204" spans="1:8" ht="21">
      <c r="A204" s="21">
        <v>200</v>
      </c>
      <c r="B204" s="22" t="s">
        <v>2143</v>
      </c>
      <c r="C204" s="22" t="s">
        <v>2144</v>
      </c>
      <c r="D204" s="23" t="s">
        <v>1584</v>
      </c>
      <c r="E204" s="24">
        <f>[4]Summary!E203</f>
        <v>0.7</v>
      </c>
      <c r="F204" s="25">
        <f>[4]Summary!F203</f>
        <v>1</v>
      </c>
      <c r="G204" s="26">
        <f t="shared" si="3"/>
        <v>0.7</v>
      </c>
      <c r="H204" s="26" t="s">
        <v>5405</v>
      </c>
    </row>
    <row r="205" spans="1:8" ht="21">
      <c r="A205" s="16">
        <v>201</v>
      </c>
      <c r="B205" s="17" t="s">
        <v>2145</v>
      </c>
      <c r="C205" s="17" t="s">
        <v>2146</v>
      </c>
      <c r="D205" s="18" t="s">
        <v>1584</v>
      </c>
      <c r="E205" s="19">
        <f>[4]Summary!E204</f>
        <v>1.5</v>
      </c>
      <c r="F205" s="52">
        <f>[4]Summary!F204</f>
        <v>0</v>
      </c>
      <c r="G205" s="20">
        <f t="shared" si="3"/>
        <v>0</v>
      </c>
      <c r="H205" s="20" t="s">
        <v>5404</v>
      </c>
    </row>
    <row r="206" spans="1:8" ht="21">
      <c r="A206" s="21">
        <v>202</v>
      </c>
      <c r="B206" s="22" t="s">
        <v>2147</v>
      </c>
      <c r="C206" s="22" t="s">
        <v>2148</v>
      </c>
      <c r="D206" s="23" t="s">
        <v>1584</v>
      </c>
      <c r="E206" s="24">
        <f>[4]Summary!E205</f>
        <v>0.5</v>
      </c>
      <c r="F206" s="25">
        <f>[4]Summary!F205</f>
        <v>10</v>
      </c>
      <c r="G206" s="26">
        <f t="shared" si="3"/>
        <v>5</v>
      </c>
      <c r="H206" s="26" t="s">
        <v>5408</v>
      </c>
    </row>
    <row r="207" spans="1:8" ht="21">
      <c r="A207" s="16">
        <v>203</v>
      </c>
      <c r="B207" s="17" t="s">
        <v>2149</v>
      </c>
      <c r="C207" s="17" t="s">
        <v>2150</v>
      </c>
      <c r="D207" s="18" t="s">
        <v>1584</v>
      </c>
      <c r="E207" s="19">
        <f>[4]Summary!E206</f>
        <v>0.16</v>
      </c>
      <c r="F207" s="52">
        <f>[4]Summary!F206</f>
        <v>9</v>
      </c>
      <c r="G207" s="20">
        <f t="shared" si="3"/>
        <v>1.44</v>
      </c>
      <c r="H207" s="20" t="s">
        <v>5405</v>
      </c>
    </row>
    <row r="208" spans="1:8" ht="21">
      <c r="A208" s="21">
        <v>204</v>
      </c>
      <c r="B208" s="22" t="s">
        <v>2151</v>
      </c>
      <c r="C208" s="22" t="s">
        <v>2152</v>
      </c>
      <c r="D208" s="23" t="s">
        <v>1584</v>
      </c>
      <c r="E208" s="24">
        <f>[4]Summary!E207</f>
        <v>8</v>
      </c>
      <c r="F208" s="25">
        <f>[4]Summary!F207</f>
        <v>5</v>
      </c>
      <c r="G208" s="26">
        <f t="shared" si="3"/>
        <v>40</v>
      </c>
      <c r="H208" s="26" t="s">
        <v>5405</v>
      </c>
    </row>
    <row r="209" spans="1:8" ht="21">
      <c r="A209" s="16">
        <v>205</v>
      </c>
      <c r="B209" s="17" t="s">
        <v>2153</v>
      </c>
      <c r="C209" s="17" t="s">
        <v>2154</v>
      </c>
      <c r="D209" s="18" t="s">
        <v>1584</v>
      </c>
      <c r="E209" s="19">
        <f>[4]Summary!E208</f>
        <v>3</v>
      </c>
      <c r="F209" s="52">
        <f>[4]Summary!F208</f>
        <v>96</v>
      </c>
      <c r="G209" s="20">
        <f t="shared" si="3"/>
        <v>288</v>
      </c>
      <c r="H209" s="20" t="s">
        <v>5408</v>
      </c>
    </row>
    <row r="210" spans="1:8" ht="21">
      <c r="A210" s="21">
        <v>206</v>
      </c>
      <c r="B210" s="22" t="s">
        <v>2155</v>
      </c>
      <c r="C210" s="22" t="s">
        <v>2156</v>
      </c>
      <c r="D210" s="23" t="s">
        <v>1584</v>
      </c>
      <c r="E210" s="24">
        <f>[4]Summary!E209</f>
        <v>3.5</v>
      </c>
      <c r="F210" s="25">
        <f>[4]Summary!F209</f>
        <v>5</v>
      </c>
      <c r="G210" s="26">
        <f t="shared" si="3"/>
        <v>17.5</v>
      </c>
      <c r="H210" s="26" t="s">
        <v>5408</v>
      </c>
    </row>
    <row r="211" spans="1:8" ht="21">
      <c r="A211" s="16">
        <v>207</v>
      </c>
      <c r="B211" s="17" t="s">
        <v>2157</v>
      </c>
      <c r="C211" s="17" t="s">
        <v>2158</v>
      </c>
      <c r="D211" s="18" t="s">
        <v>1584</v>
      </c>
      <c r="E211" s="19">
        <f>[4]Summary!E210</f>
        <v>0.5</v>
      </c>
      <c r="F211" s="52">
        <f>[4]Summary!F210</f>
        <v>22</v>
      </c>
      <c r="G211" s="20">
        <f t="shared" si="3"/>
        <v>11</v>
      </c>
      <c r="H211" s="20" t="s">
        <v>5406</v>
      </c>
    </row>
    <row r="212" spans="1:8" ht="21">
      <c r="A212" s="21">
        <v>208</v>
      </c>
      <c r="B212" s="22" t="s">
        <v>2159</v>
      </c>
      <c r="C212" s="22" t="s">
        <v>2160</v>
      </c>
      <c r="D212" s="23" t="s">
        <v>1584</v>
      </c>
      <c r="E212" s="24">
        <f>[4]Summary!E211</f>
        <v>3</v>
      </c>
      <c r="F212" s="25">
        <f>[4]Summary!F211</f>
        <v>8</v>
      </c>
      <c r="G212" s="26">
        <f t="shared" si="3"/>
        <v>24</v>
      </c>
      <c r="H212" s="26" t="s">
        <v>5408</v>
      </c>
    </row>
    <row r="213" spans="1:8" ht="21">
      <c r="A213" s="16">
        <v>209</v>
      </c>
      <c r="B213" s="17" t="s">
        <v>2161</v>
      </c>
      <c r="C213" s="17" t="s">
        <v>2162</v>
      </c>
      <c r="D213" s="18" t="s">
        <v>1584</v>
      </c>
      <c r="E213" s="19">
        <f>[4]Summary!E212</f>
        <v>5</v>
      </c>
      <c r="F213" s="52">
        <f>[4]Summary!F212</f>
        <v>10</v>
      </c>
      <c r="G213" s="20">
        <f t="shared" si="3"/>
        <v>50</v>
      </c>
      <c r="H213" s="20" t="s">
        <v>5406</v>
      </c>
    </row>
    <row r="214" spans="1:8" ht="21">
      <c r="A214" s="21">
        <v>210</v>
      </c>
      <c r="B214" s="22" t="s">
        <v>2163</v>
      </c>
      <c r="C214" s="22" t="s">
        <v>2164</v>
      </c>
      <c r="D214" s="23" t="s">
        <v>1584</v>
      </c>
      <c r="E214" s="24">
        <f>[4]Summary!E213</f>
        <v>0</v>
      </c>
      <c r="F214" s="25">
        <f>[4]Summary!F213</f>
        <v>0</v>
      </c>
      <c r="G214" s="26">
        <f t="shared" si="3"/>
        <v>0</v>
      </c>
      <c r="H214" s="26" t="s">
        <v>5404</v>
      </c>
    </row>
    <row r="215" spans="1:8" ht="21">
      <c r="A215" s="16">
        <v>211</v>
      </c>
      <c r="B215" s="17" t="s">
        <v>2165</v>
      </c>
      <c r="C215" s="17" t="s">
        <v>2166</v>
      </c>
      <c r="D215" s="18" t="s">
        <v>1584</v>
      </c>
      <c r="E215" s="19">
        <f>[4]Summary!E214</f>
        <v>1</v>
      </c>
      <c r="F215" s="52">
        <f>[4]Summary!F214</f>
        <v>17</v>
      </c>
      <c r="G215" s="20">
        <f t="shared" si="3"/>
        <v>17</v>
      </c>
      <c r="H215" s="20" t="s">
        <v>5408</v>
      </c>
    </row>
    <row r="216" spans="1:8" ht="21">
      <c r="A216" s="21">
        <v>212</v>
      </c>
      <c r="B216" s="22" t="s">
        <v>2167</v>
      </c>
      <c r="C216" s="22" t="s">
        <v>2168</v>
      </c>
      <c r="D216" s="23" t="s">
        <v>1584</v>
      </c>
      <c r="E216" s="24">
        <f>[4]Summary!E215</f>
        <v>8</v>
      </c>
      <c r="F216" s="25">
        <f>[4]Summary!F215</f>
        <v>20</v>
      </c>
      <c r="G216" s="26">
        <f t="shared" si="3"/>
        <v>160</v>
      </c>
      <c r="H216" s="26" t="s">
        <v>5408</v>
      </c>
    </row>
    <row r="217" spans="1:8" ht="21">
      <c r="A217" s="16">
        <v>213</v>
      </c>
      <c r="B217" s="17" t="s">
        <v>2169</v>
      </c>
      <c r="C217" s="17" t="s">
        <v>2170</v>
      </c>
      <c r="D217" s="18" t="s">
        <v>1584</v>
      </c>
      <c r="E217" s="19">
        <f>[4]Summary!E216</f>
        <v>15</v>
      </c>
      <c r="F217" s="52">
        <f>[4]Summary!F216</f>
        <v>0</v>
      </c>
      <c r="G217" s="20">
        <f t="shared" si="3"/>
        <v>0</v>
      </c>
      <c r="H217" s="20" t="s">
        <v>5408</v>
      </c>
    </row>
    <row r="218" spans="1:8" ht="21">
      <c r="A218" s="21">
        <v>214</v>
      </c>
      <c r="B218" s="22" t="s">
        <v>2171</v>
      </c>
      <c r="C218" s="22" t="s">
        <v>2172</v>
      </c>
      <c r="D218" s="23" t="s">
        <v>1584</v>
      </c>
      <c r="E218" s="24">
        <f>[4]Summary!E217</f>
        <v>0</v>
      </c>
      <c r="F218" s="25">
        <f>[4]Summary!F217</f>
        <v>0</v>
      </c>
      <c r="G218" s="26">
        <f t="shared" si="3"/>
        <v>0</v>
      </c>
      <c r="H218" s="26" t="s">
        <v>5404</v>
      </c>
    </row>
    <row r="219" spans="1:8" ht="21">
      <c r="A219" s="16">
        <v>215</v>
      </c>
      <c r="B219" s="17" t="s">
        <v>2173</v>
      </c>
      <c r="C219" s="17" t="s">
        <v>2174</v>
      </c>
      <c r="D219" s="18" t="s">
        <v>1584</v>
      </c>
      <c r="E219" s="19">
        <f>[4]Summary!E218</f>
        <v>7.25</v>
      </c>
      <c r="F219" s="52">
        <f>[4]Summary!F218</f>
        <v>0</v>
      </c>
      <c r="G219" s="20">
        <f t="shared" si="3"/>
        <v>0</v>
      </c>
      <c r="H219" s="20" t="s">
        <v>5404</v>
      </c>
    </row>
    <row r="220" spans="1:8" ht="21">
      <c r="A220" s="21">
        <v>216</v>
      </c>
      <c r="B220" s="22" t="s">
        <v>2175</v>
      </c>
      <c r="C220" s="22" t="s">
        <v>2176</v>
      </c>
      <c r="D220" s="23" t="s">
        <v>1584</v>
      </c>
      <c r="E220" s="24">
        <f>[4]Summary!E219</f>
        <v>0.15</v>
      </c>
      <c r="F220" s="25">
        <f>[4]Summary!F219</f>
        <v>0</v>
      </c>
      <c r="G220" s="26">
        <f t="shared" si="3"/>
        <v>0</v>
      </c>
      <c r="H220" s="26" t="s">
        <v>5406</v>
      </c>
    </row>
    <row r="221" spans="1:8" ht="21">
      <c r="A221" s="16">
        <v>217</v>
      </c>
      <c r="B221" s="17" t="s">
        <v>2177</v>
      </c>
      <c r="C221" s="17" t="s">
        <v>2178</v>
      </c>
      <c r="D221" s="18" t="s">
        <v>1584</v>
      </c>
      <c r="E221" s="19">
        <f>[4]Summary!E220</f>
        <v>0.12</v>
      </c>
      <c r="F221" s="52">
        <f>[4]Summary!F220</f>
        <v>6</v>
      </c>
      <c r="G221" s="20">
        <f t="shared" si="3"/>
        <v>0.72</v>
      </c>
      <c r="H221" s="20" t="s">
        <v>5405</v>
      </c>
    </row>
    <row r="222" spans="1:8" ht="21">
      <c r="A222" s="21">
        <v>218</v>
      </c>
      <c r="B222" s="22" t="s">
        <v>2179</v>
      </c>
      <c r="C222" s="22" t="s">
        <v>2180</v>
      </c>
      <c r="D222" s="23" t="s">
        <v>1584</v>
      </c>
      <c r="E222" s="24">
        <f>[4]Summary!E221</f>
        <v>2</v>
      </c>
      <c r="F222" s="25">
        <f>[4]Summary!F221</f>
        <v>4</v>
      </c>
      <c r="G222" s="26">
        <f t="shared" si="3"/>
        <v>8</v>
      </c>
      <c r="H222" s="26" t="s">
        <v>5409</v>
      </c>
    </row>
    <row r="223" spans="1:8" ht="21">
      <c r="A223" s="16">
        <v>219</v>
      </c>
      <c r="B223" s="17" t="s">
        <v>2181</v>
      </c>
      <c r="C223" s="17" t="s">
        <v>2182</v>
      </c>
      <c r="D223" s="18" t="s">
        <v>1584</v>
      </c>
      <c r="E223" s="19">
        <f>[4]Summary!E222</f>
        <v>0.35</v>
      </c>
      <c r="F223" s="52">
        <f>[4]Summary!F222</f>
        <v>4</v>
      </c>
      <c r="G223" s="20">
        <f t="shared" si="3"/>
        <v>1.4</v>
      </c>
      <c r="H223" s="20" t="s">
        <v>5405</v>
      </c>
    </row>
    <row r="224" spans="1:8" ht="21">
      <c r="A224" s="21">
        <v>220</v>
      </c>
      <c r="B224" s="22" t="s">
        <v>2183</v>
      </c>
      <c r="C224" s="22" t="s">
        <v>2184</v>
      </c>
      <c r="D224" s="23" t="s">
        <v>1584</v>
      </c>
      <c r="E224" s="24">
        <f>[4]Summary!E223</f>
        <v>2</v>
      </c>
      <c r="F224" s="25">
        <f>[4]Summary!F223</f>
        <v>4</v>
      </c>
      <c r="G224" s="26">
        <f t="shared" si="3"/>
        <v>8</v>
      </c>
      <c r="H224" s="26" t="s">
        <v>5410</v>
      </c>
    </row>
    <row r="225" spans="1:8" ht="21">
      <c r="A225" s="16">
        <v>221</v>
      </c>
      <c r="B225" s="17" t="s">
        <v>2185</v>
      </c>
      <c r="C225" s="17" t="s">
        <v>2186</v>
      </c>
      <c r="D225" s="18" t="s">
        <v>1584</v>
      </c>
      <c r="E225" s="19">
        <f>[4]Summary!E224</f>
        <v>0.8</v>
      </c>
      <c r="F225" s="52">
        <f>[4]Summary!F224</f>
        <v>10</v>
      </c>
      <c r="G225" s="20">
        <f t="shared" si="3"/>
        <v>8</v>
      </c>
      <c r="H225" s="20" t="s">
        <v>5409</v>
      </c>
    </row>
    <row r="226" spans="1:8" ht="21">
      <c r="A226" s="21">
        <v>222</v>
      </c>
      <c r="B226" s="22" t="s">
        <v>2187</v>
      </c>
      <c r="C226" s="22" t="s">
        <v>2188</v>
      </c>
      <c r="D226" s="23" t="s">
        <v>1584</v>
      </c>
      <c r="E226" s="24">
        <f>[4]Summary!E225</f>
        <v>0.26</v>
      </c>
      <c r="F226" s="25">
        <f>[4]Summary!F225</f>
        <v>63</v>
      </c>
      <c r="G226" s="26">
        <f t="shared" si="3"/>
        <v>16.38</v>
      </c>
      <c r="H226" s="26" t="s">
        <v>5406</v>
      </c>
    </row>
    <row r="227" spans="1:8" ht="21">
      <c r="A227" s="16">
        <v>223</v>
      </c>
      <c r="B227" s="17" t="s">
        <v>2189</v>
      </c>
      <c r="C227" s="17" t="s">
        <v>2190</v>
      </c>
      <c r="D227" s="18" t="s">
        <v>1584</v>
      </c>
      <c r="E227" s="19">
        <f>[4]Summary!E226</f>
        <v>0.6</v>
      </c>
      <c r="F227" s="52">
        <f>[4]Summary!F226</f>
        <v>22</v>
      </c>
      <c r="G227" s="20">
        <f t="shared" si="3"/>
        <v>13.2</v>
      </c>
      <c r="H227" s="20" t="s">
        <v>5405</v>
      </c>
    </row>
    <row r="228" spans="1:8" ht="21">
      <c r="A228" s="21">
        <v>224</v>
      </c>
      <c r="B228" s="22" t="s">
        <v>2191</v>
      </c>
      <c r="C228" s="22" t="s">
        <v>2192</v>
      </c>
      <c r="D228" s="23" t="s">
        <v>1584</v>
      </c>
      <c r="E228" s="24">
        <f>[4]Summary!E227</f>
        <v>15</v>
      </c>
      <c r="F228" s="25">
        <f>[4]Summary!F227</f>
        <v>0</v>
      </c>
      <c r="G228" s="26">
        <f t="shared" si="3"/>
        <v>0</v>
      </c>
      <c r="H228" s="26" t="s">
        <v>5410</v>
      </c>
    </row>
    <row r="229" spans="1:8" ht="21">
      <c r="A229" s="16">
        <v>225</v>
      </c>
      <c r="B229" s="17" t="s">
        <v>2193</v>
      </c>
      <c r="C229" s="17" t="s">
        <v>2194</v>
      </c>
      <c r="D229" s="18" t="s">
        <v>1584</v>
      </c>
      <c r="E229" s="19">
        <f>[4]Summary!E228</f>
        <v>18</v>
      </c>
      <c r="F229" s="52">
        <f>[4]Summary!F228</f>
        <v>3</v>
      </c>
      <c r="G229" s="20">
        <f t="shared" si="3"/>
        <v>54</v>
      </c>
      <c r="H229" s="20" t="s">
        <v>5410</v>
      </c>
    </row>
    <row r="230" spans="1:8" ht="21">
      <c r="A230" s="21">
        <v>226</v>
      </c>
      <c r="B230" s="22" t="s">
        <v>2195</v>
      </c>
      <c r="C230" s="22" t="s">
        <v>2196</v>
      </c>
      <c r="D230" s="23" t="s">
        <v>1584</v>
      </c>
      <c r="E230" s="24">
        <f>[4]Summary!E229</f>
        <v>0.95</v>
      </c>
      <c r="F230" s="25">
        <f>[4]Summary!F229</f>
        <v>16</v>
      </c>
      <c r="G230" s="26">
        <f t="shared" si="3"/>
        <v>15.2</v>
      </c>
      <c r="H230" s="26" t="s">
        <v>5406</v>
      </c>
    </row>
    <row r="231" spans="1:8" ht="21">
      <c r="A231" s="16">
        <v>227</v>
      </c>
      <c r="B231" s="17" t="s">
        <v>2197</v>
      </c>
      <c r="C231" s="17" t="s">
        <v>2198</v>
      </c>
      <c r="D231" s="18" t="s">
        <v>1584</v>
      </c>
      <c r="E231" s="19">
        <f>[4]Summary!E230</f>
        <v>0.9</v>
      </c>
      <c r="F231" s="52">
        <f>[4]Summary!F230</f>
        <v>122</v>
      </c>
      <c r="G231" s="20">
        <f t="shared" si="3"/>
        <v>109.8</v>
      </c>
      <c r="H231" s="20" t="s">
        <v>5404</v>
      </c>
    </row>
    <row r="232" spans="1:8" ht="21">
      <c r="A232" s="21">
        <v>228</v>
      </c>
      <c r="B232" s="22" t="s">
        <v>2199</v>
      </c>
      <c r="C232" s="22" t="s">
        <v>2200</v>
      </c>
      <c r="D232" s="23" t="s">
        <v>1584</v>
      </c>
      <c r="E232" s="24">
        <f>[4]Summary!E231</f>
        <v>0.8</v>
      </c>
      <c r="F232" s="25">
        <f>[4]Summary!F231</f>
        <v>0</v>
      </c>
      <c r="G232" s="26">
        <f t="shared" si="3"/>
        <v>0</v>
      </c>
      <c r="H232" s="26" t="s">
        <v>5404</v>
      </c>
    </row>
    <row r="233" spans="1:8" ht="21">
      <c r="A233" s="16">
        <v>229</v>
      </c>
      <c r="B233" s="17" t="s">
        <v>2201</v>
      </c>
      <c r="C233" s="17" t="s">
        <v>2202</v>
      </c>
      <c r="D233" s="18" t="s">
        <v>1584</v>
      </c>
      <c r="E233" s="19">
        <f>[4]Summary!E232</f>
        <v>1.25</v>
      </c>
      <c r="F233" s="52">
        <f>[4]Summary!F232</f>
        <v>1</v>
      </c>
      <c r="G233" s="20">
        <f t="shared" si="3"/>
        <v>1.25</v>
      </c>
      <c r="H233" s="20" t="s">
        <v>5405</v>
      </c>
    </row>
    <row r="234" spans="1:8" ht="21">
      <c r="A234" s="21">
        <v>230</v>
      </c>
      <c r="B234" s="22" t="s">
        <v>2203</v>
      </c>
      <c r="C234" s="22" t="s">
        <v>2204</v>
      </c>
      <c r="D234" s="23" t="s">
        <v>1584</v>
      </c>
      <c r="E234" s="24">
        <f>[4]Summary!E233</f>
        <v>1.2</v>
      </c>
      <c r="F234" s="25">
        <f>[4]Summary!F233</f>
        <v>0</v>
      </c>
      <c r="G234" s="26">
        <f t="shared" si="3"/>
        <v>0</v>
      </c>
      <c r="H234" s="26" t="s">
        <v>5405</v>
      </c>
    </row>
    <row r="235" spans="1:8" ht="21">
      <c r="A235" s="16">
        <v>231</v>
      </c>
      <c r="B235" s="17" t="s">
        <v>2205</v>
      </c>
      <c r="C235" s="17" t="s">
        <v>2206</v>
      </c>
      <c r="D235" s="18" t="s">
        <v>1584</v>
      </c>
      <c r="E235" s="19">
        <f>[4]Summary!E234</f>
        <v>6</v>
      </c>
      <c r="F235" s="52">
        <f>[4]Summary!F234</f>
        <v>0</v>
      </c>
      <c r="G235" s="20">
        <f t="shared" si="3"/>
        <v>0</v>
      </c>
      <c r="H235" s="20" t="s">
        <v>5404</v>
      </c>
    </row>
    <row r="236" spans="1:8" ht="21">
      <c r="A236" s="21">
        <v>232</v>
      </c>
      <c r="B236" s="22" t="s">
        <v>2207</v>
      </c>
      <c r="C236" s="22" t="s">
        <v>2208</v>
      </c>
      <c r="D236" s="23" t="s">
        <v>1584</v>
      </c>
      <c r="E236" s="24">
        <f>[4]Summary!E235</f>
        <v>6.75</v>
      </c>
      <c r="F236" s="25">
        <f>[4]Summary!F235</f>
        <v>0</v>
      </c>
      <c r="G236" s="26">
        <f t="shared" si="3"/>
        <v>0</v>
      </c>
      <c r="H236" s="26" t="s">
        <v>5410</v>
      </c>
    </row>
    <row r="237" spans="1:8" ht="21">
      <c r="A237" s="16">
        <v>233</v>
      </c>
      <c r="B237" s="17" t="s">
        <v>2209</v>
      </c>
      <c r="C237" s="17" t="s">
        <v>2210</v>
      </c>
      <c r="D237" s="18" t="s">
        <v>1584</v>
      </c>
      <c r="E237" s="19">
        <f>[4]Summary!E236</f>
        <v>3</v>
      </c>
      <c r="F237" s="52">
        <f>[4]Summary!F236</f>
        <v>3</v>
      </c>
      <c r="G237" s="20">
        <f t="shared" si="3"/>
        <v>9</v>
      </c>
      <c r="H237" s="20" t="s">
        <v>5408</v>
      </c>
    </row>
    <row r="238" spans="1:8" ht="21">
      <c r="A238" s="21">
        <v>234</v>
      </c>
      <c r="B238" s="22" t="s">
        <v>2211</v>
      </c>
      <c r="C238" s="22" t="s">
        <v>2212</v>
      </c>
      <c r="D238" s="23" t="s">
        <v>1584</v>
      </c>
      <c r="E238" s="24">
        <f>[4]Summary!E237</f>
        <v>20.399999999999999</v>
      </c>
      <c r="F238" s="25">
        <f>[4]Summary!F237</f>
        <v>0</v>
      </c>
      <c r="G238" s="26">
        <f t="shared" si="3"/>
        <v>0</v>
      </c>
      <c r="H238" s="26" t="s">
        <v>5409</v>
      </c>
    </row>
    <row r="239" spans="1:8" ht="21">
      <c r="A239" s="16">
        <v>235</v>
      </c>
      <c r="B239" s="17" t="s">
        <v>2213</v>
      </c>
      <c r="C239" s="17" t="s">
        <v>2214</v>
      </c>
      <c r="D239" s="18" t="s">
        <v>1584</v>
      </c>
      <c r="E239" s="19">
        <f>[4]Summary!E238</f>
        <v>1.66</v>
      </c>
      <c r="F239" s="52">
        <f>[4]Summary!F238</f>
        <v>57</v>
      </c>
      <c r="G239" s="20">
        <f t="shared" si="3"/>
        <v>94.61999999999999</v>
      </c>
      <c r="H239" s="20" t="s">
        <v>5406</v>
      </c>
    </row>
    <row r="240" spans="1:8" ht="21">
      <c r="A240" s="21">
        <v>236</v>
      </c>
      <c r="B240" s="22" t="s">
        <v>2215</v>
      </c>
      <c r="C240" s="22" t="s">
        <v>2216</v>
      </c>
      <c r="D240" s="23" t="s">
        <v>1584</v>
      </c>
      <c r="E240" s="24">
        <f>[4]Summary!E239</f>
        <v>2.5</v>
      </c>
      <c r="F240" s="25">
        <f>[4]Summary!F239</f>
        <v>6</v>
      </c>
      <c r="G240" s="26">
        <f t="shared" si="3"/>
        <v>15</v>
      </c>
      <c r="H240" s="26" t="s">
        <v>5405</v>
      </c>
    </row>
    <row r="241" spans="1:8" ht="21">
      <c r="A241" s="16">
        <v>237</v>
      </c>
      <c r="B241" s="17" t="s">
        <v>2217</v>
      </c>
      <c r="C241" s="17" t="s">
        <v>2218</v>
      </c>
      <c r="D241" s="18" t="s">
        <v>1584</v>
      </c>
      <c r="E241" s="19">
        <f>[4]Summary!E240</f>
        <v>6</v>
      </c>
      <c r="F241" s="52">
        <f>[4]Summary!F240</f>
        <v>6</v>
      </c>
      <c r="G241" s="20">
        <f t="shared" si="3"/>
        <v>36</v>
      </c>
      <c r="H241" s="20" t="s">
        <v>5408</v>
      </c>
    </row>
    <row r="242" spans="1:8" ht="21">
      <c r="A242" s="21">
        <v>238</v>
      </c>
      <c r="B242" s="22" t="s">
        <v>2219</v>
      </c>
      <c r="C242" s="22" t="s">
        <v>2220</v>
      </c>
      <c r="D242" s="23" t="s">
        <v>1584</v>
      </c>
      <c r="E242" s="24">
        <f>[4]Summary!E241</f>
        <v>2.7</v>
      </c>
      <c r="F242" s="25">
        <f>[4]Summary!F241</f>
        <v>1</v>
      </c>
      <c r="G242" s="26">
        <f t="shared" si="3"/>
        <v>2.7</v>
      </c>
      <c r="H242" s="26" t="s">
        <v>5405</v>
      </c>
    </row>
    <row r="243" spans="1:8" ht="21">
      <c r="A243" s="16">
        <v>239</v>
      </c>
      <c r="B243" s="17" t="s">
        <v>2221</v>
      </c>
      <c r="C243" s="17" t="s">
        <v>2222</v>
      </c>
      <c r="D243" s="18" t="s">
        <v>1584</v>
      </c>
      <c r="E243" s="19">
        <f>[4]Summary!E242</f>
        <v>0.16</v>
      </c>
      <c r="F243" s="52">
        <f>[4]Summary!F242</f>
        <v>569</v>
      </c>
      <c r="G243" s="20">
        <f t="shared" si="3"/>
        <v>91.04</v>
      </c>
      <c r="H243" s="20" t="s">
        <v>5406</v>
      </c>
    </row>
    <row r="244" spans="1:8" ht="21">
      <c r="A244" s="21">
        <v>240</v>
      </c>
      <c r="B244" s="22" t="s">
        <v>2223</v>
      </c>
      <c r="C244" s="22" t="s">
        <v>2224</v>
      </c>
      <c r="D244" s="23" t="s">
        <v>1584</v>
      </c>
      <c r="E244" s="24">
        <f>[4]Summary!E243</f>
        <v>3</v>
      </c>
      <c r="F244" s="25">
        <f>[4]Summary!F243</f>
        <v>0</v>
      </c>
      <c r="G244" s="26">
        <f t="shared" si="3"/>
        <v>0</v>
      </c>
      <c r="H244" s="26" t="s">
        <v>5409</v>
      </c>
    </row>
    <row r="245" spans="1:8" ht="21">
      <c r="A245" s="16">
        <v>241</v>
      </c>
      <c r="B245" s="17" t="s">
        <v>2225</v>
      </c>
      <c r="C245" s="17" t="s">
        <v>2226</v>
      </c>
      <c r="D245" s="18" t="s">
        <v>1584</v>
      </c>
      <c r="E245" s="19">
        <f>[4]Summary!E244</f>
        <v>45</v>
      </c>
      <c r="F245" s="52">
        <f>[4]Summary!F244</f>
        <v>2</v>
      </c>
      <c r="G245" s="20">
        <f t="shared" si="3"/>
        <v>90</v>
      </c>
      <c r="H245" s="20" t="s">
        <v>5410</v>
      </c>
    </row>
    <row r="246" spans="1:8" ht="21">
      <c r="A246" s="21">
        <v>242</v>
      </c>
      <c r="B246" s="22" t="s">
        <v>2227</v>
      </c>
      <c r="C246" s="22" t="s">
        <v>2228</v>
      </c>
      <c r="D246" s="23" t="s">
        <v>1584</v>
      </c>
      <c r="E246" s="24">
        <f>[4]Summary!E245</f>
        <v>3</v>
      </c>
      <c r="F246" s="25">
        <f>[4]Summary!F245</f>
        <v>4</v>
      </c>
      <c r="G246" s="26">
        <f t="shared" si="3"/>
        <v>12</v>
      </c>
      <c r="H246" s="26" t="s">
        <v>5405</v>
      </c>
    </row>
    <row r="247" spans="1:8" ht="21">
      <c r="A247" s="16">
        <v>243</v>
      </c>
      <c r="B247" s="17" t="s">
        <v>2229</v>
      </c>
      <c r="C247" s="17" t="s">
        <v>2230</v>
      </c>
      <c r="D247" s="18" t="s">
        <v>1584</v>
      </c>
      <c r="E247" s="19">
        <f>[4]Summary!E246</f>
        <v>55</v>
      </c>
      <c r="F247" s="52">
        <f>[4]Summary!F246</f>
        <v>8</v>
      </c>
      <c r="G247" s="20">
        <f t="shared" si="3"/>
        <v>440</v>
      </c>
      <c r="H247" s="20" t="s">
        <v>5410</v>
      </c>
    </row>
    <row r="248" spans="1:8" ht="21">
      <c r="A248" s="21">
        <v>244</v>
      </c>
      <c r="B248" s="22" t="s">
        <v>2231</v>
      </c>
      <c r="C248" s="22" t="s">
        <v>2232</v>
      </c>
      <c r="D248" s="23" t="s">
        <v>1584</v>
      </c>
      <c r="E248" s="24">
        <f>[4]Summary!E247</f>
        <v>1.5</v>
      </c>
      <c r="F248" s="25">
        <f>[4]Summary!F247</f>
        <v>0</v>
      </c>
      <c r="G248" s="26">
        <f t="shared" si="3"/>
        <v>0</v>
      </c>
      <c r="H248" s="26" t="s">
        <v>5404</v>
      </c>
    </row>
    <row r="249" spans="1:8" ht="21">
      <c r="A249" s="16">
        <v>245</v>
      </c>
      <c r="B249" s="17" t="s">
        <v>2233</v>
      </c>
      <c r="C249" s="17" t="s">
        <v>2234</v>
      </c>
      <c r="D249" s="18" t="s">
        <v>1584</v>
      </c>
      <c r="E249" s="19">
        <f>[4]Summary!E248</f>
        <v>9.5</v>
      </c>
      <c r="F249" s="52">
        <f>[4]Summary!F248</f>
        <v>1</v>
      </c>
      <c r="G249" s="20">
        <f t="shared" si="3"/>
        <v>9.5</v>
      </c>
      <c r="H249" s="20" t="s">
        <v>5410</v>
      </c>
    </row>
    <row r="250" spans="1:8" ht="21">
      <c r="A250" s="21">
        <v>246</v>
      </c>
      <c r="B250" s="22" t="s">
        <v>2235</v>
      </c>
      <c r="C250" s="22" t="s">
        <v>2236</v>
      </c>
      <c r="D250" s="23" t="s">
        <v>1584</v>
      </c>
      <c r="E250" s="24">
        <f>[4]Summary!E249</f>
        <v>0</v>
      </c>
      <c r="F250" s="25">
        <f>[4]Summary!F249</f>
        <v>15</v>
      </c>
      <c r="G250" s="26">
        <f t="shared" si="3"/>
        <v>0</v>
      </c>
      <c r="H250" s="26" t="s">
        <v>5409</v>
      </c>
    </row>
    <row r="251" spans="1:8" ht="21">
      <c r="A251" s="16">
        <v>247</v>
      </c>
      <c r="B251" s="17" t="s">
        <v>2237</v>
      </c>
      <c r="C251" s="17" t="s">
        <v>2238</v>
      </c>
      <c r="D251" s="18" t="s">
        <v>1584</v>
      </c>
      <c r="E251" s="19">
        <f>[4]Summary!E250</f>
        <v>1.42</v>
      </c>
      <c r="F251" s="52">
        <f>[4]Summary!F250</f>
        <v>27</v>
      </c>
      <c r="G251" s="20">
        <f t="shared" si="3"/>
        <v>38.339999999999996</v>
      </c>
      <c r="H251" s="20" t="s">
        <v>5408</v>
      </c>
    </row>
    <row r="252" spans="1:8" ht="21">
      <c r="A252" s="21">
        <v>248</v>
      </c>
      <c r="B252" s="22" t="s">
        <v>2239</v>
      </c>
      <c r="C252" s="22" t="s">
        <v>2240</v>
      </c>
      <c r="D252" s="23" t="s">
        <v>1584</v>
      </c>
      <c r="E252" s="24">
        <f>[4]Summary!E251</f>
        <v>22</v>
      </c>
      <c r="F252" s="25">
        <f>[4]Summary!F251</f>
        <v>0</v>
      </c>
      <c r="G252" s="26">
        <f t="shared" si="3"/>
        <v>0</v>
      </c>
      <c r="H252" s="26" t="s">
        <v>5410</v>
      </c>
    </row>
    <row r="253" spans="1:8" ht="21">
      <c r="A253" s="16">
        <v>249</v>
      </c>
      <c r="B253" s="17" t="s">
        <v>2241</v>
      </c>
      <c r="C253" s="17" t="s">
        <v>2242</v>
      </c>
      <c r="D253" s="18" t="s">
        <v>1584</v>
      </c>
      <c r="E253" s="19">
        <f>[4]Summary!E252</f>
        <v>27</v>
      </c>
      <c r="F253" s="52">
        <f>[4]Summary!F252</f>
        <v>0</v>
      </c>
      <c r="G253" s="20">
        <f t="shared" si="3"/>
        <v>0</v>
      </c>
      <c r="H253" s="20" t="s">
        <v>5410</v>
      </c>
    </row>
    <row r="254" spans="1:8" ht="21">
      <c r="A254" s="21">
        <v>250</v>
      </c>
      <c r="B254" s="22" t="s">
        <v>2243</v>
      </c>
      <c r="C254" s="22" t="s">
        <v>2244</v>
      </c>
      <c r="D254" s="23" t="s">
        <v>1584</v>
      </c>
      <c r="E254" s="24">
        <f>[4]Summary!E253</f>
        <v>10</v>
      </c>
      <c r="F254" s="25">
        <f>[4]Summary!F253</f>
        <v>0</v>
      </c>
      <c r="G254" s="26">
        <f t="shared" si="3"/>
        <v>0</v>
      </c>
      <c r="H254" s="26" t="s">
        <v>5410</v>
      </c>
    </row>
    <row r="255" spans="1:8" ht="21">
      <c r="A255" s="16">
        <v>251</v>
      </c>
      <c r="B255" s="17" t="s">
        <v>2245</v>
      </c>
      <c r="C255" s="17" t="s">
        <v>2246</v>
      </c>
      <c r="D255" s="18" t="s">
        <v>1584</v>
      </c>
      <c r="E255" s="19">
        <f>[4]Summary!E254</f>
        <v>45</v>
      </c>
      <c r="F255" s="52">
        <f>[4]Summary!F254</f>
        <v>0</v>
      </c>
      <c r="G255" s="20">
        <f t="shared" si="3"/>
        <v>0</v>
      </c>
      <c r="H255" s="20" t="s">
        <v>5410</v>
      </c>
    </row>
    <row r="256" spans="1:8" ht="21">
      <c r="A256" s="21">
        <v>252</v>
      </c>
      <c r="B256" s="22" t="s">
        <v>2247</v>
      </c>
      <c r="C256" s="22" t="s">
        <v>2248</v>
      </c>
      <c r="D256" s="23" t="s">
        <v>1584</v>
      </c>
      <c r="E256" s="24">
        <f>[4]Summary!E255</f>
        <v>55</v>
      </c>
      <c r="F256" s="25">
        <f>[4]Summary!F255</f>
        <v>0</v>
      </c>
      <c r="G256" s="26">
        <f t="shared" si="3"/>
        <v>0</v>
      </c>
      <c r="H256" s="26" t="s">
        <v>5410</v>
      </c>
    </row>
    <row r="257" spans="1:8" ht="21">
      <c r="A257" s="16">
        <v>253</v>
      </c>
      <c r="B257" s="17" t="s">
        <v>2249</v>
      </c>
      <c r="C257" s="17" t="s">
        <v>2250</v>
      </c>
      <c r="D257" s="18" t="s">
        <v>1584</v>
      </c>
      <c r="E257" s="19">
        <f>[4]Summary!E256</f>
        <v>3.5</v>
      </c>
      <c r="F257" s="52">
        <f>[4]Summary!F256</f>
        <v>28</v>
      </c>
      <c r="G257" s="20">
        <f t="shared" si="3"/>
        <v>98</v>
      </c>
      <c r="H257" s="20" t="s">
        <v>5408</v>
      </c>
    </row>
    <row r="258" spans="1:8" ht="21">
      <c r="A258" s="21">
        <v>254</v>
      </c>
      <c r="B258" s="22" t="s">
        <v>2251</v>
      </c>
      <c r="C258" s="22" t="s">
        <v>2252</v>
      </c>
      <c r="D258" s="23" t="s">
        <v>1584</v>
      </c>
      <c r="E258" s="24">
        <f>[4]Summary!E257</f>
        <v>4</v>
      </c>
      <c r="F258" s="25">
        <f>[4]Summary!F257</f>
        <v>9</v>
      </c>
      <c r="G258" s="26">
        <f t="shared" si="3"/>
        <v>36</v>
      </c>
      <c r="H258" s="26" t="s">
        <v>5408</v>
      </c>
    </row>
    <row r="259" spans="1:8" ht="42">
      <c r="A259" s="16">
        <v>255</v>
      </c>
      <c r="B259" s="17" t="s">
        <v>2253</v>
      </c>
      <c r="C259" s="17" t="s">
        <v>2254</v>
      </c>
      <c r="D259" s="18" t="s">
        <v>1584</v>
      </c>
      <c r="E259" s="19">
        <f>[4]Summary!E258</f>
        <v>1</v>
      </c>
      <c r="F259" s="52">
        <f>[4]Summary!F258</f>
        <v>0</v>
      </c>
      <c r="G259" s="20">
        <f t="shared" si="3"/>
        <v>0</v>
      </c>
      <c r="H259" s="20" t="s">
        <v>5408</v>
      </c>
    </row>
    <row r="260" spans="1:8" ht="42">
      <c r="A260" s="21">
        <v>256</v>
      </c>
      <c r="B260" s="22" t="s">
        <v>2255</v>
      </c>
      <c r="C260" s="22" t="s">
        <v>2256</v>
      </c>
      <c r="D260" s="23" t="s">
        <v>1584</v>
      </c>
      <c r="E260" s="24">
        <f>[4]Summary!E259</f>
        <v>0</v>
      </c>
      <c r="F260" s="25">
        <f>[4]Summary!F259</f>
        <v>1</v>
      </c>
      <c r="G260" s="26">
        <f t="shared" si="3"/>
        <v>0</v>
      </c>
      <c r="H260" s="26" t="s">
        <v>5408</v>
      </c>
    </row>
    <row r="261" spans="1:8" ht="42">
      <c r="A261" s="16">
        <v>257</v>
      </c>
      <c r="B261" s="17" t="s">
        <v>2257</v>
      </c>
      <c r="C261" s="17" t="s">
        <v>2258</v>
      </c>
      <c r="D261" s="18" t="s">
        <v>1584</v>
      </c>
      <c r="E261" s="19">
        <f>[4]Summary!E260</f>
        <v>0</v>
      </c>
      <c r="F261" s="52">
        <f>[4]Summary!F260</f>
        <v>8</v>
      </c>
      <c r="G261" s="20">
        <f t="shared" si="3"/>
        <v>0</v>
      </c>
      <c r="H261" s="20" t="s">
        <v>5408</v>
      </c>
    </row>
    <row r="262" spans="1:8" ht="21">
      <c r="A262" s="21">
        <v>258</v>
      </c>
      <c r="B262" s="22" t="s">
        <v>2259</v>
      </c>
      <c r="C262" s="22" t="s">
        <v>2260</v>
      </c>
      <c r="D262" s="23" t="s">
        <v>1584</v>
      </c>
      <c r="E262" s="24">
        <f>[4]Summary!E261</f>
        <v>1</v>
      </c>
      <c r="F262" s="25">
        <f>[4]Summary!F261</f>
        <v>3</v>
      </c>
      <c r="G262" s="26">
        <f t="shared" si="3"/>
        <v>3</v>
      </c>
      <c r="H262" s="26" t="s">
        <v>5406</v>
      </c>
    </row>
    <row r="263" spans="1:8" ht="21">
      <c r="A263" s="16">
        <v>259</v>
      </c>
      <c r="B263" s="17" t="s">
        <v>2261</v>
      </c>
      <c r="C263" s="17" t="s">
        <v>2262</v>
      </c>
      <c r="D263" s="18" t="s">
        <v>1584</v>
      </c>
      <c r="E263" s="19">
        <f>[4]Summary!E262</f>
        <v>7</v>
      </c>
      <c r="F263" s="52">
        <f>[4]Summary!F262</f>
        <v>0</v>
      </c>
      <c r="G263" s="20">
        <f t="shared" ref="G263:G326" si="4">E263*F263</f>
        <v>0</v>
      </c>
      <c r="H263" s="20" t="s">
        <v>5410</v>
      </c>
    </row>
    <row r="264" spans="1:8" ht="21">
      <c r="A264" s="21">
        <v>260</v>
      </c>
      <c r="B264" s="22" t="s">
        <v>2263</v>
      </c>
      <c r="C264" s="22" t="s">
        <v>2264</v>
      </c>
      <c r="D264" s="23" t="s">
        <v>1584</v>
      </c>
      <c r="E264" s="24">
        <f>[4]Summary!E263</f>
        <v>0</v>
      </c>
      <c r="F264" s="25">
        <f>[4]Summary!F263</f>
        <v>5</v>
      </c>
      <c r="G264" s="26">
        <f t="shared" si="4"/>
        <v>0</v>
      </c>
      <c r="H264" s="26" t="s">
        <v>5410</v>
      </c>
    </row>
    <row r="265" spans="1:8" ht="21">
      <c r="A265" s="16">
        <v>261</v>
      </c>
      <c r="B265" s="17" t="s">
        <v>2265</v>
      </c>
      <c r="C265" s="17" t="s">
        <v>2266</v>
      </c>
      <c r="D265" s="18" t="s">
        <v>1584</v>
      </c>
      <c r="E265" s="19">
        <f>[4]Summary!E264</f>
        <v>9.4499999999999993</v>
      </c>
      <c r="F265" s="52">
        <f>[4]Summary!F264</f>
        <v>18</v>
      </c>
      <c r="G265" s="20">
        <f t="shared" si="4"/>
        <v>170.1</v>
      </c>
      <c r="H265" s="20" t="s">
        <v>5406</v>
      </c>
    </row>
    <row r="266" spans="1:8" ht="21">
      <c r="A266" s="21">
        <v>262</v>
      </c>
      <c r="B266" s="22" t="s">
        <v>2267</v>
      </c>
      <c r="C266" s="22" t="s">
        <v>2268</v>
      </c>
      <c r="D266" s="23" t="s">
        <v>1584</v>
      </c>
      <c r="E266" s="24">
        <f>[4]Summary!E265</f>
        <v>2.1</v>
      </c>
      <c r="F266" s="25">
        <f>[4]Summary!F265</f>
        <v>33</v>
      </c>
      <c r="G266" s="26">
        <f t="shared" si="4"/>
        <v>69.3</v>
      </c>
      <c r="H266" s="26" t="s">
        <v>5406</v>
      </c>
    </row>
    <row r="267" spans="1:8" ht="21">
      <c r="A267" s="16">
        <v>263</v>
      </c>
      <c r="B267" s="17" t="s">
        <v>2269</v>
      </c>
      <c r="C267" s="17" t="s">
        <v>2270</v>
      </c>
      <c r="D267" s="18" t="s">
        <v>1584</v>
      </c>
      <c r="E267" s="19">
        <f>[4]Summary!E266</f>
        <v>2.5</v>
      </c>
      <c r="F267" s="52">
        <f>[4]Summary!F266</f>
        <v>0</v>
      </c>
      <c r="G267" s="20">
        <f t="shared" si="4"/>
        <v>0</v>
      </c>
      <c r="H267" s="20" t="s">
        <v>5406</v>
      </c>
    </row>
    <row r="268" spans="1:8" ht="21">
      <c r="A268" s="21">
        <v>264</v>
      </c>
      <c r="B268" s="22" t="s">
        <v>2271</v>
      </c>
      <c r="C268" s="22" t="s">
        <v>2272</v>
      </c>
      <c r="D268" s="23" t="s">
        <v>1584</v>
      </c>
      <c r="E268" s="24">
        <f>[4]Summary!E267</f>
        <v>0</v>
      </c>
      <c r="F268" s="25">
        <f>[4]Summary!F267</f>
        <v>3</v>
      </c>
      <c r="G268" s="26">
        <f t="shared" si="4"/>
        <v>0</v>
      </c>
      <c r="H268" s="26" t="s">
        <v>5405</v>
      </c>
    </row>
    <row r="269" spans="1:8" ht="21">
      <c r="A269" s="16">
        <v>265</v>
      </c>
      <c r="B269" s="17" t="s">
        <v>2273</v>
      </c>
      <c r="C269" s="17" t="s">
        <v>2274</v>
      </c>
      <c r="D269" s="18" t="s">
        <v>1584</v>
      </c>
      <c r="E269" s="19">
        <f>[4]Summary!E268</f>
        <v>3.15</v>
      </c>
      <c r="F269" s="52">
        <f>[4]Summary!F268</f>
        <v>3</v>
      </c>
      <c r="G269" s="20">
        <f t="shared" si="4"/>
        <v>9.4499999999999993</v>
      </c>
      <c r="H269" s="20" t="s">
        <v>5405</v>
      </c>
    </row>
    <row r="270" spans="1:8" ht="21">
      <c r="A270" s="21">
        <v>266</v>
      </c>
      <c r="B270" s="22" t="s">
        <v>2275</v>
      </c>
      <c r="C270" s="22" t="s">
        <v>2276</v>
      </c>
      <c r="D270" s="23" t="s">
        <v>1584</v>
      </c>
      <c r="E270" s="24">
        <f>[4]Summary!E269</f>
        <v>4.5</v>
      </c>
      <c r="F270" s="25">
        <f>[4]Summary!F269</f>
        <v>0</v>
      </c>
      <c r="G270" s="26">
        <f t="shared" si="4"/>
        <v>0</v>
      </c>
      <c r="H270" s="26" t="s">
        <v>5405</v>
      </c>
    </row>
    <row r="271" spans="1:8" ht="21">
      <c r="A271" s="16">
        <v>267</v>
      </c>
      <c r="B271" s="17" t="s">
        <v>2277</v>
      </c>
      <c r="C271" s="17" t="s">
        <v>2278</v>
      </c>
      <c r="D271" s="18" t="s">
        <v>1584</v>
      </c>
      <c r="E271" s="19">
        <f>[4]Summary!E270</f>
        <v>1.08</v>
      </c>
      <c r="F271" s="52">
        <f>[4]Summary!F270</f>
        <v>1</v>
      </c>
      <c r="G271" s="20">
        <f t="shared" si="4"/>
        <v>1.08</v>
      </c>
      <c r="H271" s="20" t="s">
        <v>5406</v>
      </c>
    </row>
    <row r="272" spans="1:8" ht="21">
      <c r="A272" s="21">
        <v>268</v>
      </c>
      <c r="B272" s="22" t="s">
        <v>2279</v>
      </c>
      <c r="C272" s="22" t="s">
        <v>2280</v>
      </c>
      <c r="D272" s="23" t="s">
        <v>1584</v>
      </c>
      <c r="E272" s="24">
        <f>[4]Summary!E271</f>
        <v>1.05</v>
      </c>
      <c r="F272" s="25">
        <f>[4]Summary!F271</f>
        <v>8</v>
      </c>
      <c r="G272" s="26">
        <f t="shared" si="4"/>
        <v>8.4</v>
      </c>
      <c r="H272" s="26" t="s">
        <v>5406</v>
      </c>
    </row>
    <row r="273" spans="1:8" ht="21">
      <c r="A273" s="16">
        <v>269</v>
      </c>
      <c r="B273" s="17" t="s">
        <v>2281</v>
      </c>
      <c r="C273" s="17" t="s">
        <v>2282</v>
      </c>
      <c r="D273" s="18" t="s">
        <v>1584</v>
      </c>
      <c r="E273" s="19">
        <f>[4]Summary!E272</f>
        <v>1.02</v>
      </c>
      <c r="F273" s="52">
        <f>[4]Summary!F272</f>
        <v>0</v>
      </c>
      <c r="G273" s="20">
        <f t="shared" si="4"/>
        <v>0</v>
      </c>
      <c r="H273" s="20" t="s">
        <v>5406</v>
      </c>
    </row>
    <row r="274" spans="1:8" ht="21">
      <c r="A274" s="21">
        <v>270</v>
      </c>
      <c r="B274" s="22" t="s">
        <v>2283</v>
      </c>
      <c r="C274" s="22" t="s">
        <v>2284</v>
      </c>
      <c r="D274" s="23" t="s">
        <v>1584</v>
      </c>
      <c r="E274" s="24">
        <f>[4]Summary!E273</f>
        <v>0.65</v>
      </c>
      <c r="F274" s="25">
        <f>[4]Summary!F273</f>
        <v>9</v>
      </c>
      <c r="G274" s="26">
        <f t="shared" si="4"/>
        <v>5.8500000000000005</v>
      </c>
      <c r="H274" s="26" t="s">
        <v>5408</v>
      </c>
    </row>
    <row r="275" spans="1:8" ht="21">
      <c r="A275" s="16">
        <v>271</v>
      </c>
      <c r="B275" s="17" t="s">
        <v>2285</v>
      </c>
      <c r="C275" s="17" t="s">
        <v>2286</v>
      </c>
      <c r="D275" s="18" t="s">
        <v>1584</v>
      </c>
      <c r="E275" s="19">
        <f>[4]Summary!E274</f>
        <v>0.85</v>
      </c>
      <c r="F275" s="52">
        <f>[4]Summary!F274</f>
        <v>1</v>
      </c>
      <c r="G275" s="20">
        <f t="shared" si="4"/>
        <v>0.85</v>
      </c>
      <c r="H275" s="20" t="s">
        <v>5408</v>
      </c>
    </row>
    <row r="276" spans="1:8" ht="21">
      <c r="A276" s="21">
        <v>272</v>
      </c>
      <c r="B276" s="22" t="s">
        <v>2287</v>
      </c>
      <c r="C276" s="22" t="s">
        <v>2288</v>
      </c>
      <c r="D276" s="23" t="s">
        <v>1584</v>
      </c>
      <c r="E276" s="24">
        <f>[4]Summary!E275</f>
        <v>1.75</v>
      </c>
      <c r="F276" s="25">
        <f>[4]Summary!F275</f>
        <v>0</v>
      </c>
      <c r="G276" s="26">
        <f t="shared" si="4"/>
        <v>0</v>
      </c>
      <c r="H276" s="26" t="s">
        <v>5408</v>
      </c>
    </row>
    <row r="277" spans="1:8" ht="21">
      <c r="A277" s="16">
        <v>273</v>
      </c>
      <c r="B277" s="17" t="s">
        <v>2289</v>
      </c>
      <c r="C277" s="17" t="s">
        <v>2290</v>
      </c>
      <c r="D277" s="18" t="s">
        <v>1584</v>
      </c>
      <c r="E277" s="19">
        <f>[4]Summary!E276</f>
        <v>0.5</v>
      </c>
      <c r="F277" s="52">
        <f>[4]Summary!F276</f>
        <v>9</v>
      </c>
      <c r="G277" s="20">
        <f t="shared" si="4"/>
        <v>4.5</v>
      </c>
      <c r="H277" s="20" t="s">
        <v>5408</v>
      </c>
    </row>
    <row r="278" spans="1:8" ht="21">
      <c r="A278" s="21">
        <v>274</v>
      </c>
      <c r="B278" s="22" t="s">
        <v>2291</v>
      </c>
      <c r="C278" s="22" t="s">
        <v>2292</v>
      </c>
      <c r="D278" s="23" t="s">
        <v>1584</v>
      </c>
      <c r="E278" s="24">
        <f>[4]Summary!E277</f>
        <v>5</v>
      </c>
      <c r="F278" s="25">
        <f>[4]Summary!F277</f>
        <v>9</v>
      </c>
      <c r="G278" s="26">
        <f t="shared" si="4"/>
        <v>45</v>
      </c>
      <c r="H278" s="26" t="s">
        <v>5408</v>
      </c>
    </row>
    <row r="279" spans="1:8" ht="21">
      <c r="A279" s="16">
        <v>275</v>
      </c>
      <c r="B279" s="17" t="s">
        <v>2293</v>
      </c>
      <c r="C279" s="17" t="s">
        <v>2294</v>
      </c>
      <c r="D279" s="18" t="s">
        <v>1584</v>
      </c>
      <c r="E279" s="19">
        <f>[4]Summary!E278</f>
        <v>6.5</v>
      </c>
      <c r="F279" s="52">
        <f>[4]Summary!F278</f>
        <v>22</v>
      </c>
      <c r="G279" s="20">
        <f t="shared" si="4"/>
        <v>143</v>
      </c>
      <c r="H279" s="20" t="s">
        <v>5408</v>
      </c>
    </row>
    <row r="280" spans="1:8" ht="42">
      <c r="A280" s="21">
        <v>276</v>
      </c>
      <c r="B280" s="22" t="s">
        <v>2295</v>
      </c>
      <c r="C280" s="22" t="s">
        <v>2296</v>
      </c>
      <c r="D280" s="23" t="s">
        <v>1584</v>
      </c>
      <c r="E280" s="24">
        <f>[4]Summary!E279</f>
        <v>2.5</v>
      </c>
      <c r="F280" s="25">
        <f>[4]Summary!F279</f>
        <v>0</v>
      </c>
      <c r="G280" s="26">
        <f t="shared" si="4"/>
        <v>0</v>
      </c>
      <c r="H280" s="26" t="s">
        <v>5406</v>
      </c>
    </row>
    <row r="281" spans="1:8" ht="42">
      <c r="A281" s="16">
        <v>277</v>
      </c>
      <c r="B281" s="17" t="s">
        <v>2297</v>
      </c>
      <c r="C281" s="17" t="s">
        <v>2298</v>
      </c>
      <c r="D281" s="18" t="s">
        <v>1584</v>
      </c>
      <c r="E281" s="19">
        <f>[4]Summary!E280</f>
        <v>0</v>
      </c>
      <c r="F281" s="52">
        <f>[4]Summary!F280</f>
        <v>0</v>
      </c>
      <c r="G281" s="20">
        <f t="shared" si="4"/>
        <v>0</v>
      </c>
      <c r="H281" s="20" t="s">
        <v>5406</v>
      </c>
    </row>
    <row r="282" spans="1:8" ht="21">
      <c r="A282" s="21">
        <v>278</v>
      </c>
      <c r="B282" s="22" t="s">
        <v>2299</v>
      </c>
      <c r="C282" s="22" t="s">
        <v>2300</v>
      </c>
      <c r="D282" s="23" t="s">
        <v>1584</v>
      </c>
      <c r="E282" s="24">
        <f>[4]Summary!E281</f>
        <v>1.56</v>
      </c>
      <c r="F282" s="25">
        <f>[4]Summary!F281</f>
        <v>0</v>
      </c>
      <c r="G282" s="26">
        <f t="shared" si="4"/>
        <v>0</v>
      </c>
      <c r="H282" s="26" t="s">
        <v>5406</v>
      </c>
    </row>
    <row r="283" spans="1:8" ht="42">
      <c r="A283" s="16">
        <v>279</v>
      </c>
      <c r="B283" s="17" t="s">
        <v>2301</v>
      </c>
      <c r="C283" s="17" t="s">
        <v>2302</v>
      </c>
      <c r="D283" s="18" t="s">
        <v>1584</v>
      </c>
      <c r="E283" s="19">
        <f>[4]Summary!E282</f>
        <v>0.75</v>
      </c>
      <c r="F283" s="52">
        <f>[4]Summary!F282</f>
        <v>0</v>
      </c>
      <c r="G283" s="20">
        <f t="shared" si="4"/>
        <v>0</v>
      </c>
      <c r="H283" s="20" t="s">
        <v>5406</v>
      </c>
    </row>
    <row r="284" spans="1:8" ht="42">
      <c r="A284" s="21">
        <v>280</v>
      </c>
      <c r="B284" s="22" t="s">
        <v>2303</v>
      </c>
      <c r="C284" s="22" t="s">
        <v>2304</v>
      </c>
      <c r="D284" s="23" t="s">
        <v>1584</v>
      </c>
      <c r="E284" s="24">
        <f>[4]Summary!E283</f>
        <v>1</v>
      </c>
      <c r="F284" s="25">
        <f>[4]Summary!F283</f>
        <v>0</v>
      </c>
      <c r="G284" s="26">
        <f t="shared" si="4"/>
        <v>0</v>
      </c>
      <c r="H284" s="26" t="s">
        <v>5406</v>
      </c>
    </row>
    <row r="285" spans="1:8" ht="21">
      <c r="A285" s="16">
        <v>281</v>
      </c>
      <c r="B285" s="17" t="s">
        <v>2305</v>
      </c>
      <c r="C285" s="17" t="s">
        <v>2306</v>
      </c>
      <c r="D285" s="18" t="s">
        <v>1584</v>
      </c>
      <c r="E285" s="19">
        <f>[4]Summary!E284</f>
        <v>0.95</v>
      </c>
      <c r="F285" s="52">
        <f>[4]Summary!F284</f>
        <v>1505</v>
      </c>
      <c r="G285" s="20">
        <f t="shared" si="4"/>
        <v>1429.75</v>
      </c>
      <c r="H285" s="20" t="s">
        <v>5406</v>
      </c>
    </row>
    <row r="286" spans="1:8" ht="21">
      <c r="A286" s="21">
        <v>282</v>
      </c>
      <c r="B286" s="22" t="s">
        <v>2307</v>
      </c>
      <c r="C286" s="22" t="s">
        <v>2308</v>
      </c>
      <c r="D286" s="23" t="s">
        <v>1584</v>
      </c>
      <c r="E286" s="24">
        <f>[4]Summary!E285</f>
        <v>2</v>
      </c>
      <c r="F286" s="25">
        <f>[4]Summary!F285</f>
        <v>53</v>
      </c>
      <c r="G286" s="26">
        <f t="shared" si="4"/>
        <v>106</v>
      </c>
      <c r="H286" s="26" t="s">
        <v>5406</v>
      </c>
    </row>
    <row r="287" spans="1:8" ht="21">
      <c r="A287" s="16">
        <v>283</v>
      </c>
      <c r="B287" s="17" t="s">
        <v>2309</v>
      </c>
      <c r="C287" s="17" t="s">
        <v>2310</v>
      </c>
      <c r="D287" s="18" t="s">
        <v>1584</v>
      </c>
      <c r="E287" s="19">
        <f>[4]Summary!E286</f>
        <v>3.77</v>
      </c>
      <c r="F287" s="52">
        <f>[4]Summary!F286</f>
        <v>2</v>
      </c>
      <c r="G287" s="20">
        <f t="shared" si="4"/>
        <v>7.54</v>
      </c>
      <c r="H287" s="20" t="s">
        <v>5406</v>
      </c>
    </row>
    <row r="288" spans="1:8" ht="21">
      <c r="A288" s="21">
        <v>284</v>
      </c>
      <c r="B288" s="22" t="s">
        <v>2311</v>
      </c>
      <c r="C288" s="22" t="s">
        <v>2312</v>
      </c>
      <c r="D288" s="23" t="s">
        <v>1584</v>
      </c>
      <c r="E288" s="24">
        <f>[4]Summary!E287</f>
        <v>10</v>
      </c>
      <c r="F288" s="25">
        <f>[4]Summary!F287</f>
        <v>41</v>
      </c>
      <c r="G288" s="26">
        <f t="shared" si="4"/>
        <v>410</v>
      </c>
      <c r="H288" s="26" t="s">
        <v>5406</v>
      </c>
    </row>
    <row r="289" spans="1:8" ht="21">
      <c r="A289" s="16">
        <v>285</v>
      </c>
      <c r="B289" s="17" t="s">
        <v>2313</v>
      </c>
      <c r="C289" s="17" t="s">
        <v>2314</v>
      </c>
      <c r="D289" s="18" t="s">
        <v>1584</v>
      </c>
      <c r="E289" s="19">
        <f>[4]Summary!E288</f>
        <v>4.76</v>
      </c>
      <c r="F289" s="52">
        <f>[4]Summary!F288</f>
        <v>0</v>
      </c>
      <c r="G289" s="20">
        <f t="shared" si="4"/>
        <v>0</v>
      </c>
      <c r="H289" s="20" t="s">
        <v>5408</v>
      </c>
    </row>
    <row r="290" spans="1:8" ht="21">
      <c r="A290" s="21">
        <v>286</v>
      </c>
      <c r="B290" s="22" t="s">
        <v>2315</v>
      </c>
      <c r="C290" s="22" t="s">
        <v>2316</v>
      </c>
      <c r="D290" s="23" t="s">
        <v>1584</v>
      </c>
      <c r="E290" s="24">
        <f>[4]Summary!E289</f>
        <v>5</v>
      </c>
      <c r="F290" s="25">
        <f>[4]Summary!F289</f>
        <v>0</v>
      </c>
      <c r="G290" s="26">
        <f t="shared" si="4"/>
        <v>0</v>
      </c>
      <c r="H290" s="26" t="s">
        <v>5408</v>
      </c>
    </row>
    <row r="291" spans="1:8" ht="42">
      <c r="A291" s="16">
        <v>287</v>
      </c>
      <c r="B291" s="17" t="s">
        <v>2317</v>
      </c>
      <c r="C291" s="17" t="s">
        <v>2318</v>
      </c>
      <c r="D291" s="18" t="s">
        <v>1584</v>
      </c>
      <c r="E291" s="19">
        <f>[4]Summary!E290</f>
        <v>0</v>
      </c>
      <c r="F291" s="52">
        <f>[4]Summary!F290</f>
        <v>12</v>
      </c>
      <c r="G291" s="20">
        <f t="shared" si="4"/>
        <v>0</v>
      </c>
      <c r="H291" s="20" t="s">
        <v>5408</v>
      </c>
    </row>
    <row r="292" spans="1:8" ht="42">
      <c r="A292" s="21">
        <v>288</v>
      </c>
      <c r="B292" s="22" t="s">
        <v>2319</v>
      </c>
      <c r="C292" s="22" t="s">
        <v>2320</v>
      </c>
      <c r="D292" s="23" t="s">
        <v>1584</v>
      </c>
      <c r="E292" s="24">
        <f>[4]Summary!E291</f>
        <v>0</v>
      </c>
      <c r="F292" s="25">
        <f>[4]Summary!F291</f>
        <v>26</v>
      </c>
      <c r="G292" s="26">
        <f t="shared" si="4"/>
        <v>0</v>
      </c>
      <c r="H292" s="26" t="s">
        <v>5408</v>
      </c>
    </row>
    <row r="293" spans="1:8" ht="42">
      <c r="A293" s="16">
        <v>289</v>
      </c>
      <c r="B293" s="17" t="s">
        <v>2321</v>
      </c>
      <c r="C293" s="17" t="s">
        <v>2322</v>
      </c>
      <c r="D293" s="18" t="s">
        <v>1584</v>
      </c>
      <c r="E293" s="19">
        <f>[4]Summary!E292</f>
        <v>0</v>
      </c>
      <c r="F293" s="52">
        <f>[4]Summary!F292</f>
        <v>5</v>
      </c>
      <c r="G293" s="20">
        <f t="shared" si="4"/>
        <v>0</v>
      </c>
      <c r="H293" s="20" t="s">
        <v>5408</v>
      </c>
    </row>
    <row r="294" spans="1:8" ht="42">
      <c r="A294" s="21">
        <v>290</v>
      </c>
      <c r="B294" s="22" t="s">
        <v>2323</v>
      </c>
      <c r="C294" s="22" t="s">
        <v>2324</v>
      </c>
      <c r="D294" s="23" t="s">
        <v>1584</v>
      </c>
      <c r="E294" s="24">
        <f>[4]Summary!E293</f>
        <v>0</v>
      </c>
      <c r="F294" s="25">
        <f>[4]Summary!F293</f>
        <v>3</v>
      </c>
      <c r="G294" s="26">
        <f t="shared" si="4"/>
        <v>0</v>
      </c>
      <c r="H294" s="26" t="s">
        <v>5408</v>
      </c>
    </row>
    <row r="295" spans="1:8" ht="42">
      <c r="A295" s="16">
        <v>291</v>
      </c>
      <c r="B295" s="17" t="s">
        <v>2325</v>
      </c>
      <c r="C295" s="17" t="s">
        <v>2326</v>
      </c>
      <c r="D295" s="18" t="s">
        <v>1584</v>
      </c>
      <c r="E295" s="19">
        <f>[4]Summary!E294</f>
        <v>0</v>
      </c>
      <c r="F295" s="52">
        <f>[4]Summary!F294</f>
        <v>6</v>
      </c>
      <c r="G295" s="20">
        <f t="shared" si="4"/>
        <v>0</v>
      </c>
      <c r="H295" s="20" t="s">
        <v>5408</v>
      </c>
    </row>
    <row r="296" spans="1:8" ht="21">
      <c r="A296" s="21">
        <v>292</v>
      </c>
      <c r="B296" s="22" t="s">
        <v>2327</v>
      </c>
      <c r="C296" s="22" t="s">
        <v>2328</v>
      </c>
      <c r="D296" s="23" t="s">
        <v>1584</v>
      </c>
      <c r="E296" s="24">
        <f>[4]Summary!E295</f>
        <v>0</v>
      </c>
      <c r="F296" s="25">
        <f>[4]Summary!F295</f>
        <v>1</v>
      </c>
      <c r="G296" s="26">
        <f t="shared" si="4"/>
        <v>0</v>
      </c>
      <c r="H296" s="26" t="s">
        <v>5408</v>
      </c>
    </row>
    <row r="297" spans="1:8" ht="42">
      <c r="A297" s="16">
        <v>293</v>
      </c>
      <c r="B297" s="17" t="s">
        <v>2329</v>
      </c>
      <c r="C297" s="17" t="s">
        <v>2330</v>
      </c>
      <c r="D297" s="18" t="s">
        <v>1584</v>
      </c>
      <c r="E297" s="19">
        <f>[4]Summary!E296</f>
        <v>0</v>
      </c>
      <c r="F297" s="52">
        <f>[4]Summary!F296</f>
        <v>3</v>
      </c>
      <c r="G297" s="20">
        <f t="shared" si="4"/>
        <v>0</v>
      </c>
      <c r="H297" s="20" t="s">
        <v>5408</v>
      </c>
    </row>
    <row r="298" spans="1:8" ht="21">
      <c r="A298" s="21">
        <v>294</v>
      </c>
      <c r="B298" s="22" t="s">
        <v>2331</v>
      </c>
      <c r="C298" s="22" t="s">
        <v>2332</v>
      </c>
      <c r="D298" s="23" t="s">
        <v>1584</v>
      </c>
      <c r="E298" s="24">
        <f>[4]Summary!E297</f>
        <v>0</v>
      </c>
      <c r="F298" s="25">
        <f>[4]Summary!F297</f>
        <v>1</v>
      </c>
      <c r="G298" s="26">
        <f t="shared" si="4"/>
        <v>0</v>
      </c>
      <c r="H298" s="26" t="s">
        <v>5408</v>
      </c>
    </row>
    <row r="299" spans="1:8" ht="42">
      <c r="A299" s="16">
        <v>295</v>
      </c>
      <c r="B299" s="17" t="s">
        <v>2333</v>
      </c>
      <c r="C299" s="17" t="s">
        <v>2334</v>
      </c>
      <c r="D299" s="18" t="s">
        <v>1584</v>
      </c>
      <c r="E299" s="19">
        <f>[4]Summary!E298</f>
        <v>0</v>
      </c>
      <c r="F299" s="52">
        <f>[4]Summary!F298</f>
        <v>7</v>
      </c>
      <c r="G299" s="20">
        <f t="shared" si="4"/>
        <v>0</v>
      </c>
      <c r="H299" s="20" t="s">
        <v>5408</v>
      </c>
    </row>
    <row r="300" spans="1:8" ht="21">
      <c r="A300" s="21">
        <v>296</v>
      </c>
      <c r="B300" s="22" t="s">
        <v>2335</v>
      </c>
      <c r="C300" s="22" t="s">
        <v>2336</v>
      </c>
      <c r="D300" s="23" t="s">
        <v>1584</v>
      </c>
      <c r="E300" s="24">
        <f>[4]Summary!E299</f>
        <v>1.55</v>
      </c>
      <c r="F300" s="25">
        <f>[4]Summary!F299</f>
        <v>22</v>
      </c>
      <c r="G300" s="26">
        <f t="shared" si="4"/>
        <v>34.1</v>
      </c>
      <c r="H300" s="26" t="s">
        <v>5406</v>
      </c>
    </row>
    <row r="301" spans="1:8" ht="21">
      <c r="A301" s="16">
        <v>297</v>
      </c>
      <c r="B301" s="17" t="s">
        <v>2337</v>
      </c>
      <c r="C301" s="17" t="s">
        <v>2338</v>
      </c>
      <c r="D301" s="18" t="s">
        <v>1584</v>
      </c>
      <c r="E301" s="19">
        <f>[4]Summary!E300</f>
        <v>1.7</v>
      </c>
      <c r="F301" s="52">
        <f>[4]Summary!F300</f>
        <v>1</v>
      </c>
      <c r="G301" s="20">
        <f t="shared" si="4"/>
        <v>1.7</v>
      </c>
      <c r="H301" s="20" t="s">
        <v>5406</v>
      </c>
    </row>
    <row r="302" spans="1:8" ht="21">
      <c r="A302" s="21">
        <v>298</v>
      </c>
      <c r="B302" s="22" t="s">
        <v>2339</v>
      </c>
      <c r="C302" s="22" t="s">
        <v>2340</v>
      </c>
      <c r="D302" s="23" t="s">
        <v>1584</v>
      </c>
      <c r="E302" s="24">
        <f>[4]Summary!E301</f>
        <v>2.4</v>
      </c>
      <c r="F302" s="25">
        <f>[4]Summary!F301</f>
        <v>1</v>
      </c>
      <c r="G302" s="26">
        <f t="shared" si="4"/>
        <v>2.4</v>
      </c>
      <c r="H302" s="26" t="s">
        <v>5406</v>
      </c>
    </row>
    <row r="303" spans="1:8" ht="21">
      <c r="A303" s="16">
        <v>299</v>
      </c>
      <c r="B303" s="17" t="s">
        <v>2341</v>
      </c>
      <c r="C303" s="17" t="s">
        <v>2342</v>
      </c>
      <c r="D303" s="18" t="s">
        <v>1584</v>
      </c>
      <c r="E303" s="19">
        <f>[4]Summary!E302</f>
        <v>2</v>
      </c>
      <c r="F303" s="52">
        <f>[4]Summary!F302</f>
        <v>0</v>
      </c>
      <c r="G303" s="20">
        <f t="shared" si="4"/>
        <v>0</v>
      </c>
      <c r="H303" s="20" t="s">
        <v>5406</v>
      </c>
    </row>
    <row r="304" spans="1:8" ht="21">
      <c r="A304" s="21">
        <v>300</v>
      </c>
      <c r="B304" s="22" t="s">
        <v>2343</v>
      </c>
      <c r="C304" s="22" t="s">
        <v>2344</v>
      </c>
      <c r="D304" s="23" t="s">
        <v>1584</v>
      </c>
      <c r="E304" s="24">
        <f>[4]Summary!E303</f>
        <v>1.86</v>
      </c>
      <c r="F304" s="25">
        <f>[4]Summary!F303</f>
        <v>0</v>
      </c>
      <c r="G304" s="26">
        <f t="shared" si="4"/>
        <v>0</v>
      </c>
      <c r="H304" s="26" t="s">
        <v>5406</v>
      </c>
    </row>
    <row r="305" spans="1:8" ht="21">
      <c r="A305" s="16">
        <v>301</v>
      </c>
      <c r="B305" s="17" t="s">
        <v>2345</v>
      </c>
      <c r="C305" s="17" t="s">
        <v>2346</v>
      </c>
      <c r="D305" s="18" t="s">
        <v>1584</v>
      </c>
      <c r="E305" s="19">
        <f>[4]Summary!E304</f>
        <v>1.55</v>
      </c>
      <c r="F305" s="52">
        <f>[4]Summary!F304</f>
        <v>0</v>
      </c>
      <c r="G305" s="20">
        <f t="shared" si="4"/>
        <v>0</v>
      </c>
      <c r="H305" s="20" t="s">
        <v>5406</v>
      </c>
    </row>
    <row r="306" spans="1:8" ht="42">
      <c r="A306" s="21">
        <v>302</v>
      </c>
      <c r="B306" s="22" t="s">
        <v>2347</v>
      </c>
      <c r="C306" s="22" t="s">
        <v>2348</v>
      </c>
      <c r="D306" s="23" t="s">
        <v>1584</v>
      </c>
      <c r="E306" s="24">
        <f>[4]Summary!E305</f>
        <v>9.1</v>
      </c>
      <c r="F306" s="25">
        <f>[4]Summary!F305</f>
        <v>12</v>
      </c>
      <c r="G306" s="26">
        <f t="shared" si="4"/>
        <v>109.19999999999999</v>
      </c>
      <c r="H306" s="26" t="s">
        <v>5408</v>
      </c>
    </row>
    <row r="307" spans="1:8" ht="42">
      <c r="A307" s="16">
        <v>303</v>
      </c>
      <c r="B307" s="17" t="s">
        <v>2349</v>
      </c>
      <c r="C307" s="17" t="s">
        <v>2350</v>
      </c>
      <c r="D307" s="18" t="s">
        <v>1584</v>
      </c>
      <c r="E307" s="19">
        <f>[4]Summary!E306</f>
        <v>5.55</v>
      </c>
      <c r="F307" s="52">
        <f>[4]Summary!F306</f>
        <v>15</v>
      </c>
      <c r="G307" s="20">
        <f t="shared" si="4"/>
        <v>83.25</v>
      </c>
      <c r="H307" s="20" t="s">
        <v>5406</v>
      </c>
    </row>
    <row r="308" spans="1:8" ht="21">
      <c r="A308" s="21">
        <v>304</v>
      </c>
      <c r="B308" s="22" t="s">
        <v>2351</v>
      </c>
      <c r="C308" s="22" t="s">
        <v>2352</v>
      </c>
      <c r="D308" s="23" t="s">
        <v>1584</v>
      </c>
      <c r="E308" s="24">
        <f>[4]Summary!E307</f>
        <v>2.91</v>
      </c>
      <c r="F308" s="25">
        <f>[4]Summary!F307</f>
        <v>387</v>
      </c>
      <c r="G308" s="26">
        <f t="shared" si="4"/>
        <v>1126.17</v>
      </c>
      <c r="H308" s="26" t="s">
        <v>5406</v>
      </c>
    </row>
    <row r="309" spans="1:8" ht="21">
      <c r="A309" s="16">
        <v>305</v>
      </c>
      <c r="B309" s="17" t="s">
        <v>2353</v>
      </c>
      <c r="C309" s="17" t="s">
        <v>2354</v>
      </c>
      <c r="D309" s="18" t="s">
        <v>1584</v>
      </c>
      <c r="E309" s="19">
        <f>[4]Summary!E308</f>
        <v>8</v>
      </c>
      <c r="F309" s="52">
        <f>[4]Summary!F308</f>
        <v>0</v>
      </c>
      <c r="G309" s="20">
        <f t="shared" si="4"/>
        <v>0</v>
      </c>
      <c r="H309" s="20" t="s">
        <v>5408</v>
      </c>
    </row>
    <row r="310" spans="1:8" ht="21">
      <c r="A310" s="21">
        <v>306</v>
      </c>
      <c r="B310" s="22" t="s">
        <v>2355</v>
      </c>
      <c r="C310" s="22" t="s">
        <v>2356</v>
      </c>
      <c r="D310" s="23" t="s">
        <v>1584</v>
      </c>
      <c r="E310" s="24">
        <f>[4]Summary!E309</f>
        <v>13.51</v>
      </c>
      <c r="F310" s="25">
        <f>[4]Summary!F309</f>
        <v>0</v>
      </c>
      <c r="G310" s="26">
        <f t="shared" si="4"/>
        <v>0</v>
      </c>
      <c r="H310" s="26" t="s">
        <v>5408</v>
      </c>
    </row>
    <row r="311" spans="1:8" ht="21">
      <c r="A311" s="16">
        <v>307</v>
      </c>
      <c r="B311" s="17" t="s">
        <v>2357</v>
      </c>
      <c r="C311" s="17" t="s">
        <v>2358</v>
      </c>
      <c r="D311" s="18" t="s">
        <v>1584</v>
      </c>
      <c r="E311" s="19">
        <f>[4]Summary!E310</f>
        <v>7</v>
      </c>
      <c r="F311" s="52">
        <f>[4]Summary!F310</f>
        <v>0</v>
      </c>
      <c r="G311" s="20">
        <f t="shared" si="4"/>
        <v>0</v>
      </c>
      <c r="H311" s="20" t="s">
        <v>5408</v>
      </c>
    </row>
    <row r="312" spans="1:8" ht="21">
      <c r="A312" s="21">
        <v>308</v>
      </c>
      <c r="B312" s="22" t="s">
        <v>2359</v>
      </c>
      <c r="C312" s="22" t="s">
        <v>2360</v>
      </c>
      <c r="D312" s="23" t="s">
        <v>1584</v>
      </c>
      <c r="E312" s="24">
        <f>[4]Summary!E311</f>
        <v>250</v>
      </c>
      <c r="F312" s="25">
        <f>[4]Summary!F311</f>
        <v>0</v>
      </c>
      <c r="G312" s="26">
        <f t="shared" si="4"/>
        <v>0</v>
      </c>
      <c r="H312" s="26" t="s">
        <v>5412</v>
      </c>
    </row>
    <row r="313" spans="1:8" ht="21">
      <c r="A313" s="16">
        <v>309</v>
      </c>
      <c r="B313" s="17" t="s">
        <v>2361</v>
      </c>
      <c r="C313" s="17" t="s">
        <v>2362</v>
      </c>
      <c r="D313" s="18" t="s">
        <v>1584</v>
      </c>
      <c r="E313" s="19">
        <f>[4]Summary!E312</f>
        <v>10</v>
      </c>
      <c r="F313" s="52">
        <f>[4]Summary!F312</f>
        <v>0</v>
      </c>
      <c r="G313" s="20">
        <f t="shared" si="4"/>
        <v>0</v>
      </c>
      <c r="H313" s="20" t="s">
        <v>5408</v>
      </c>
    </row>
    <row r="314" spans="1:8" ht="42">
      <c r="A314" s="21">
        <v>310</v>
      </c>
      <c r="B314" s="22" t="s">
        <v>2363</v>
      </c>
      <c r="C314" s="22" t="s">
        <v>2364</v>
      </c>
      <c r="D314" s="23" t="s">
        <v>1584</v>
      </c>
      <c r="E314" s="24">
        <f>[4]Summary!E313</f>
        <v>18</v>
      </c>
      <c r="F314" s="25">
        <f>[4]Summary!F313</f>
        <v>0</v>
      </c>
      <c r="G314" s="26">
        <f t="shared" si="4"/>
        <v>0</v>
      </c>
      <c r="H314" s="26" t="s">
        <v>5410</v>
      </c>
    </row>
    <row r="315" spans="1:8" ht="21">
      <c r="A315" s="16">
        <v>311</v>
      </c>
      <c r="B315" s="17" t="s">
        <v>2365</v>
      </c>
      <c r="C315" s="17" t="s">
        <v>2366</v>
      </c>
      <c r="D315" s="18" t="s">
        <v>1584</v>
      </c>
      <c r="E315" s="19">
        <f>[4]Summary!E314</f>
        <v>11.62</v>
      </c>
      <c r="F315" s="52">
        <f>[4]Summary!F314</f>
        <v>0</v>
      </c>
      <c r="G315" s="20">
        <f t="shared" si="4"/>
        <v>0</v>
      </c>
      <c r="H315" s="20" t="s">
        <v>5408</v>
      </c>
    </row>
    <row r="316" spans="1:8" ht="42">
      <c r="A316" s="21">
        <v>312</v>
      </c>
      <c r="B316" s="22" t="s">
        <v>2363</v>
      </c>
      <c r="C316" s="22" t="s">
        <v>2367</v>
      </c>
      <c r="D316" s="23" t="s">
        <v>1584</v>
      </c>
      <c r="E316" s="24">
        <f>[4]Summary!E315</f>
        <v>20</v>
      </c>
      <c r="F316" s="25">
        <f>[4]Summary!F315</f>
        <v>0</v>
      </c>
      <c r="G316" s="26">
        <f t="shared" si="4"/>
        <v>0</v>
      </c>
      <c r="H316" s="26" t="s">
        <v>5410</v>
      </c>
    </row>
    <row r="317" spans="1:8" ht="21">
      <c r="A317" s="16">
        <v>313</v>
      </c>
      <c r="B317" s="17" t="s">
        <v>2368</v>
      </c>
      <c r="C317" s="17" t="s">
        <v>2369</v>
      </c>
      <c r="D317" s="18" t="s">
        <v>1584</v>
      </c>
      <c r="E317" s="19">
        <f>[4]Summary!E316</f>
        <v>2</v>
      </c>
      <c r="F317" s="52">
        <f>[4]Summary!F316</f>
        <v>0</v>
      </c>
      <c r="G317" s="20">
        <f t="shared" si="4"/>
        <v>0</v>
      </c>
      <c r="H317" s="20" t="s">
        <v>5408</v>
      </c>
    </row>
    <row r="318" spans="1:8" ht="42">
      <c r="A318" s="21">
        <v>314</v>
      </c>
      <c r="B318" s="22" t="s">
        <v>2370</v>
      </c>
      <c r="C318" s="22" t="s">
        <v>2371</v>
      </c>
      <c r="D318" s="23" t="s">
        <v>1584</v>
      </c>
      <c r="E318" s="24">
        <f>[4]Summary!E317</f>
        <v>15</v>
      </c>
      <c r="F318" s="25">
        <f>[4]Summary!F317</f>
        <v>0</v>
      </c>
      <c r="G318" s="26">
        <f t="shared" si="4"/>
        <v>0</v>
      </c>
      <c r="H318" s="26" t="s">
        <v>5412</v>
      </c>
    </row>
    <row r="319" spans="1:8" ht="42">
      <c r="A319" s="16">
        <v>315</v>
      </c>
      <c r="B319" s="17" t="s">
        <v>2372</v>
      </c>
      <c r="C319" s="17" t="s">
        <v>2373</v>
      </c>
      <c r="D319" s="18" t="s">
        <v>1584</v>
      </c>
      <c r="E319" s="19">
        <f>[4]Summary!E318</f>
        <v>35</v>
      </c>
      <c r="F319" s="52">
        <f>[4]Summary!F318</f>
        <v>0</v>
      </c>
      <c r="G319" s="20">
        <f t="shared" si="4"/>
        <v>0</v>
      </c>
      <c r="H319" s="20" t="s">
        <v>5412</v>
      </c>
    </row>
    <row r="320" spans="1:8" ht="42">
      <c r="A320" s="21">
        <v>316</v>
      </c>
      <c r="B320" s="22" t="s">
        <v>2374</v>
      </c>
      <c r="C320" s="22" t="s">
        <v>2375</v>
      </c>
      <c r="D320" s="23" t="s">
        <v>1584</v>
      </c>
      <c r="E320" s="24">
        <f>[4]Summary!E319</f>
        <v>12</v>
      </c>
      <c r="F320" s="25">
        <f>[4]Summary!F319</f>
        <v>0</v>
      </c>
      <c r="G320" s="26">
        <f t="shared" si="4"/>
        <v>0</v>
      </c>
      <c r="H320" s="26" t="s">
        <v>5412</v>
      </c>
    </row>
    <row r="321" spans="1:8" ht="42">
      <c r="A321" s="16">
        <v>317</v>
      </c>
      <c r="B321" s="17" t="s">
        <v>2376</v>
      </c>
      <c r="C321" s="17" t="s">
        <v>2377</v>
      </c>
      <c r="D321" s="18" t="s">
        <v>1584</v>
      </c>
      <c r="E321" s="19">
        <f>[4]Summary!E320</f>
        <v>12</v>
      </c>
      <c r="F321" s="52">
        <f>[4]Summary!F320</f>
        <v>0</v>
      </c>
      <c r="G321" s="20">
        <f t="shared" si="4"/>
        <v>0</v>
      </c>
      <c r="H321" s="20" t="s">
        <v>5412</v>
      </c>
    </row>
    <row r="322" spans="1:8" ht="42">
      <c r="A322" s="21">
        <v>318</v>
      </c>
      <c r="B322" s="22" t="s">
        <v>2378</v>
      </c>
      <c r="C322" s="22" t="s">
        <v>2379</v>
      </c>
      <c r="D322" s="23" t="s">
        <v>1584</v>
      </c>
      <c r="E322" s="24">
        <f>[4]Summary!E321</f>
        <v>20</v>
      </c>
      <c r="F322" s="25">
        <f>[4]Summary!F321</f>
        <v>0</v>
      </c>
      <c r="G322" s="26">
        <f t="shared" si="4"/>
        <v>0</v>
      </c>
      <c r="H322" s="26" t="s">
        <v>5412</v>
      </c>
    </row>
    <row r="323" spans="1:8" ht="21">
      <c r="A323" s="16">
        <v>319</v>
      </c>
      <c r="B323" s="17" t="s">
        <v>2380</v>
      </c>
      <c r="C323" s="17" t="s">
        <v>2381</v>
      </c>
      <c r="D323" s="18" t="s">
        <v>1584</v>
      </c>
      <c r="E323" s="19">
        <f>[4]Summary!E322</f>
        <v>30</v>
      </c>
      <c r="F323" s="52">
        <f>[4]Summary!F322</f>
        <v>0</v>
      </c>
      <c r="G323" s="20">
        <f t="shared" si="4"/>
        <v>0</v>
      </c>
      <c r="H323" s="20" t="s">
        <v>5411</v>
      </c>
    </row>
    <row r="324" spans="1:8" ht="42">
      <c r="A324" s="21">
        <v>320</v>
      </c>
      <c r="B324" s="22" t="s">
        <v>2382</v>
      </c>
      <c r="C324" s="22" t="s">
        <v>2383</v>
      </c>
      <c r="D324" s="23" t="s">
        <v>1584</v>
      </c>
      <c r="E324" s="24">
        <f>[4]Summary!E323</f>
        <v>20</v>
      </c>
      <c r="F324" s="25">
        <f>[4]Summary!F323</f>
        <v>0</v>
      </c>
      <c r="G324" s="26">
        <f t="shared" si="4"/>
        <v>0</v>
      </c>
      <c r="H324" s="26" t="s">
        <v>5410</v>
      </c>
    </row>
    <row r="325" spans="1:8" ht="21">
      <c r="A325" s="16">
        <v>321</v>
      </c>
      <c r="B325" s="17" t="s">
        <v>2384</v>
      </c>
      <c r="C325" s="17" t="s">
        <v>2385</v>
      </c>
      <c r="D325" s="18" t="s">
        <v>1584</v>
      </c>
      <c r="E325" s="19">
        <f>[4]Summary!E324</f>
        <v>13.99</v>
      </c>
      <c r="F325" s="52">
        <f>[4]Summary!F324</f>
        <v>0</v>
      </c>
      <c r="G325" s="20">
        <f t="shared" si="4"/>
        <v>0</v>
      </c>
      <c r="H325" s="20" t="s">
        <v>5416</v>
      </c>
    </row>
    <row r="326" spans="1:8" ht="21">
      <c r="A326" s="21">
        <v>322</v>
      </c>
      <c r="B326" s="22" t="s">
        <v>2386</v>
      </c>
      <c r="C326" s="22" t="s">
        <v>2387</v>
      </c>
      <c r="D326" s="23" t="s">
        <v>1584</v>
      </c>
      <c r="E326" s="24">
        <f>[4]Summary!E325</f>
        <v>7</v>
      </c>
      <c r="F326" s="25">
        <f>[4]Summary!F325</f>
        <v>0</v>
      </c>
      <c r="G326" s="26">
        <f t="shared" si="4"/>
        <v>0</v>
      </c>
      <c r="H326" s="26" t="s">
        <v>5408</v>
      </c>
    </row>
    <row r="327" spans="1:8" ht="21">
      <c r="A327" s="16">
        <v>323</v>
      </c>
      <c r="B327" s="17" t="s">
        <v>2388</v>
      </c>
      <c r="C327" s="17" t="s">
        <v>2389</v>
      </c>
      <c r="D327" s="18" t="s">
        <v>1584</v>
      </c>
      <c r="E327" s="19">
        <f>[4]Summary!E326</f>
        <v>12</v>
      </c>
      <c r="F327" s="52">
        <f>[4]Summary!F326</f>
        <v>14</v>
      </c>
      <c r="G327" s="20">
        <f t="shared" ref="G327:G390" si="5">E327*F327</f>
        <v>168</v>
      </c>
      <c r="H327" s="20" t="s">
        <v>5412</v>
      </c>
    </row>
    <row r="328" spans="1:8" ht="42">
      <c r="A328" s="21">
        <v>324</v>
      </c>
      <c r="B328" s="22" t="s">
        <v>2390</v>
      </c>
      <c r="C328" s="22" t="s">
        <v>2391</v>
      </c>
      <c r="D328" s="23" t="s">
        <v>1584</v>
      </c>
      <c r="E328" s="24">
        <f>[4]Summary!E327</f>
        <v>135</v>
      </c>
      <c r="F328" s="25">
        <f>[4]Summary!F327</f>
        <v>4</v>
      </c>
      <c r="G328" s="26">
        <f t="shared" si="5"/>
        <v>540</v>
      </c>
      <c r="H328" s="26" t="s">
        <v>5411</v>
      </c>
    </row>
    <row r="329" spans="1:8" ht="21">
      <c r="A329" s="16">
        <v>325</v>
      </c>
      <c r="B329" s="17" t="s">
        <v>2392</v>
      </c>
      <c r="C329" s="17" t="s">
        <v>2393</v>
      </c>
      <c r="D329" s="18" t="s">
        <v>1584</v>
      </c>
      <c r="E329" s="19">
        <f>[4]Summary!E328</f>
        <v>13</v>
      </c>
      <c r="F329" s="52">
        <f>[4]Summary!F328</f>
        <v>0</v>
      </c>
      <c r="G329" s="20">
        <f t="shared" si="5"/>
        <v>0</v>
      </c>
      <c r="H329" s="20" t="s">
        <v>5412</v>
      </c>
    </row>
    <row r="330" spans="1:8" ht="21">
      <c r="A330" s="21">
        <v>326</v>
      </c>
      <c r="B330" s="22" t="s">
        <v>2394</v>
      </c>
      <c r="C330" s="22" t="s">
        <v>2395</v>
      </c>
      <c r="D330" s="23" t="s">
        <v>1584</v>
      </c>
      <c r="E330" s="24">
        <f>[4]Summary!E329</f>
        <v>0.9375</v>
      </c>
      <c r="F330" s="25">
        <f>[4]Summary!F329</f>
        <v>84</v>
      </c>
      <c r="G330" s="26">
        <f t="shared" si="5"/>
        <v>78.75</v>
      </c>
      <c r="H330" s="26" t="s">
        <v>5418</v>
      </c>
    </row>
    <row r="331" spans="1:8" ht="42">
      <c r="A331" s="16">
        <v>327</v>
      </c>
      <c r="B331" s="17" t="s">
        <v>2396</v>
      </c>
      <c r="C331" s="17" t="s">
        <v>2397</v>
      </c>
      <c r="D331" s="18" t="s">
        <v>1584</v>
      </c>
      <c r="E331" s="19">
        <f>[4]Summary!E330</f>
        <v>5</v>
      </c>
      <c r="F331" s="52">
        <f>[4]Summary!F330</f>
        <v>163</v>
      </c>
      <c r="G331" s="20">
        <f t="shared" si="5"/>
        <v>815</v>
      </c>
      <c r="H331" s="20" t="s">
        <v>5418</v>
      </c>
    </row>
    <row r="332" spans="1:8" ht="42">
      <c r="A332" s="21">
        <v>328</v>
      </c>
      <c r="B332" s="22" t="s">
        <v>2398</v>
      </c>
      <c r="C332" s="22" t="s">
        <v>2399</v>
      </c>
      <c r="D332" s="23" t="s">
        <v>1584</v>
      </c>
      <c r="E332" s="24">
        <f>[4]Summary!E331</f>
        <v>5.5</v>
      </c>
      <c r="F332" s="25">
        <f>[4]Summary!F331</f>
        <v>52</v>
      </c>
      <c r="G332" s="26">
        <f t="shared" si="5"/>
        <v>286</v>
      </c>
      <c r="H332" s="26" t="s">
        <v>5418</v>
      </c>
    </row>
    <row r="333" spans="1:8" ht="42">
      <c r="A333" s="16">
        <v>329</v>
      </c>
      <c r="B333" s="17" t="s">
        <v>2400</v>
      </c>
      <c r="C333" s="17" t="s">
        <v>2401</v>
      </c>
      <c r="D333" s="18" t="s">
        <v>1584</v>
      </c>
      <c r="E333" s="19">
        <f>[4]Summary!E332</f>
        <v>28</v>
      </c>
      <c r="F333" s="52">
        <f>[4]Summary!F332</f>
        <v>0</v>
      </c>
      <c r="G333" s="20">
        <f t="shared" si="5"/>
        <v>0</v>
      </c>
      <c r="H333" s="20" t="s">
        <v>5418</v>
      </c>
    </row>
    <row r="334" spans="1:8" ht="42">
      <c r="A334" s="21">
        <v>330</v>
      </c>
      <c r="B334" s="22" t="s">
        <v>2402</v>
      </c>
      <c r="C334" s="22" t="s">
        <v>2403</v>
      </c>
      <c r="D334" s="23" t="s">
        <v>1584</v>
      </c>
      <c r="E334" s="24">
        <f>[4]Summary!E333</f>
        <v>20</v>
      </c>
      <c r="F334" s="25">
        <f>[4]Summary!F333</f>
        <v>0</v>
      </c>
      <c r="G334" s="26">
        <f t="shared" si="5"/>
        <v>0</v>
      </c>
      <c r="H334" s="26" t="s">
        <v>5418</v>
      </c>
    </row>
    <row r="335" spans="1:8" ht="21">
      <c r="A335" s="16">
        <v>331</v>
      </c>
      <c r="B335" s="17" t="s">
        <v>2404</v>
      </c>
      <c r="C335" s="17" t="s">
        <v>2405</v>
      </c>
      <c r="D335" s="18" t="s">
        <v>1584</v>
      </c>
      <c r="E335" s="19">
        <f>[4]Summary!E334</f>
        <v>13.65</v>
      </c>
      <c r="F335" s="52">
        <f>[4]Summary!F334</f>
        <v>0</v>
      </c>
      <c r="G335" s="20">
        <f t="shared" si="5"/>
        <v>0</v>
      </c>
      <c r="H335" s="20" t="s">
        <v>5412</v>
      </c>
    </row>
    <row r="336" spans="1:8" ht="42">
      <c r="A336" s="21">
        <v>332</v>
      </c>
      <c r="B336" s="22" t="s">
        <v>2406</v>
      </c>
      <c r="C336" s="22" t="s">
        <v>2407</v>
      </c>
      <c r="D336" s="23" t="s">
        <v>1584</v>
      </c>
      <c r="E336" s="24">
        <f>[4]Summary!E335</f>
        <v>9.8000000000000007</v>
      </c>
      <c r="F336" s="25">
        <f>[4]Summary!F335</f>
        <v>0</v>
      </c>
      <c r="G336" s="26">
        <f t="shared" si="5"/>
        <v>0</v>
      </c>
      <c r="H336" s="26" t="s">
        <v>5416</v>
      </c>
    </row>
    <row r="337" spans="1:8" ht="42">
      <c r="A337" s="16">
        <v>333</v>
      </c>
      <c r="B337" s="17" t="s">
        <v>2408</v>
      </c>
      <c r="C337" s="17" t="s">
        <v>2409</v>
      </c>
      <c r="D337" s="18" t="s">
        <v>1584</v>
      </c>
      <c r="E337" s="19">
        <f>[4]Summary!E336</f>
        <v>42.5</v>
      </c>
      <c r="F337" s="52">
        <f>[4]Summary!F336</f>
        <v>0</v>
      </c>
      <c r="G337" s="20">
        <f t="shared" si="5"/>
        <v>0</v>
      </c>
      <c r="H337" s="20" t="s">
        <v>5416</v>
      </c>
    </row>
    <row r="338" spans="1:8" ht="21">
      <c r="A338" s="21">
        <v>334</v>
      </c>
      <c r="B338" s="22" t="s">
        <v>2410</v>
      </c>
      <c r="C338" s="22" t="s">
        <v>2411</v>
      </c>
      <c r="D338" s="23" t="s">
        <v>1584</v>
      </c>
      <c r="E338" s="24">
        <f>[4]Summary!E337</f>
        <v>0.68899999999999995</v>
      </c>
      <c r="F338" s="25">
        <f>[4]Summary!F337</f>
        <v>0</v>
      </c>
      <c r="G338" s="26">
        <f t="shared" si="5"/>
        <v>0</v>
      </c>
      <c r="H338" s="26" t="s">
        <v>5410</v>
      </c>
    </row>
    <row r="339" spans="1:8" ht="21">
      <c r="A339" s="16">
        <v>335</v>
      </c>
      <c r="B339" s="17" t="s">
        <v>2412</v>
      </c>
      <c r="C339" s="17" t="s">
        <v>2413</v>
      </c>
      <c r="D339" s="18" t="s">
        <v>1584</v>
      </c>
      <c r="E339" s="19">
        <f>[4]Summary!E338</f>
        <v>0.27</v>
      </c>
      <c r="F339" s="52">
        <f>[4]Summary!F338</f>
        <v>0</v>
      </c>
      <c r="G339" s="20">
        <f t="shared" si="5"/>
        <v>0</v>
      </c>
      <c r="H339" s="20" t="s">
        <v>5416</v>
      </c>
    </row>
    <row r="340" spans="1:8" ht="21">
      <c r="A340" s="21">
        <v>336</v>
      </c>
      <c r="B340" s="22" t="s">
        <v>2414</v>
      </c>
      <c r="C340" s="22" t="s">
        <v>2415</v>
      </c>
      <c r="D340" s="23" t="s">
        <v>1584</v>
      </c>
      <c r="E340" s="24">
        <f>[4]Summary!E339</f>
        <v>2.2999999999999998</v>
      </c>
      <c r="F340" s="25">
        <f>[4]Summary!F339</f>
        <v>0</v>
      </c>
      <c r="G340" s="26">
        <f t="shared" si="5"/>
        <v>0</v>
      </c>
      <c r="H340" s="26" t="s">
        <v>5410</v>
      </c>
    </row>
    <row r="341" spans="1:8" ht="21">
      <c r="A341" s="16">
        <v>337</v>
      </c>
      <c r="B341" s="17" t="s">
        <v>2416</v>
      </c>
      <c r="C341" s="17" t="s">
        <v>2417</v>
      </c>
      <c r="D341" s="18" t="s">
        <v>1584</v>
      </c>
      <c r="E341" s="19">
        <f>[4]Summary!E340</f>
        <v>3</v>
      </c>
      <c r="F341" s="52">
        <f>[4]Summary!F340</f>
        <v>0</v>
      </c>
      <c r="G341" s="20">
        <f t="shared" si="5"/>
        <v>0</v>
      </c>
      <c r="H341" s="20" t="s">
        <v>5410</v>
      </c>
    </row>
    <row r="342" spans="1:8" ht="21">
      <c r="A342" s="21">
        <v>338</v>
      </c>
      <c r="B342" s="22" t="s">
        <v>2418</v>
      </c>
      <c r="C342" s="22" t="s">
        <v>2419</v>
      </c>
      <c r="D342" s="23" t="s">
        <v>2420</v>
      </c>
      <c r="E342" s="24">
        <f>[4]Summary!E341</f>
        <v>3.35</v>
      </c>
      <c r="F342" s="25">
        <f>[4]Summary!F341</f>
        <v>0</v>
      </c>
      <c r="G342" s="26">
        <f t="shared" si="5"/>
        <v>0</v>
      </c>
      <c r="H342" s="26" t="s">
        <v>5416</v>
      </c>
    </row>
    <row r="343" spans="1:8" ht="21">
      <c r="A343" s="16">
        <v>339</v>
      </c>
      <c r="B343" s="17" t="s">
        <v>2421</v>
      </c>
      <c r="C343" s="17" t="s">
        <v>2422</v>
      </c>
      <c r="D343" s="18" t="s">
        <v>2420</v>
      </c>
      <c r="E343" s="19">
        <f>[4]Summary!E342</f>
        <v>12.5</v>
      </c>
      <c r="F343" s="52">
        <f>[4]Summary!F342</f>
        <v>0</v>
      </c>
      <c r="G343" s="20">
        <f t="shared" si="5"/>
        <v>0</v>
      </c>
      <c r="H343" s="20" t="s">
        <v>5416</v>
      </c>
    </row>
    <row r="344" spans="1:8" ht="21">
      <c r="A344" s="21">
        <v>340</v>
      </c>
      <c r="B344" s="22" t="s">
        <v>2423</v>
      </c>
      <c r="C344" s="22" t="s">
        <v>2424</v>
      </c>
      <c r="D344" s="23" t="s">
        <v>2420</v>
      </c>
      <c r="E344" s="24">
        <f>[4]Summary!E343</f>
        <v>44.22</v>
      </c>
      <c r="F344" s="25">
        <f>[4]Summary!F343</f>
        <v>0</v>
      </c>
      <c r="G344" s="26">
        <f t="shared" si="5"/>
        <v>0</v>
      </c>
      <c r="H344" s="26" t="s">
        <v>5416</v>
      </c>
    </row>
    <row r="345" spans="1:8" ht="21">
      <c r="A345" s="16">
        <v>341</v>
      </c>
      <c r="B345" s="17" t="s">
        <v>2425</v>
      </c>
      <c r="C345" s="17" t="s">
        <v>2426</v>
      </c>
      <c r="D345" s="18" t="s">
        <v>2420</v>
      </c>
      <c r="E345" s="19">
        <f>[4]Summary!E344</f>
        <v>23.5</v>
      </c>
      <c r="F345" s="52">
        <f>[4]Summary!F344</f>
        <v>2</v>
      </c>
      <c r="G345" s="20">
        <f t="shared" si="5"/>
        <v>47</v>
      </c>
      <c r="H345" s="20" t="s">
        <v>5416</v>
      </c>
    </row>
    <row r="346" spans="1:8" ht="21">
      <c r="A346" s="21">
        <v>342</v>
      </c>
      <c r="B346" s="22" t="s">
        <v>2427</v>
      </c>
      <c r="C346" s="22" t="s">
        <v>2428</v>
      </c>
      <c r="D346" s="23" t="s">
        <v>2420</v>
      </c>
      <c r="E346" s="24">
        <f>[4]Summary!E345</f>
        <v>10.5</v>
      </c>
      <c r="F346" s="25">
        <f>[4]Summary!F345</f>
        <v>0</v>
      </c>
      <c r="G346" s="26">
        <f t="shared" si="5"/>
        <v>0</v>
      </c>
      <c r="H346" s="26" t="s">
        <v>5416</v>
      </c>
    </row>
    <row r="347" spans="1:8" ht="42">
      <c r="A347" s="16">
        <v>343</v>
      </c>
      <c r="B347" s="17" t="s">
        <v>2429</v>
      </c>
      <c r="C347" s="17" t="s">
        <v>2430</v>
      </c>
      <c r="D347" s="18" t="s">
        <v>2420</v>
      </c>
      <c r="E347" s="19">
        <f>[4]Summary!E346</f>
        <v>0.75</v>
      </c>
      <c r="F347" s="52">
        <f>[4]Summary!F346</f>
        <v>60.3</v>
      </c>
      <c r="G347" s="20">
        <f t="shared" si="5"/>
        <v>45.224999999999994</v>
      </c>
      <c r="H347" s="20" t="s">
        <v>5416</v>
      </c>
    </row>
    <row r="348" spans="1:8" ht="42">
      <c r="A348" s="21">
        <v>344</v>
      </c>
      <c r="B348" s="22" t="s">
        <v>2431</v>
      </c>
      <c r="C348" s="22" t="s">
        <v>2432</v>
      </c>
      <c r="D348" s="23" t="s">
        <v>1584</v>
      </c>
      <c r="E348" s="24">
        <f>[4]Summary!E347</f>
        <v>6</v>
      </c>
      <c r="F348" s="25">
        <f>[4]Summary!F347</f>
        <v>0</v>
      </c>
      <c r="G348" s="26">
        <f t="shared" si="5"/>
        <v>0</v>
      </c>
      <c r="H348" s="26" t="s">
        <v>5418</v>
      </c>
    </row>
    <row r="349" spans="1:8" ht="21">
      <c r="A349" s="16">
        <v>345</v>
      </c>
      <c r="B349" s="17" t="s">
        <v>2433</v>
      </c>
      <c r="C349" s="17" t="s">
        <v>2434</v>
      </c>
      <c r="D349" s="18" t="s">
        <v>1584</v>
      </c>
      <c r="E349" s="19">
        <f>[4]Summary!E348</f>
        <v>1.5</v>
      </c>
      <c r="F349" s="52">
        <f>[4]Summary!F348</f>
        <v>50</v>
      </c>
      <c r="G349" s="20">
        <f t="shared" si="5"/>
        <v>75</v>
      </c>
      <c r="H349" s="20" t="s">
        <v>5418</v>
      </c>
    </row>
    <row r="350" spans="1:8" ht="42">
      <c r="A350" s="21">
        <v>346</v>
      </c>
      <c r="B350" s="22" t="s">
        <v>2435</v>
      </c>
      <c r="C350" s="22" t="s">
        <v>2436</v>
      </c>
      <c r="D350" s="23" t="s">
        <v>1584</v>
      </c>
      <c r="E350" s="24">
        <f>[4]Summary!E349</f>
        <v>3.42</v>
      </c>
      <c r="F350" s="25">
        <f>[4]Summary!F349</f>
        <v>0</v>
      </c>
      <c r="G350" s="26">
        <f t="shared" si="5"/>
        <v>0</v>
      </c>
      <c r="H350" s="26" t="s">
        <v>5418</v>
      </c>
    </row>
    <row r="351" spans="1:8" ht="42">
      <c r="A351" s="16">
        <v>347</v>
      </c>
      <c r="B351" s="17" t="s">
        <v>2437</v>
      </c>
      <c r="C351" s="17" t="s">
        <v>2438</v>
      </c>
      <c r="D351" s="18" t="s">
        <v>1584</v>
      </c>
      <c r="E351" s="19">
        <f>[4]Summary!E350</f>
        <v>4</v>
      </c>
      <c r="F351" s="52">
        <f>[4]Summary!F350</f>
        <v>0</v>
      </c>
      <c r="G351" s="20">
        <f t="shared" si="5"/>
        <v>0</v>
      </c>
      <c r="H351" s="20" t="s">
        <v>5418</v>
      </c>
    </row>
    <row r="352" spans="1:8" ht="21">
      <c r="A352" s="21">
        <v>348</v>
      </c>
      <c r="B352" s="22" t="s">
        <v>2439</v>
      </c>
      <c r="C352" s="22" t="s">
        <v>2440</v>
      </c>
      <c r="D352" s="23" t="s">
        <v>2420</v>
      </c>
      <c r="E352" s="24">
        <f>[4]Summary!E351</f>
        <v>1.67</v>
      </c>
      <c r="F352" s="25">
        <f>[4]Summary!F351</f>
        <v>0</v>
      </c>
      <c r="G352" s="26">
        <f t="shared" si="5"/>
        <v>0</v>
      </c>
      <c r="H352" s="26" t="s">
        <v>5416</v>
      </c>
    </row>
    <row r="353" spans="1:8" ht="42">
      <c r="A353" s="16">
        <v>349</v>
      </c>
      <c r="B353" s="17" t="s">
        <v>2441</v>
      </c>
      <c r="C353" s="17" t="s">
        <v>2442</v>
      </c>
      <c r="D353" s="18" t="s">
        <v>1584</v>
      </c>
      <c r="E353" s="19">
        <f>[4]Summary!E352</f>
        <v>0</v>
      </c>
      <c r="F353" s="52">
        <f>[4]Summary!F352</f>
        <v>90</v>
      </c>
      <c r="G353" s="20">
        <f t="shared" si="5"/>
        <v>0</v>
      </c>
      <c r="H353" s="20" t="s">
        <v>5416</v>
      </c>
    </row>
    <row r="354" spans="1:8" ht="21">
      <c r="A354" s="21">
        <v>350</v>
      </c>
      <c r="B354" s="22" t="s">
        <v>2443</v>
      </c>
      <c r="C354" s="22" t="s">
        <v>2444</v>
      </c>
      <c r="D354" s="23" t="s">
        <v>1584</v>
      </c>
      <c r="E354" s="24">
        <f>[4]Summary!E353</f>
        <v>10</v>
      </c>
      <c r="F354" s="25">
        <f>[4]Summary!F353</f>
        <v>0</v>
      </c>
      <c r="G354" s="26">
        <f t="shared" si="5"/>
        <v>0</v>
      </c>
      <c r="H354" s="26" t="s">
        <v>5411</v>
      </c>
    </row>
    <row r="355" spans="1:8" ht="21">
      <c r="A355" s="16">
        <v>351</v>
      </c>
      <c r="B355" s="17" t="s">
        <v>2445</v>
      </c>
      <c r="C355" s="17" t="s">
        <v>2446</v>
      </c>
      <c r="D355" s="18" t="s">
        <v>1584</v>
      </c>
      <c r="E355" s="19">
        <f>[4]Summary!E354</f>
        <v>1</v>
      </c>
      <c r="F355" s="52">
        <f>[4]Summary!F354</f>
        <v>0</v>
      </c>
      <c r="G355" s="20">
        <f t="shared" si="5"/>
        <v>0</v>
      </c>
      <c r="H355" s="20" t="s">
        <v>5411</v>
      </c>
    </row>
    <row r="356" spans="1:8" ht="21">
      <c r="A356" s="21">
        <v>352</v>
      </c>
      <c r="B356" s="22" t="s">
        <v>2447</v>
      </c>
      <c r="C356" s="22" t="s">
        <v>2448</v>
      </c>
      <c r="D356" s="23" t="s">
        <v>1584</v>
      </c>
      <c r="E356" s="24">
        <f>[4]Summary!E355</f>
        <v>1.5</v>
      </c>
      <c r="F356" s="25">
        <f>[4]Summary!F355</f>
        <v>277</v>
      </c>
      <c r="G356" s="26">
        <f t="shared" si="5"/>
        <v>415.5</v>
      </c>
      <c r="H356" s="26" t="s">
        <v>5416</v>
      </c>
    </row>
    <row r="357" spans="1:8" ht="21">
      <c r="A357" s="16">
        <v>353</v>
      </c>
      <c r="B357" s="17" t="s">
        <v>2449</v>
      </c>
      <c r="C357" s="17" t="s">
        <v>2450</v>
      </c>
      <c r="D357" s="18" t="s">
        <v>1584</v>
      </c>
      <c r="E357" s="19">
        <f>[4]Summary!E356</f>
        <v>2</v>
      </c>
      <c r="F357" s="52">
        <f>[4]Summary!F356</f>
        <v>0</v>
      </c>
      <c r="G357" s="20">
        <f t="shared" si="5"/>
        <v>0</v>
      </c>
      <c r="H357" s="20" t="s">
        <v>5416</v>
      </c>
    </row>
    <row r="358" spans="1:8" ht="42">
      <c r="A358" s="21">
        <v>354</v>
      </c>
      <c r="B358" s="22" t="s">
        <v>2451</v>
      </c>
      <c r="C358" s="22" t="s">
        <v>2452</v>
      </c>
      <c r="D358" s="23" t="s">
        <v>1584</v>
      </c>
      <c r="E358" s="24">
        <f>[4]Summary!E357</f>
        <v>2</v>
      </c>
      <c r="F358" s="25">
        <f>[4]Summary!F357</f>
        <v>67</v>
      </c>
      <c r="G358" s="26">
        <f t="shared" si="5"/>
        <v>134</v>
      </c>
      <c r="H358" s="26" t="s">
        <v>5416</v>
      </c>
    </row>
    <row r="359" spans="1:8" ht="21">
      <c r="A359" s="16">
        <v>355</v>
      </c>
      <c r="B359" s="17" t="s">
        <v>2453</v>
      </c>
      <c r="C359" s="17" t="s">
        <v>2454</v>
      </c>
      <c r="D359" s="18" t="s">
        <v>1584</v>
      </c>
      <c r="E359" s="19">
        <f>[4]Summary!E358</f>
        <v>10</v>
      </c>
      <c r="F359" s="52">
        <f>[4]Summary!F358</f>
        <v>0</v>
      </c>
      <c r="G359" s="20">
        <f t="shared" si="5"/>
        <v>0</v>
      </c>
      <c r="H359" s="20" t="s">
        <v>5416</v>
      </c>
    </row>
    <row r="360" spans="1:8" ht="21">
      <c r="A360" s="21">
        <v>356</v>
      </c>
      <c r="B360" s="22" t="s">
        <v>2455</v>
      </c>
      <c r="C360" s="22" t="s">
        <v>2456</v>
      </c>
      <c r="D360" s="23" t="s">
        <v>1584</v>
      </c>
      <c r="E360" s="24">
        <f>[4]Summary!E359</f>
        <v>33.299999999999997</v>
      </c>
      <c r="F360" s="25">
        <f>[4]Summary!F359</f>
        <v>0</v>
      </c>
      <c r="G360" s="26">
        <f t="shared" si="5"/>
        <v>0</v>
      </c>
      <c r="H360" s="26" t="s">
        <v>5416</v>
      </c>
    </row>
    <row r="361" spans="1:8" ht="21">
      <c r="A361" s="16">
        <v>357</v>
      </c>
      <c r="B361" s="17" t="s">
        <v>2457</v>
      </c>
      <c r="C361" s="17" t="s">
        <v>2458</v>
      </c>
      <c r="D361" s="18" t="s">
        <v>1584</v>
      </c>
      <c r="E361" s="19">
        <f>[4]Summary!E360</f>
        <v>4.7699999999999996</v>
      </c>
      <c r="F361" s="52">
        <f>[4]Summary!F360</f>
        <v>0</v>
      </c>
      <c r="G361" s="20">
        <f t="shared" si="5"/>
        <v>0</v>
      </c>
      <c r="H361" s="20" t="s">
        <v>5416</v>
      </c>
    </row>
    <row r="362" spans="1:8" ht="21">
      <c r="A362" s="21">
        <v>358</v>
      </c>
      <c r="B362" s="22" t="s">
        <v>2459</v>
      </c>
      <c r="C362" s="22" t="s">
        <v>2460</v>
      </c>
      <c r="D362" s="23" t="s">
        <v>1584</v>
      </c>
      <c r="E362" s="24">
        <f>[4]Summary!E361</f>
        <v>4</v>
      </c>
      <c r="F362" s="25">
        <f>[4]Summary!F361</f>
        <v>1</v>
      </c>
      <c r="G362" s="26">
        <f t="shared" si="5"/>
        <v>4</v>
      </c>
      <c r="H362" s="26" t="s">
        <v>5416</v>
      </c>
    </row>
    <row r="363" spans="1:8" ht="21">
      <c r="A363" s="16">
        <v>359</v>
      </c>
      <c r="B363" s="17" t="s">
        <v>2461</v>
      </c>
      <c r="C363" s="17" t="s">
        <v>2462</v>
      </c>
      <c r="D363" s="18" t="s">
        <v>1584</v>
      </c>
      <c r="E363" s="19">
        <f>[4]Summary!E362</f>
        <v>1.35</v>
      </c>
      <c r="F363" s="52">
        <f>[4]Summary!F362</f>
        <v>0</v>
      </c>
      <c r="G363" s="20">
        <f t="shared" si="5"/>
        <v>0</v>
      </c>
      <c r="H363" s="20" t="s">
        <v>5408</v>
      </c>
    </row>
    <row r="364" spans="1:8" ht="21">
      <c r="A364" s="21">
        <v>360</v>
      </c>
      <c r="B364" s="22" t="s">
        <v>2463</v>
      </c>
      <c r="C364" s="22" t="s">
        <v>2464</v>
      </c>
      <c r="D364" s="23" t="s">
        <v>1584</v>
      </c>
      <c r="E364" s="24">
        <f>[4]Summary!E363</f>
        <v>10</v>
      </c>
      <c r="F364" s="25">
        <f>[4]Summary!F363</f>
        <v>0</v>
      </c>
      <c r="G364" s="26">
        <f t="shared" si="5"/>
        <v>0</v>
      </c>
      <c r="H364" s="26" t="s">
        <v>5415</v>
      </c>
    </row>
    <row r="365" spans="1:8" ht="21">
      <c r="A365" s="16">
        <v>361</v>
      </c>
      <c r="B365" s="17" t="s">
        <v>2465</v>
      </c>
      <c r="C365" s="17" t="s">
        <v>2466</v>
      </c>
      <c r="D365" s="18" t="s">
        <v>1584</v>
      </c>
      <c r="E365" s="19">
        <f>[4]Summary!E364</f>
        <v>1</v>
      </c>
      <c r="F365" s="52">
        <f>[4]Summary!F364</f>
        <v>0</v>
      </c>
      <c r="G365" s="20">
        <f t="shared" si="5"/>
        <v>0</v>
      </c>
      <c r="H365" s="20" t="s">
        <v>5415</v>
      </c>
    </row>
    <row r="366" spans="1:8" ht="21">
      <c r="A366" s="21">
        <v>362</v>
      </c>
      <c r="B366" s="22" t="s">
        <v>2467</v>
      </c>
      <c r="C366" s="22" t="s">
        <v>2468</v>
      </c>
      <c r="D366" s="23" t="s">
        <v>1584</v>
      </c>
      <c r="E366" s="24">
        <f>[4]Summary!E365</f>
        <v>2.5</v>
      </c>
      <c r="F366" s="25">
        <f>[4]Summary!F365</f>
        <v>0</v>
      </c>
      <c r="G366" s="26">
        <f t="shared" si="5"/>
        <v>0</v>
      </c>
      <c r="H366" s="26" t="s">
        <v>5416</v>
      </c>
    </row>
    <row r="367" spans="1:8" ht="42">
      <c r="A367" s="16">
        <v>363</v>
      </c>
      <c r="B367" s="17" t="s">
        <v>2469</v>
      </c>
      <c r="C367" s="17" t="s">
        <v>2470</v>
      </c>
      <c r="D367" s="18" t="s">
        <v>1584</v>
      </c>
      <c r="E367" s="19">
        <f>[4]Summary!E366</f>
        <v>23.6</v>
      </c>
      <c r="F367" s="52">
        <f>[4]Summary!F366</f>
        <v>0</v>
      </c>
      <c r="G367" s="20">
        <f t="shared" si="5"/>
        <v>0</v>
      </c>
      <c r="H367" s="20" t="s">
        <v>5418</v>
      </c>
    </row>
    <row r="368" spans="1:8" ht="42">
      <c r="A368" s="21">
        <v>364</v>
      </c>
      <c r="B368" s="22" t="s">
        <v>2471</v>
      </c>
      <c r="C368" s="22" t="s">
        <v>2472</v>
      </c>
      <c r="D368" s="23" t="s">
        <v>1584</v>
      </c>
      <c r="E368" s="24">
        <f>[4]Summary!E367</f>
        <v>93</v>
      </c>
      <c r="F368" s="25">
        <f>[4]Summary!F367</f>
        <v>0</v>
      </c>
      <c r="G368" s="26">
        <f t="shared" si="5"/>
        <v>0</v>
      </c>
      <c r="H368" s="26" t="s">
        <v>5418</v>
      </c>
    </row>
    <row r="369" spans="1:8" ht="21">
      <c r="A369" s="16">
        <v>365</v>
      </c>
      <c r="B369" s="17" t="s">
        <v>5758</v>
      </c>
      <c r="C369" s="17" t="s">
        <v>5759</v>
      </c>
      <c r="D369" s="18" t="s">
        <v>1584</v>
      </c>
      <c r="E369" s="19">
        <f>[4]Summary!E368</f>
        <v>15</v>
      </c>
      <c r="F369" s="52">
        <f>[4]Summary!F368</f>
        <v>0</v>
      </c>
      <c r="G369" s="20">
        <f t="shared" si="5"/>
        <v>0</v>
      </c>
      <c r="H369" s="20" t="s">
        <v>5408</v>
      </c>
    </row>
    <row r="370" spans="1:8" ht="21">
      <c r="A370" s="21">
        <v>366</v>
      </c>
      <c r="B370" s="22" t="s">
        <v>5760</v>
      </c>
      <c r="C370" s="22" t="s">
        <v>5761</v>
      </c>
      <c r="D370" s="23" t="s">
        <v>1584</v>
      </c>
      <c r="E370" s="24">
        <f>[4]Summary!E369</f>
        <v>30</v>
      </c>
      <c r="F370" s="25">
        <f>[4]Summary!F369</f>
        <v>0</v>
      </c>
      <c r="G370" s="26">
        <f t="shared" si="5"/>
        <v>0</v>
      </c>
      <c r="H370" s="26" t="s">
        <v>5408</v>
      </c>
    </row>
    <row r="371" spans="1:8" ht="21">
      <c r="A371" s="16">
        <v>367</v>
      </c>
      <c r="B371" s="17" t="s">
        <v>5762</v>
      </c>
      <c r="C371" s="17" t="s">
        <v>5763</v>
      </c>
      <c r="D371" s="18" t="s">
        <v>1584</v>
      </c>
      <c r="E371" s="19">
        <f>[4]Summary!E370</f>
        <v>46</v>
      </c>
      <c r="F371" s="52">
        <f>[4]Summary!F370</f>
        <v>1</v>
      </c>
      <c r="G371" s="20">
        <f t="shared" si="5"/>
        <v>46</v>
      </c>
      <c r="H371" s="20" t="s">
        <v>5408</v>
      </c>
    </row>
    <row r="372" spans="1:8" ht="21">
      <c r="A372" s="21">
        <v>368</v>
      </c>
      <c r="B372" s="22" t="s">
        <v>5764</v>
      </c>
      <c r="C372" s="22" t="s">
        <v>5765</v>
      </c>
      <c r="D372" s="23" t="s">
        <v>1584</v>
      </c>
      <c r="E372" s="24">
        <f>[4]Summary!E371</f>
        <v>20</v>
      </c>
      <c r="F372" s="25">
        <f>[4]Summary!F371</f>
        <v>0</v>
      </c>
      <c r="G372" s="26">
        <f t="shared" si="5"/>
        <v>0</v>
      </c>
      <c r="H372" s="26" t="s">
        <v>5408</v>
      </c>
    </row>
    <row r="373" spans="1:8" ht="21">
      <c r="A373" s="16">
        <v>369</v>
      </c>
      <c r="B373" s="17" t="s">
        <v>2473</v>
      </c>
      <c r="C373" s="17" t="s">
        <v>2474</v>
      </c>
      <c r="D373" s="18" t="s">
        <v>1584</v>
      </c>
      <c r="E373" s="19">
        <f>[4]Summary!E372</f>
        <v>50</v>
      </c>
      <c r="F373" s="52">
        <f>[4]Summary!F372</f>
        <v>0</v>
      </c>
      <c r="G373" s="20">
        <f t="shared" si="5"/>
        <v>0</v>
      </c>
      <c r="H373" s="20" t="s">
        <v>5412</v>
      </c>
    </row>
    <row r="374" spans="1:8" ht="21">
      <c r="A374" s="21">
        <v>370</v>
      </c>
      <c r="B374" s="22" t="s">
        <v>2475</v>
      </c>
      <c r="C374" s="22" t="s">
        <v>2476</v>
      </c>
      <c r="D374" s="23" t="s">
        <v>1584</v>
      </c>
      <c r="E374" s="24">
        <f>[4]Summary!E373</f>
        <v>7</v>
      </c>
      <c r="F374" s="25">
        <f>[4]Summary!F373</f>
        <v>28</v>
      </c>
      <c r="G374" s="26">
        <f t="shared" si="5"/>
        <v>196</v>
      </c>
      <c r="H374" s="26" t="s">
        <v>5411</v>
      </c>
    </row>
    <row r="375" spans="1:8" ht="21">
      <c r="A375" s="16">
        <v>371</v>
      </c>
      <c r="B375" s="17" t="s">
        <v>2477</v>
      </c>
      <c r="C375" s="17" t="s">
        <v>2478</v>
      </c>
      <c r="D375" s="18" t="s">
        <v>1584</v>
      </c>
      <c r="E375" s="19">
        <f>[4]Summary!E374</f>
        <v>4</v>
      </c>
      <c r="F375" s="52">
        <f>[4]Summary!F374</f>
        <v>0</v>
      </c>
      <c r="G375" s="20">
        <f t="shared" si="5"/>
        <v>0</v>
      </c>
      <c r="H375" s="20" t="s">
        <v>5411</v>
      </c>
    </row>
    <row r="376" spans="1:8" ht="42">
      <c r="A376" s="21">
        <v>372</v>
      </c>
      <c r="B376" s="22" t="s">
        <v>2479</v>
      </c>
      <c r="C376" s="22" t="s">
        <v>2480</v>
      </c>
      <c r="D376" s="23" t="s">
        <v>1584</v>
      </c>
      <c r="E376" s="24">
        <f>[4]Summary!E375</f>
        <v>3.42</v>
      </c>
      <c r="F376" s="25">
        <f>[4]Summary!F375</f>
        <v>0</v>
      </c>
      <c r="G376" s="26">
        <f t="shared" si="5"/>
        <v>0</v>
      </c>
      <c r="H376" s="26" t="s">
        <v>5415</v>
      </c>
    </row>
    <row r="377" spans="1:8" ht="21">
      <c r="A377" s="16">
        <v>373</v>
      </c>
      <c r="B377" s="17" t="s">
        <v>2481</v>
      </c>
      <c r="C377" s="17" t="s">
        <v>2482</v>
      </c>
      <c r="D377" s="18" t="s">
        <v>1584</v>
      </c>
      <c r="E377" s="19">
        <f>[4]Summary!E376</f>
        <v>25</v>
      </c>
      <c r="F377" s="52">
        <f>[4]Summary!F376</f>
        <v>0</v>
      </c>
      <c r="G377" s="20">
        <f t="shared" si="5"/>
        <v>0</v>
      </c>
      <c r="H377" s="20" t="s">
        <v>5411</v>
      </c>
    </row>
    <row r="378" spans="1:8" ht="21">
      <c r="A378" s="21">
        <v>374</v>
      </c>
      <c r="B378" s="22" t="s">
        <v>2483</v>
      </c>
      <c r="C378" s="22" t="s">
        <v>2484</v>
      </c>
      <c r="D378" s="23" t="s">
        <v>1584</v>
      </c>
      <c r="E378" s="24">
        <f>[4]Summary!E377</f>
        <v>0</v>
      </c>
      <c r="F378" s="25">
        <f>[4]Summary!F377</f>
        <v>7</v>
      </c>
      <c r="G378" s="26">
        <f t="shared" si="5"/>
        <v>0</v>
      </c>
      <c r="H378" s="26" t="s">
        <v>5410</v>
      </c>
    </row>
    <row r="379" spans="1:8" ht="21">
      <c r="A379" s="16">
        <v>375</v>
      </c>
      <c r="B379" s="17" t="s">
        <v>2485</v>
      </c>
      <c r="C379" s="17" t="s">
        <v>2486</v>
      </c>
      <c r="D379" s="18" t="s">
        <v>1584</v>
      </c>
      <c r="E379" s="19">
        <f>[4]Summary!E378</f>
        <v>1.02</v>
      </c>
      <c r="F379" s="52">
        <f>[4]Summary!F378</f>
        <v>0</v>
      </c>
      <c r="G379" s="20">
        <f t="shared" si="5"/>
        <v>0</v>
      </c>
      <c r="H379" s="20" t="s">
        <v>5410</v>
      </c>
    </row>
    <row r="380" spans="1:8" ht="21">
      <c r="A380" s="21">
        <v>376</v>
      </c>
      <c r="B380" s="22" t="s">
        <v>2487</v>
      </c>
      <c r="C380" s="22" t="s">
        <v>2488</v>
      </c>
      <c r="D380" s="23" t="s">
        <v>1584</v>
      </c>
      <c r="E380" s="24">
        <f>[4]Summary!E379</f>
        <v>4.5</v>
      </c>
      <c r="F380" s="25">
        <f>[4]Summary!F379</f>
        <v>0</v>
      </c>
      <c r="G380" s="26">
        <f t="shared" si="5"/>
        <v>0</v>
      </c>
      <c r="H380" s="26" t="s">
        <v>5405</v>
      </c>
    </row>
    <row r="381" spans="1:8" ht="21">
      <c r="A381" s="16">
        <v>377</v>
      </c>
      <c r="B381" s="17" t="s">
        <v>2489</v>
      </c>
      <c r="C381" s="17" t="s">
        <v>2490</v>
      </c>
      <c r="D381" s="18" t="s">
        <v>1584</v>
      </c>
      <c r="E381" s="19">
        <f>[4]Summary!E380</f>
        <v>0</v>
      </c>
      <c r="F381" s="52">
        <f>[4]Summary!F380</f>
        <v>5</v>
      </c>
      <c r="G381" s="20">
        <f t="shared" si="5"/>
        <v>0</v>
      </c>
      <c r="H381" s="20" t="s">
        <v>5410</v>
      </c>
    </row>
    <row r="382" spans="1:8" ht="21">
      <c r="A382" s="21">
        <v>378</v>
      </c>
      <c r="B382" s="22" t="s">
        <v>2491</v>
      </c>
      <c r="C382" s="22" t="s">
        <v>2492</v>
      </c>
      <c r="D382" s="23" t="s">
        <v>1584</v>
      </c>
      <c r="E382" s="24">
        <f>[4]Summary!E381</f>
        <v>0</v>
      </c>
      <c r="F382" s="25">
        <f>[4]Summary!F381</f>
        <v>6</v>
      </c>
      <c r="G382" s="26">
        <f t="shared" si="5"/>
        <v>0</v>
      </c>
      <c r="H382" s="26" t="s">
        <v>5410</v>
      </c>
    </row>
    <row r="383" spans="1:8" ht="21">
      <c r="A383" s="16">
        <v>379</v>
      </c>
      <c r="B383" s="17" t="s">
        <v>2493</v>
      </c>
      <c r="C383" s="17" t="s">
        <v>2494</v>
      </c>
      <c r="D383" s="18" t="s">
        <v>1584</v>
      </c>
      <c r="E383" s="19">
        <f>[4]Summary!E382</f>
        <v>0</v>
      </c>
      <c r="F383" s="52">
        <f>[4]Summary!F382</f>
        <v>10</v>
      </c>
      <c r="G383" s="20">
        <f t="shared" si="5"/>
        <v>0</v>
      </c>
      <c r="H383" s="20" t="s">
        <v>5410</v>
      </c>
    </row>
    <row r="384" spans="1:8" ht="21">
      <c r="A384" s="21">
        <v>380</v>
      </c>
      <c r="B384" s="22" t="s">
        <v>2495</v>
      </c>
      <c r="C384" s="22" t="s">
        <v>2496</v>
      </c>
      <c r="D384" s="23" t="s">
        <v>1584</v>
      </c>
      <c r="E384" s="24">
        <f>[4]Summary!E383</f>
        <v>0.16</v>
      </c>
      <c r="F384" s="25">
        <f>[4]Summary!F383</f>
        <v>33</v>
      </c>
      <c r="G384" s="26">
        <f t="shared" si="5"/>
        <v>5.28</v>
      </c>
      <c r="H384" s="26" t="s">
        <v>5406</v>
      </c>
    </row>
    <row r="385" spans="1:8" ht="21">
      <c r="A385" s="16">
        <v>381</v>
      </c>
      <c r="B385" s="17" t="s">
        <v>2497</v>
      </c>
      <c r="C385" s="17" t="s">
        <v>2498</v>
      </c>
      <c r="D385" s="18" t="s">
        <v>1584</v>
      </c>
      <c r="E385" s="19">
        <f>[4]Summary!E384</f>
        <v>5.5</v>
      </c>
      <c r="F385" s="52">
        <f>[4]Summary!F384</f>
        <v>8</v>
      </c>
      <c r="G385" s="20">
        <f t="shared" si="5"/>
        <v>44</v>
      </c>
      <c r="H385" s="20" t="s">
        <v>5406</v>
      </c>
    </row>
    <row r="386" spans="1:8" ht="21">
      <c r="A386" s="21">
        <v>382</v>
      </c>
      <c r="B386" s="22" t="s">
        <v>2499</v>
      </c>
      <c r="C386" s="22" t="s">
        <v>2500</v>
      </c>
      <c r="D386" s="23" t="s">
        <v>1584</v>
      </c>
      <c r="E386" s="24">
        <f>[4]Summary!E385</f>
        <v>7</v>
      </c>
      <c r="F386" s="25">
        <f>[4]Summary!F385</f>
        <v>4</v>
      </c>
      <c r="G386" s="26">
        <f t="shared" si="5"/>
        <v>28</v>
      </c>
      <c r="H386" s="26" t="s">
        <v>5406</v>
      </c>
    </row>
    <row r="387" spans="1:8" ht="42">
      <c r="A387" s="16">
        <v>383</v>
      </c>
      <c r="B387" s="17" t="s">
        <v>2501</v>
      </c>
      <c r="C387" s="17" t="s">
        <v>2502</v>
      </c>
      <c r="D387" s="18" t="s">
        <v>1584</v>
      </c>
      <c r="E387" s="19">
        <f>[4]Summary!E386</f>
        <v>12</v>
      </c>
      <c r="F387" s="52">
        <f>[4]Summary!F386</f>
        <v>1</v>
      </c>
      <c r="G387" s="20">
        <f t="shared" si="5"/>
        <v>12</v>
      </c>
      <c r="H387" s="20" t="s">
        <v>5408</v>
      </c>
    </row>
    <row r="388" spans="1:8" ht="21">
      <c r="A388" s="21">
        <v>384</v>
      </c>
      <c r="B388" s="22" t="s">
        <v>2503</v>
      </c>
      <c r="C388" s="22" t="s">
        <v>2504</v>
      </c>
      <c r="D388" s="23" t="s">
        <v>1584</v>
      </c>
      <c r="E388" s="24">
        <f>[4]Summary!E387</f>
        <v>11.2</v>
      </c>
      <c r="F388" s="25">
        <f>[4]Summary!F387</f>
        <v>35</v>
      </c>
      <c r="G388" s="26">
        <f t="shared" si="5"/>
        <v>392</v>
      </c>
      <c r="H388" s="26" t="s">
        <v>5406</v>
      </c>
    </row>
    <row r="389" spans="1:8" ht="21">
      <c r="A389" s="16">
        <v>385</v>
      </c>
      <c r="B389" s="17" t="s">
        <v>2505</v>
      </c>
      <c r="C389" s="17" t="s">
        <v>2506</v>
      </c>
      <c r="D389" s="18" t="s">
        <v>1584</v>
      </c>
      <c r="E389" s="19">
        <f>[4]Summary!E388</f>
        <v>1.4</v>
      </c>
      <c r="F389" s="52">
        <f>[4]Summary!F388</f>
        <v>6</v>
      </c>
      <c r="G389" s="20">
        <f t="shared" si="5"/>
        <v>8.3999999999999986</v>
      </c>
      <c r="H389" s="20" t="s">
        <v>5406</v>
      </c>
    </row>
    <row r="390" spans="1:8" ht="21">
      <c r="A390" s="21">
        <v>386</v>
      </c>
      <c r="B390" s="22" t="s">
        <v>2505</v>
      </c>
      <c r="C390" s="22" t="s">
        <v>2507</v>
      </c>
      <c r="D390" s="23" t="s">
        <v>1584</v>
      </c>
      <c r="E390" s="24">
        <f>[4]Summary!E389</f>
        <v>0.33</v>
      </c>
      <c r="F390" s="25">
        <f>[4]Summary!F389</f>
        <v>2</v>
      </c>
      <c r="G390" s="26">
        <f t="shared" si="5"/>
        <v>0.66</v>
      </c>
      <c r="H390" s="26" t="s">
        <v>5406</v>
      </c>
    </row>
    <row r="391" spans="1:8" ht="21">
      <c r="A391" s="16">
        <v>387</v>
      </c>
      <c r="B391" s="17" t="s">
        <v>2508</v>
      </c>
      <c r="C391" s="17" t="s">
        <v>2509</v>
      </c>
      <c r="D391" s="18" t="s">
        <v>1584</v>
      </c>
      <c r="E391" s="19">
        <f>[4]Summary!E390</f>
        <v>1.5</v>
      </c>
      <c r="F391" s="52">
        <f>[4]Summary!F390</f>
        <v>38</v>
      </c>
      <c r="G391" s="20">
        <f t="shared" ref="G391:G454" si="6">E391*F391</f>
        <v>57</v>
      </c>
      <c r="H391" s="20" t="s">
        <v>5405</v>
      </c>
    </row>
    <row r="392" spans="1:8" ht="21">
      <c r="A392" s="21">
        <v>388</v>
      </c>
      <c r="B392" s="22" t="s">
        <v>2510</v>
      </c>
      <c r="C392" s="22" t="s">
        <v>2511</v>
      </c>
      <c r="D392" s="23" t="s">
        <v>1584</v>
      </c>
      <c r="E392" s="24">
        <f>[4]Summary!E391</f>
        <v>0</v>
      </c>
      <c r="F392" s="25">
        <f>[4]Summary!F391</f>
        <v>1</v>
      </c>
      <c r="G392" s="26">
        <f t="shared" si="6"/>
        <v>0</v>
      </c>
      <c r="H392" s="26" t="s">
        <v>5405</v>
      </c>
    </row>
    <row r="393" spans="1:8" ht="21">
      <c r="A393" s="16">
        <v>389</v>
      </c>
      <c r="B393" s="17" t="s">
        <v>2512</v>
      </c>
      <c r="C393" s="17" t="s">
        <v>2513</v>
      </c>
      <c r="D393" s="18" t="s">
        <v>1584</v>
      </c>
      <c r="E393" s="19">
        <f>[4]Summary!E392</f>
        <v>0</v>
      </c>
      <c r="F393" s="52">
        <f>[4]Summary!F392</f>
        <v>4</v>
      </c>
      <c r="G393" s="20">
        <f t="shared" si="6"/>
        <v>0</v>
      </c>
      <c r="H393" s="20" t="s">
        <v>5405</v>
      </c>
    </row>
    <row r="394" spans="1:8" ht="21">
      <c r="A394" s="21">
        <v>390</v>
      </c>
      <c r="B394" s="22" t="s">
        <v>2514</v>
      </c>
      <c r="C394" s="22" t="s">
        <v>2515</v>
      </c>
      <c r="D394" s="23" t="s">
        <v>1584</v>
      </c>
      <c r="E394" s="24">
        <f>[4]Summary!E393</f>
        <v>0</v>
      </c>
      <c r="F394" s="25">
        <f>[4]Summary!F393</f>
        <v>0</v>
      </c>
      <c r="G394" s="26">
        <f t="shared" si="6"/>
        <v>0</v>
      </c>
      <c r="H394" s="26" t="s">
        <v>5405</v>
      </c>
    </row>
    <row r="395" spans="1:8" ht="21">
      <c r="A395" s="16">
        <v>391</v>
      </c>
      <c r="B395" s="17" t="s">
        <v>2516</v>
      </c>
      <c r="C395" s="17" t="s">
        <v>2517</v>
      </c>
      <c r="D395" s="18" t="s">
        <v>1584</v>
      </c>
      <c r="E395" s="19">
        <f>[4]Summary!E394</f>
        <v>10</v>
      </c>
      <c r="F395" s="52">
        <f>[4]Summary!F394</f>
        <v>2</v>
      </c>
      <c r="G395" s="20">
        <f t="shared" si="6"/>
        <v>20</v>
      </c>
      <c r="H395" s="20" t="s">
        <v>5405</v>
      </c>
    </row>
    <row r="396" spans="1:8" ht="21">
      <c r="A396" s="21">
        <v>392</v>
      </c>
      <c r="B396" s="22" t="s">
        <v>2518</v>
      </c>
      <c r="C396" s="22" t="s">
        <v>2519</v>
      </c>
      <c r="D396" s="23" t="s">
        <v>1584</v>
      </c>
      <c r="E396" s="24">
        <f>[4]Summary!E395</f>
        <v>7</v>
      </c>
      <c r="F396" s="25">
        <f>[4]Summary!F395</f>
        <v>1</v>
      </c>
      <c r="G396" s="26">
        <f t="shared" si="6"/>
        <v>7</v>
      </c>
      <c r="H396" s="26" t="s">
        <v>5410</v>
      </c>
    </row>
    <row r="397" spans="1:8" ht="21">
      <c r="A397" s="16">
        <v>393</v>
      </c>
      <c r="B397" s="17" t="s">
        <v>2520</v>
      </c>
      <c r="C397" s="17" t="s">
        <v>2521</v>
      </c>
      <c r="D397" s="18" t="s">
        <v>1584</v>
      </c>
      <c r="E397" s="19">
        <f>[4]Summary!E396</f>
        <v>0.35</v>
      </c>
      <c r="F397" s="52">
        <f>[4]Summary!F396</f>
        <v>255</v>
      </c>
      <c r="G397" s="20">
        <f t="shared" si="6"/>
        <v>89.25</v>
      </c>
      <c r="H397" s="20" t="s">
        <v>5408</v>
      </c>
    </row>
    <row r="398" spans="1:8" ht="21">
      <c r="A398" s="21">
        <v>394</v>
      </c>
      <c r="B398" s="22" t="s">
        <v>2522</v>
      </c>
      <c r="C398" s="22" t="s">
        <v>2523</v>
      </c>
      <c r="D398" s="23" t="s">
        <v>1584</v>
      </c>
      <c r="E398" s="24">
        <f>[4]Summary!E397</f>
        <v>1.36</v>
      </c>
      <c r="F398" s="25">
        <f>[4]Summary!F397</f>
        <v>0</v>
      </c>
      <c r="G398" s="26">
        <f t="shared" si="6"/>
        <v>0</v>
      </c>
      <c r="H398" s="26" t="s">
        <v>5409</v>
      </c>
    </row>
    <row r="399" spans="1:8" ht="21">
      <c r="A399" s="16">
        <v>395</v>
      </c>
      <c r="B399" s="17" t="s">
        <v>2524</v>
      </c>
      <c r="C399" s="17" t="s">
        <v>2525</v>
      </c>
      <c r="D399" s="18" t="s">
        <v>1584</v>
      </c>
      <c r="E399" s="19">
        <f>[4]Summary!E398</f>
        <v>0.1</v>
      </c>
      <c r="F399" s="52">
        <f>[4]Summary!F398</f>
        <v>147</v>
      </c>
      <c r="G399" s="20">
        <f t="shared" si="6"/>
        <v>14.700000000000001</v>
      </c>
      <c r="H399" s="20" t="s">
        <v>5406</v>
      </c>
    </row>
    <row r="400" spans="1:8" ht="21">
      <c r="A400" s="21">
        <v>396</v>
      </c>
      <c r="B400" s="22" t="s">
        <v>2526</v>
      </c>
      <c r="C400" s="22" t="s">
        <v>2527</v>
      </c>
      <c r="D400" s="23" t="s">
        <v>1584</v>
      </c>
      <c r="E400" s="24">
        <f>[4]Summary!E399</f>
        <v>0.15</v>
      </c>
      <c r="F400" s="25">
        <f>[4]Summary!F399</f>
        <v>47</v>
      </c>
      <c r="G400" s="26">
        <f t="shared" si="6"/>
        <v>7.05</v>
      </c>
      <c r="H400" s="26" t="s">
        <v>5406</v>
      </c>
    </row>
    <row r="401" spans="1:8" ht="21">
      <c r="A401" s="16">
        <v>397</v>
      </c>
      <c r="B401" s="17" t="s">
        <v>2528</v>
      </c>
      <c r="C401" s="17" t="s">
        <v>2529</v>
      </c>
      <c r="D401" s="18" t="s">
        <v>1584</v>
      </c>
      <c r="E401" s="19">
        <f>[4]Summary!E400</f>
        <v>0.35</v>
      </c>
      <c r="F401" s="52">
        <f>[4]Summary!F400</f>
        <v>0</v>
      </c>
      <c r="G401" s="20">
        <f t="shared" si="6"/>
        <v>0</v>
      </c>
      <c r="H401" s="20" t="s">
        <v>5406</v>
      </c>
    </row>
    <row r="402" spans="1:8" ht="21">
      <c r="A402" s="21">
        <v>398</v>
      </c>
      <c r="B402" s="22" t="s">
        <v>2530</v>
      </c>
      <c r="C402" s="22" t="s">
        <v>2531</v>
      </c>
      <c r="D402" s="23" t="s">
        <v>1584</v>
      </c>
      <c r="E402" s="24">
        <f>[4]Summary!E401</f>
        <v>0</v>
      </c>
      <c r="F402" s="25">
        <f>[4]Summary!F401</f>
        <v>2</v>
      </c>
      <c r="G402" s="26">
        <f t="shared" si="6"/>
        <v>0</v>
      </c>
      <c r="H402" s="26" t="s">
        <v>5409</v>
      </c>
    </row>
    <row r="403" spans="1:8" ht="21">
      <c r="A403" s="16">
        <v>399</v>
      </c>
      <c r="B403" s="17" t="s">
        <v>2532</v>
      </c>
      <c r="C403" s="17" t="s">
        <v>2533</v>
      </c>
      <c r="D403" s="18" t="s">
        <v>1584</v>
      </c>
      <c r="E403" s="19">
        <f>[4]Summary!E402</f>
        <v>0.5</v>
      </c>
      <c r="F403" s="52">
        <f>[4]Summary!F402</f>
        <v>0</v>
      </c>
      <c r="G403" s="20">
        <f t="shared" si="6"/>
        <v>0</v>
      </c>
      <c r="H403" s="20" t="s">
        <v>5408</v>
      </c>
    </row>
    <row r="404" spans="1:8" ht="21">
      <c r="A404" s="21">
        <v>400</v>
      </c>
      <c r="B404" s="22" t="s">
        <v>2534</v>
      </c>
      <c r="C404" s="22" t="s">
        <v>2535</v>
      </c>
      <c r="D404" s="23" t="s">
        <v>1584</v>
      </c>
      <c r="E404" s="24">
        <f>[4]Summary!E403</f>
        <v>7</v>
      </c>
      <c r="F404" s="25">
        <f>[4]Summary!F403</f>
        <v>17</v>
      </c>
      <c r="G404" s="26">
        <f t="shared" si="6"/>
        <v>119</v>
      </c>
      <c r="H404" s="26" t="s">
        <v>5408</v>
      </c>
    </row>
    <row r="405" spans="1:8" ht="21">
      <c r="A405" s="16">
        <v>401</v>
      </c>
      <c r="B405" s="17" t="s">
        <v>2536</v>
      </c>
      <c r="C405" s="17" t="s">
        <v>2537</v>
      </c>
      <c r="D405" s="18" t="s">
        <v>1584</v>
      </c>
      <c r="E405" s="19">
        <f>[4]Summary!E404</f>
        <v>6.8</v>
      </c>
      <c r="F405" s="52">
        <f>[4]Summary!F404</f>
        <v>4</v>
      </c>
      <c r="G405" s="20">
        <f t="shared" si="6"/>
        <v>27.2</v>
      </c>
      <c r="H405" s="20" t="s">
        <v>5409</v>
      </c>
    </row>
    <row r="406" spans="1:8" ht="21">
      <c r="A406" s="21">
        <v>402</v>
      </c>
      <c r="B406" s="22" t="s">
        <v>2538</v>
      </c>
      <c r="C406" s="22" t="s">
        <v>2539</v>
      </c>
      <c r="D406" s="23" t="s">
        <v>1584</v>
      </c>
      <c r="E406" s="24">
        <f>[4]Summary!E405</f>
        <v>6.5</v>
      </c>
      <c r="F406" s="25">
        <f>[4]Summary!F405</f>
        <v>2</v>
      </c>
      <c r="G406" s="26">
        <f t="shared" si="6"/>
        <v>13</v>
      </c>
      <c r="H406" s="26" t="s">
        <v>5408</v>
      </c>
    </row>
    <row r="407" spans="1:8" ht="21">
      <c r="A407" s="16">
        <v>403</v>
      </c>
      <c r="B407" s="17" t="s">
        <v>2540</v>
      </c>
      <c r="C407" s="17" t="s">
        <v>2541</v>
      </c>
      <c r="D407" s="18" t="s">
        <v>1584</v>
      </c>
      <c r="E407" s="19">
        <f>[4]Summary!E406</f>
        <v>0.35</v>
      </c>
      <c r="F407" s="52">
        <f>[4]Summary!F406</f>
        <v>69</v>
      </c>
      <c r="G407" s="20">
        <f t="shared" si="6"/>
        <v>24.15</v>
      </c>
      <c r="H407" s="20" t="s">
        <v>5408</v>
      </c>
    </row>
    <row r="408" spans="1:8" ht="21">
      <c r="A408" s="21">
        <v>404</v>
      </c>
      <c r="B408" s="22" t="s">
        <v>2542</v>
      </c>
      <c r="C408" s="22" t="s">
        <v>2543</v>
      </c>
      <c r="D408" s="23" t="s">
        <v>1584</v>
      </c>
      <c r="E408" s="24">
        <f>[4]Summary!E407</f>
        <v>5</v>
      </c>
      <c r="F408" s="25">
        <f>[4]Summary!F407</f>
        <v>1</v>
      </c>
      <c r="G408" s="26">
        <f t="shared" si="6"/>
        <v>5</v>
      </c>
      <c r="H408" s="26" t="s">
        <v>5408</v>
      </c>
    </row>
    <row r="409" spans="1:8" ht="21">
      <c r="A409" s="16">
        <v>405</v>
      </c>
      <c r="B409" s="17" t="s">
        <v>2544</v>
      </c>
      <c r="C409" s="17" t="s">
        <v>2545</v>
      </c>
      <c r="D409" s="18" t="s">
        <v>1584</v>
      </c>
      <c r="E409" s="19">
        <f>[4]Summary!E408</f>
        <v>6</v>
      </c>
      <c r="F409" s="52">
        <f>[4]Summary!F408</f>
        <v>20</v>
      </c>
      <c r="G409" s="20">
        <f t="shared" si="6"/>
        <v>120</v>
      </c>
      <c r="H409" s="20" t="s">
        <v>5408</v>
      </c>
    </row>
    <row r="410" spans="1:8" ht="21">
      <c r="A410" s="21">
        <v>406</v>
      </c>
      <c r="B410" s="22" t="s">
        <v>2546</v>
      </c>
      <c r="C410" s="22" t="s">
        <v>2547</v>
      </c>
      <c r="D410" s="23" t="s">
        <v>1584</v>
      </c>
      <c r="E410" s="24">
        <f>[4]Summary!E409</f>
        <v>0.85</v>
      </c>
      <c r="F410" s="25">
        <f>[4]Summary!F409</f>
        <v>79</v>
      </c>
      <c r="G410" s="26">
        <f t="shared" si="6"/>
        <v>67.149999999999991</v>
      </c>
      <c r="H410" s="26" t="s">
        <v>5408</v>
      </c>
    </row>
    <row r="411" spans="1:8" ht="21">
      <c r="A411" s="16">
        <v>407</v>
      </c>
      <c r="B411" s="17" t="s">
        <v>2548</v>
      </c>
      <c r="C411" s="17" t="s">
        <v>2549</v>
      </c>
      <c r="D411" s="18" t="s">
        <v>1584</v>
      </c>
      <c r="E411" s="19">
        <f>[4]Summary!E410</f>
        <v>1.9</v>
      </c>
      <c r="F411" s="52">
        <f>[4]Summary!F410</f>
        <v>48</v>
      </c>
      <c r="G411" s="20">
        <f t="shared" si="6"/>
        <v>91.199999999999989</v>
      </c>
      <c r="H411" s="20" t="s">
        <v>5408</v>
      </c>
    </row>
    <row r="412" spans="1:8" ht="21">
      <c r="A412" s="21">
        <v>408</v>
      </c>
      <c r="B412" s="22" t="s">
        <v>2550</v>
      </c>
      <c r="C412" s="22" t="s">
        <v>2551</v>
      </c>
      <c r="D412" s="23" t="s">
        <v>1584</v>
      </c>
      <c r="E412" s="24">
        <f>[4]Summary!E411</f>
        <v>2.35</v>
      </c>
      <c r="F412" s="25">
        <f>[4]Summary!F411</f>
        <v>27</v>
      </c>
      <c r="G412" s="26">
        <f t="shared" si="6"/>
        <v>63.45</v>
      </c>
      <c r="H412" s="26" t="s">
        <v>5408</v>
      </c>
    </row>
    <row r="413" spans="1:8" ht="21">
      <c r="A413" s="16">
        <v>409</v>
      </c>
      <c r="B413" s="17" t="s">
        <v>2552</v>
      </c>
      <c r="C413" s="17" t="s">
        <v>2553</v>
      </c>
      <c r="D413" s="18" t="s">
        <v>1584</v>
      </c>
      <c r="E413" s="19">
        <f>[4]Summary!E412</f>
        <v>2.72</v>
      </c>
      <c r="F413" s="52">
        <f>[4]Summary!F412</f>
        <v>0</v>
      </c>
      <c r="G413" s="20">
        <f t="shared" si="6"/>
        <v>0</v>
      </c>
      <c r="H413" s="20" t="s">
        <v>5408</v>
      </c>
    </row>
    <row r="414" spans="1:8" ht="21">
      <c r="A414" s="21">
        <v>410</v>
      </c>
      <c r="B414" s="22" t="s">
        <v>2554</v>
      </c>
      <c r="C414" s="22" t="s">
        <v>2555</v>
      </c>
      <c r="D414" s="23" t="s">
        <v>1584</v>
      </c>
      <c r="E414" s="24">
        <f>[4]Summary!E413</f>
        <v>3</v>
      </c>
      <c r="F414" s="25">
        <f>[4]Summary!F413</f>
        <v>0</v>
      </c>
      <c r="G414" s="26">
        <f t="shared" si="6"/>
        <v>0</v>
      </c>
      <c r="H414" s="26" t="s">
        <v>5408</v>
      </c>
    </row>
    <row r="415" spans="1:8" ht="21">
      <c r="A415" s="16">
        <v>411</v>
      </c>
      <c r="B415" s="17" t="s">
        <v>2556</v>
      </c>
      <c r="C415" s="17" t="s">
        <v>2557</v>
      </c>
      <c r="D415" s="18" t="s">
        <v>1584</v>
      </c>
      <c r="E415" s="19">
        <f>[4]Summary!E414</f>
        <v>1</v>
      </c>
      <c r="F415" s="52">
        <f>[4]Summary!F414</f>
        <v>8</v>
      </c>
      <c r="G415" s="20">
        <f t="shared" si="6"/>
        <v>8</v>
      </c>
      <c r="H415" s="20" t="s">
        <v>5408</v>
      </c>
    </row>
    <row r="416" spans="1:8" ht="21">
      <c r="A416" s="21">
        <v>412</v>
      </c>
      <c r="B416" s="22" t="s">
        <v>2558</v>
      </c>
      <c r="C416" s="22" t="s">
        <v>2559</v>
      </c>
      <c r="D416" s="23" t="s">
        <v>1584</v>
      </c>
      <c r="E416" s="24">
        <f>[4]Summary!E415</f>
        <v>3.5</v>
      </c>
      <c r="F416" s="25">
        <f>[4]Summary!F415</f>
        <v>8</v>
      </c>
      <c r="G416" s="26">
        <f t="shared" si="6"/>
        <v>28</v>
      </c>
      <c r="H416" s="26" t="s">
        <v>5408</v>
      </c>
    </row>
    <row r="417" spans="1:8" ht="21">
      <c r="A417" s="16">
        <v>413</v>
      </c>
      <c r="B417" s="17" t="s">
        <v>2560</v>
      </c>
      <c r="C417" s="17" t="s">
        <v>2561</v>
      </c>
      <c r="D417" s="18" t="s">
        <v>1584</v>
      </c>
      <c r="E417" s="19">
        <f>[4]Summary!E416</f>
        <v>2</v>
      </c>
      <c r="F417" s="52">
        <f>[4]Summary!F416</f>
        <v>0</v>
      </c>
      <c r="G417" s="20">
        <f t="shared" si="6"/>
        <v>0</v>
      </c>
      <c r="H417" s="20" t="s">
        <v>5406</v>
      </c>
    </row>
    <row r="418" spans="1:8" ht="21">
      <c r="A418" s="21">
        <v>414</v>
      </c>
      <c r="B418" s="22" t="s">
        <v>2562</v>
      </c>
      <c r="C418" s="22" t="s">
        <v>2563</v>
      </c>
      <c r="D418" s="23" t="s">
        <v>1584</v>
      </c>
      <c r="E418" s="24">
        <f>[4]Summary!E417</f>
        <v>4.28</v>
      </c>
      <c r="F418" s="25">
        <f>[4]Summary!F417</f>
        <v>71</v>
      </c>
      <c r="G418" s="26">
        <f t="shared" si="6"/>
        <v>303.88</v>
      </c>
      <c r="H418" s="26" t="s">
        <v>5406</v>
      </c>
    </row>
    <row r="419" spans="1:8" ht="21">
      <c r="A419" s="16">
        <v>415</v>
      </c>
      <c r="B419" s="17" t="s">
        <v>2564</v>
      </c>
      <c r="C419" s="17" t="s">
        <v>2565</v>
      </c>
      <c r="D419" s="18" t="s">
        <v>1584</v>
      </c>
      <c r="E419" s="19">
        <f>[4]Summary!E418</f>
        <v>16.5</v>
      </c>
      <c r="F419" s="52">
        <f>[4]Summary!F418</f>
        <v>37</v>
      </c>
      <c r="G419" s="20">
        <f t="shared" si="6"/>
        <v>610.5</v>
      </c>
      <c r="H419" s="20" t="s">
        <v>5406</v>
      </c>
    </row>
    <row r="420" spans="1:8" ht="21">
      <c r="A420" s="21">
        <v>416</v>
      </c>
      <c r="B420" s="22" t="s">
        <v>2566</v>
      </c>
      <c r="C420" s="22" t="s">
        <v>2567</v>
      </c>
      <c r="D420" s="23" t="s">
        <v>1584</v>
      </c>
      <c r="E420" s="24">
        <f>[4]Summary!E419</f>
        <v>10</v>
      </c>
      <c r="F420" s="25">
        <f>[4]Summary!F419</f>
        <v>0</v>
      </c>
      <c r="G420" s="26">
        <f t="shared" si="6"/>
        <v>0</v>
      </c>
      <c r="H420" s="26" t="s">
        <v>5408</v>
      </c>
    </row>
    <row r="421" spans="1:8" ht="21">
      <c r="A421" s="16">
        <v>417</v>
      </c>
      <c r="B421" s="17" t="s">
        <v>2568</v>
      </c>
      <c r="C421" s="17" t="s">
        <v>2569</v>
      </c>
      <c r="D421" s="18" t="s">
        <v>1584</v>
      </c>
      <c r="E421" s="19">
        <f>[4]Summary!E420</f>
        <v>0</v>
      </c>
      <c r="F421" s="52">
        <f>[4]Summary!F420</f>
        <v>22</v>
      </c>
      <c r="G421" s="20">
        <f t="shared" si="6"/>
        <v>0</v>
      </c>
      <c r="H421" s="20" t="s">
        <v>5408</v>
      </c>
    </row>
    <row r="422" spans="1:8" ht="21">
      <c r="A422" s="21">
        <v>418</v>
      </c>
      <c r="B422" s="22" t="s">
        <v>2570</v>
      </c>
      <c r="C422" s="22" t="s">
        <v>2571</v>
      </c>
      <c r="D422" s="23" t="s">
        <v>1584</v>
      </c>
      <c r="E422" s="24">
        <f>[4]Summary!E421</f>
        <v>0</v>
      </c>
      <c r="F422" s="25">
        <f>[4]Summary!F421</f>
        <v>4</v>
      </c>
      <c r="G422" s="26">
        <f t="shared" si="6"/>
        <v>0</v>
      </c>
      <c r="H422" s="26" t="s">
        <v>5408</v>
      </c>
    </row>
    <row r="423" spans="1:8" ht="42">
      <c r="A423" s="16">
        <v>419</v>
      </c>
      <c r="B423" s="17" t="s">
        <v>2572</v>
      </c>
      <c r="C423" s="17" t="s">
        <v>2573</v>
      </c>
      <c r="D423" s="18" t="s">
        <v>1584</v>
      </c>
      <c r="E423" s="19">
        <f>[4]Summary!E422</f>
        <v>0</v>
      </c>
      <c r="F423" s="52">
        <f>[4]Summary!F422</f>
        <v>85</v>
      </c>
      <c r="G423" s="20">
        <f t="shared" si="6"/>
        <v>0</v>
      </c>
      <c r="H423" s="20" t="s">
        <v>5409</v>
      </c>
    </row>
    <row r="424" spans="1:8" ht="42">
      <c r="A424" s="21">
        <v>420</v>
      </c>
      <c r="B424" s="22" t="s">
        <v>2574</v>
      </c>
      <c r="C424" s="22" t="s">
        <v>2575</v>
      </c>
      <c r="D424" s="23" t="s">
        <v>1584</v>
      </c>
      <c r="E424" s="24">
        <f>[4]Summary!E423</f>
        <v>0</v>
      </c>
      <c r="F424" s="25">
        <f>[4]Summary!F423</f>
        <v>0</v>
      </c>
      <c r="G424" s="26">
        <f t="shared" si="6"/>
        <v>0</v>
      </c>
      <c r="H424" s="26" t="s">
        <v>5409</v>
      </c>
    </row>
    <row r="425" spans="1:8" ht="42">
      <c r="A425" s="16">
        <v>421</v>
      </c>
      <c r="B425" s="17" t="s">
        <v>2576</v>
      </c>
      <c r="C425" s="17" t="s">
        <v>2577</v>
      </c>
      <c r="D425" s="18" t="s">
        <v>1584</v>
      </c>
      <c r="E425" s="19">
        <f>[4]Summary!E424</f>
        <v>0</v>
      </c>
      <c r="F425" s="52">
        <f>[4]Summary!F424</f>
        <v>3</v>
      </c>
      <c r="G425" s="20">
        <f t="shared" si="6"/>
        <v>0</v>
      </c>
      <c r="H425" s="20" t="s">
        <v>5409</v>
      </c>
    </row>
    <row r="426" spans="1:8" ht="21">
      <c r="A426" s="21">
        <v>422</v>
      </c>
      <c r="B426" s="22" t="s">
        <v>2578</v>
      </c>
      <c r="C426" s="22" t="s">
        <v>2579</v>
      </c>
      <c r="D426" s="23" t="s">
        <v>1584</v>
      </c>
      <c r="E426" s="24">
        <f>[4]Summary!E425</f>
        <v>0</v>
      </c>
      <c r="F426" s="25">
        <f>[4]Summary!F425</f>
        <v>1</v>
      </c>
      <c r="G426" s="26">
        <f t="shared" si="6"/>
        <v>0</v>
      </c>
      <c r="H426" s="26" t="s">
        <v>5409</v>
      </c>
    </row>
    <row r="427" spans="1:8" ht="42">
      <c r="A427" s="16">
        <v>423</v>
      </c>
      <c r="B427" s="17" t="s">
        <v>2580</v>
      </c>
      <c r="C427" s="17" t="s">
        <v>2581</v>
      </c>
      <c r="D427" s="18" t="s">
        <v>1584</v>
      </c>
      <c r="E427" s="19">
        <f>[4]Summary!E426</f>
        <v>0</v>
      </c>
      <c r="F427" s="52">
        <f>[4]Summary!F426</f>
        <v>5</v>
      </c>
      <c r="G427" s="20">
        <f t="shared" si="6"/>
        <v>0</v>
      </c>
      <c r="H427" s="20" t="s">
        <v>5409</v>
      </c>
    </row>
    <row r="428" spans="1:8" ht="42">
      <c r="A428" s="21">
        <v>424</v>
      </c>
      <c r="B428" s="22" t="s">
        <v>2582</v>
      </c>
      <c r="C428" s="22" t="s">
        <v>2583</v>
      </c>
      <c r="D428" s="23" t="s">
        <v>1584</v>
      </c>
      <c r="E428" s="24">
        <f>[4]Summary!E427</f>
        <v>0</v>
      </c>
      <c r="F428" s="25">
        <f>[4]Summary!F427</f>
        <v>1</v>
      </c>
      <c r="G428" s="26">
        <f t="shared" si="6"/>
        <v>0</v>
      </c>
      <c r="H428" s="26" t="s">
        <v>5409</v>
      </c>
    </row>
    <row r="429" spans="1:8" ht="42">
      <c r="A429" s="16">
        <v>425</v>
      </c>
      <c r="B429" s="17" t="s">
        <v>2584</v>
      </c>
      <c r="C429" s="17" t="s">
        <v>2585</v>
      </c>
      <c r="D429" s="18" t="s">
        <v>1584</v>
      </c>
      <c r="E429" s="19">
        <f>[4]Summary!E428</f>
        <v>0</v>
      </c>
      <c r="F429" s="52">
        <f>[4]Summary!F428</f>
        <v>3</v>
      </c>
      <c r="G429" s="20">
        <f t="shared" si="6"/>
        <v>0</v>
      </c>
      <c r="H429" s="20" t="s">
        <v>5409</v>
      </c>
    </row>
    <row r="430" spans="1:8" ht="21">
      <c r="A430" s="21">
        <v>426</v>
      </c>
      <c r="B430" s="22" t="s">
        <v>2586</v>
      </c>
      <c r="C430" s="22" t="s">
        <v>2587</v>
      </c>
      <c r="D430" s="23" t="s">
        <v>1584</v>
      </c>
      <c r="E430" s="24">
        <f>[4]Summary!E429</f>
        <v>1.7</v>
      </c>
      <c r="F430" s="25">
        <f>[4]Summary!F429</f>
        <v>0</v>
      </c>
      <c r="G430" s="26">
        <f t="shared" si="6"/>
        <v>0</v>
      </c>
      <c r="H430" s="26" t="s">
        <v>5408</v>
      </c>
    </row>
    <row r="431" spans="1:8" ht="21">
      <c r="A431" s="16">
        <v>427</v>
      </c>
      <c r="B431" s="17" t="s">
        <v>2588</v>
      </c>
      <c r="C431" s="17" t="s">
        <v>2589</v>
      </c>
      <c r="D431" s="18" t="s">
        <v>1584</v>
      </c>
      <c r="E431" s="19">
        <f>[4]Summary!E430</f>
        <v>10</v>
      </c>
      <c r="F431" s="52">
        <f>[4]Summary!F430</f>
        <v>0</v>
      </c>
      <c r="G431" s="20">
        <f t="shared" si="6"/>
        <v>0</v>
      </c>
      <c r="H431" s="20" t="s">
        <v>5408</v>
      </c>
    </row>
    <row r="432" spans="1:8" ht="42">
      <c r="A432" s="21">
        <v>428</v>
      </c>
      <c r="B432" s="22" t="s">
        <v>2590</v>
      </c>
      <c r="C432" s="22" t="s">
        <v>2591</v>
      </c>
      <c r="D432" s="23" t="s">
        <v>1584</v>
      </c>
      <c r="E432" s="24">
        <f>[4]Summary!E431</f>
        <v>6.75</v>
      </c>
      <c r="F432" s="25">
        <f>[4]Summary!F431</f>
        <v>0</v>
      </c>
      <c r="G432" s="26">
        <f t="shared" si="6"/>
        <v>0</v>
      </c>
      <c r="H432" s="26" t="s">
        <v>5406</v>
      </c>
    </row>
    <row r="433" spans="1:8" ht="21">
      <c r="A433" s="16">
        <v>429</v>
      </c>
      <c r="B433" s="17" t="s">
        <v>2592</v>
      </c>
      <c r="C433" s="17" t="s">
        <v>2593</v>
      </c>
      <c r="D433" s="18" t="s">
        <v>1584</v>
      </c>
      <c r="E433" s="19">
        <f>[4]Summary!E432</f>
        <v>3.23</v>
      </c>
      <c r="F433" s="52">
        <f>[4]Summary!F432</f>
        <v>77</v>
      </c>
      <c r="G433" s="20">
        <f t="shared" si="6"/>
        <v>248.71</v>
      </c>
      <c r="H433" s="20" t="s">
        <v>5406</v>
      </c>
    </row>
    <row r="434" spans="1:8" ht="42">
      <c r="A434" s="21">
        <v>430</v>
      </c>
      <c r="B434" s="22" t="s">
        <v>2594</v>
      </c>
      <c r="C434" s="22" t="s">
        <v>2595</v>
      </c>
      <c r="D434" s="23" t="s">
        <v>1584</v>
      </c>
      <c r="E434" s="24">
        <f>[4]Summary!E433</f>
        <v>16</v>
      </c>
      <c r="F434" s="25">
        <f>[4]Summary!F433</f>
        <v>0</v>
      </c>
      <c r="G434" s="26">
        <f t="shared" si="6"/>
        <v>0</v>
      </c>
      <c r="H434" s="26" t="s">
        <v>5408</v>
      </c>
    </row>
    <row r="435" spans="1:8" ht="42">
      <c r="A435" s="16">
        <v>431</v>
      </c>
      <c r="B435" s="17" t="s">
        <v>2596</v>
      </c>
      <c r="C435" s="17" t="s">
        <v>2597</v>
      </c>
      <c r="D435" s="18" t="s">
        <v>1584</v>
      </c>
      <c r="E435" s="19">
        <f>[4]Summary!E434</f>
        <v>0.85</v>
      </c>
      <c r="F435" s="52">
        <f>[4]Summary!F434</f>
        <v>0</v>
      </c>
      <c r="G435" s="20">
        <f t="shared" si="6"/>
        <v>0</v>
      </c>
      <c r="H435" s="20" t="s">
        <v>5417</v>
      </c>
    </row>
    <row r="436" spans="1:8" ht="21">
      <c r="A436" s="21">
        <v>432</v>
      </c>
      <c r="B436" s="22" t="s">
        <v>2598</v>
      </c>
      <c r="C436" s="22" t="s">
        <v>2599</v>
      </c>
      <c r="D436" s="23" t="s">
        <v>1584</v>
      </c>
      <c r="E436" s="24">
        <f>[4]Summary!E435</f>
        <v>15</v>
      </c>
      <c r="F436" s="25">
        <f>[4]Summary!F435</f>
        <v>0</v>
      </c>
      <c r="G436" s="26">
        <f t="shared" si="6"/>
        <v>0</v>
      </c>
      <c r="H436" s="26" t="s">
        <v>5411</v>
      </c>
    </row>
    <row r="437" spans="1:8" ht="21">
      <c r="A437" s="16">
        <v>433</v>
      </c>
      <c r="B437" s="17" t="s">
        <v>2600</v>
      </c>
      <c r="C437" s="17" t="s">
        <v>2601</v>
      </c>
      <c r="D437" s="18" t="s">
        <v>1584</v>
      </c>
      <c r="E437" s="19">
        <f>[4]Summary!E436</f>
        <v>65</v>
      </c>
      <c r="F437" s="52">
        <f>[4]Summary!F436</f>
        <v>0</v>
      </c>
      <c r="G437" s="20">
        <f t="shared" si="6"/>
        <v>0</v>
      </c>
      <c r="H437" s="20" t="s">
        <v>5411</v>
      </c>
    </row>
    <row r="438" spans="1:8" ht="42">
      <c r="A438" s="21">
        <v>434</v>
      </c>
      <c r="B438" s="22" t="s">
        <v>2602</v>
      </c>
      <c r="C438" s="22" t="s">
        <v>2603</v>
      </c>
      <c r="D438" s="23" t="s">
        <v>1584</v>
      </c>
      <c r="E438" s="24">
        <f>[4]Summary!E437</f>
        <v>85</v>
      </c>
      <c r="F438" s="25">
        <f>[4]Summary!F437</f>
        <v>0</v>
      </c>
      <c r="G438" s="26">
        <f t="shared" si="6"/>
        <v>0</v>
      </c>
      <c r="H438" s="26" t="s">
        <v>5413</v>
      </c>
    </row>
    <row r="439" spans="1:8" ht="42">
      <c r="A439" s="16">
        <v>435</v>
      </c>
      <c r="B439" s="17" t="s">
        <v>2604</v>
      </c>
      <c r="C439" s="17" t="s">
        <v>2605</v>
      </c>
      <c r="D439" s="18" t="s">
        <v>1584</v>
      </c>
      <c r="E439" s="19">
        <f>[4]Summary!E438</f>
        <v>33</v>
      </c>
      <c r="F439" s="52">
        <f>[4]Summary!F438</f>
        <v>0</v>
      </c>
      <c r="G439" s="20">
        <f t="shared" si="6"/>
        <v>0</v>
      </c>
      <c r="H439" s="20" t="s">
        <v>5414</v>
      </c>
    </row>
    <row r="440" spans="1:8" ht="42">
      <c r="A440" s="21">
        <v>436</v>
      </c>
      <c r="B440" s="22" t="s">
        <v>2606</v>
      </c>
      <c r="C440" s="22" t="s">
        <v>2607</v>
      </c>
      <c r="D440" s="23" t="s">
        <v>1584</v>
      </c>
      <c r="E440" s="24">
        <f>[4]Summary!E439</f>
        <v>1.35</v>
      </c>
      <c r="F440" s="25">
        <f>[4]Summary!F439</f>
        <v>28</v>
      </c>
      <c r="G440" s="26">
        <f t="shared" si="6"/>
        <v>37.800000000000004</v>
      </c>
      <c r="H440" s="26" t="s">
        <v>5409</v>
      </c>
    </row>
    <row r="441" spans="1:8" ht="21">
      <c r="A441" s="16">
        <v>437</v>
      </c>
      <c r="B441" s="17" t="s">
        <v>2608</v>
      </c>
      <c r="C441" s="17" t="s">
        <v>2609</v>
      </c>
      <c r="D441" s="18" t="s">
        <v>1584</v>
      </c>
      <c r="E441" s="19">
        <f>[4]Summary!E440</f>
        <v>1.35</v>
      </c>
      <c r="F441" s="52">
        <f>[4]Summary!F440</f>
        <v>17</v>
      </c>
      <c r="G441" s="20">
        <f t="shared" si="6"/>
        <v>22.950000000000003</v>
      </c>
      <c r="H441" s="20" t="s">
        <v>5409</v>
      </c>
    </row>
    <row r="442" spans="1:8" ht="21">
      <c r="A442" s="21">
        <v>438</v>
      </c>
      <c r="B442" s="22" t="s">
        <v>2610</v>
      </c>
      <c r="C442" s="22" t="s">
        <v>2611</v>
      </c>
      <c r="D442" s="23" t="s">
        <v>1584</v>
      </c>
      <c r="E442" s="24">
        <f>[4]Summary!E441</f>
        <v>0.4</v>
      </c>
      <c r="F442" s="25">
        <f>[4]Summary!F441</f>
        <v>0</v>
      </c>
      <c r="G442" s="26">
        <f t="shared" si="6"/>
        <v>0</v>
      </c>
      <c r="H442" s="26" t="s">
        <v>5408</v>
      </c>
    </row>
    <row r="443" spans="1:8" ht="21">
      <c r="A443" s="16">
        <v>439</v>
      </c>
      <c r="B443" s="17" t="s">
        <v>2612</v>
      </c>
      <c r="C443" s="17" t="s">
        <v>2613</v>
      </c>
      <c r="D443" s="18" t="s">
        <v>1584</v>
      </c>
      <c r="E443" s="19">
        <f>[4]Summary!E442</f>
        <v>3.04</v>
      </c>
      <c r="F443" s="52">
        <f>[4]Summary!F442</f>
        <v>0</v>
      </c>
      <c r="G443" s="20">
        <f t="shared" si="6"/>
        <v>0</v>
      </c>
      <c r="H443" s="20" t="s">
        <v>5408</v>
      </c>
    </row>
    <row r="444" spans="1:8" ht="21">
      <c r="A444" s="21">
        <v>440</v>
      </c>
      <c r="B444" s="22" t="s">
        <v>2614</v>
      </c>
      <c r="C444" s="22" t="s">
        <v>5766</v>
      </c>
      <c r="D444" s="23" t="s">
        <v>1584</v>
      </c>
      <c r="E444" s="24">
        <f>[4]Summary!E443</f>
        <v>1</v>
      </c>
      <c r="F444" s="25">
        <f>[4]Summary!F443</f>
        <v>0</v>
      </c>
      <c r="G444" s="26">
        <f t="shared" si="6"/>
        <v>0</v>
      </c>
      <c r="H444" s="26" t="s">
        <v>5408</v>
      </c>
    </row>
    <row r="445" spans="1:8" ht="21">
      <c r="A445" s="16">
        <v>441</v>
      </c>
      <c r="B445" s="17" t="s">
        <v>2615</v>
      </c>
      <c r="C445" s="17" t="s">
        <v>2616</v>
      </c>
      <c r="D445" s="18" t="s">
        <v>1584</v>
      </c>
      <c r="E445" s="19">
        <f>[4]Summary!E444</f>
        <v>1</v>
      </c>
      <c r="F445" s="52">
        <f>[4]Summary!F444</f>
        <v>13</v>
      </c>
      <c r="G445" s="20">
        <f t="shared" si="6"/>
        <v>13</v>
      </c>
      <c r="H445" s="20" t="s">
        <v>5408</v>
      </c>
    </row>
    <row r="446" spans="1:8" ht="21">
      <c r="A446" s="21">
        <v>442</v>
      </c>
      <c r="B446" s="22" t="s">
        <v>2617</v>
      </c>
      <c r="C446" s="22" t="s">
        <v>2618</v>
      </c>
      <c r="D446" s="23" t="s">
        <v>1584</v>
      </c>
      <c r="E446" s="24">
        <f>[4]Summary!E445</f>
        <v>3.37</v>
      </c>
      <c r="F446" s="25">
        <f>[4]Summary!F445</f>
        <v>76</v>
      </c>
      <c r="G446" s="26">
        <f t="shared" si="6"/>
        <v>256.12</v>
      </c>
      <c r="H446" s="26" t="s">
        <v>5409</v>
      </c>
    </row>
    <row r="447" spans="1:8" ht="21">
      <c r="A447" s="16">
        <v>443</v>
      </c>
      <c r="B447" s="17" t="s">
        <v>2619</v>
      </c>
      <c r="C447" s="17" t="s">
        <v>2620</v>
      </c>
      <c r="D447" s="18" t="s">
        <v>1584</v>
      </c>
      <c r="E447" s="19">
        <f>[4]Summary!E446</f>
        <v>1.1000000000000001</v>
      </c>
      <c r="F447" s="52">
        <f>[4]Summary!F446</f>
        <v>48</v>
      </c>
      <c r="G447" s="20">
        <f t="shared" si="6"/>
        <v>52.800000000000004</v>
      </c>
      <c r="H447" s="20" t="s">
        <v>5408</v>
      </c>
    </row>
    <row r="448" spans="1:8" ht="21">
      <c r="A448" s="21">
        <v>444</v>
      </c>
      <c r="B448" s="22" t="s">
        <v>2621</v>
      </c>
      <c r="C448" s="22" t="s">
        <v>2622</v>
      </c>
      <c r="D448" s="23" t="s">
        <v>1584</v>
      </c>
      <c r="E448" s="24">
        <f>[4]Summary!E447</f>
        <v>1.4</v>
      </c>
      <c r="F448" s="25">
        <f>[4]Summary!F447</f>
        <v>58</v>
      </c>
      <c r="G448" s="26">
        <f t="shared" si="6"/>
        <v>81.199999999999989</v>
      </c>
      <c r="H448" s="26" t="s">
        <v>5408</v>
      </c>
    </row>
    <row r="449" spans="1:8" ht="21">
      <c r="A449" s="16">
        <v>445</v>
      </c>
      <c r="B449" s="17" t="s">
        <v>2623</v>
      </c>
      <c r="C449" s="17" t="s">
        <v>2624</v>
      </c>
      <c r="D449" s="18" t="s">
        <v>1584</v>
      </c>
      <c r="E449" s="19">
        <f>[4]Summary!E448</f>
        <v>3.5</v>
      </c>
      <c r="F449" s="52">
        <f>[4]Summary!F448</f>
        <v>92</v>
      </c>
      <c r="G449" s="20">
        <f t="shared" si="6"/>
        <v>322</v>
      </c>
      <c r="H449" s="20" t="s">
        <v>5408</v>
      </c>
    </row>
    <row r="450" spans="1:8" ht="21">
      <c r="A450" s="21">
        <v>446</v>
      </c>
      <c r="B450" s="22" t="s">
        <v>2625</v>
      </c>
      <c r="C450" s="22" t="s">
        <v>2626</v>
      </c>
      <c r="D450" s="23" t="s">
        <v>1584</v>
      </c>
      <c r="E450" s="24">
        <f>[4]Summary!E449</f>
        <v>7</v>
      </c>
      <c r="F450" s="25">
        <f>[4]Summary!F449</f>
        <v>0</v>
      </c>
      <c r="G450" s="26">
        <f t="shared" si="6"/>
        <v>0</v>
      </c>
      <c r="H450" s="26" t="s">
        <v>5409</v>
      </c>
    </row>
    <row r="451" spans="1:8" ht="21">
      <c r="A451" s="16">
        <v>447</v>
      </c>
      <c r="B451" s="17" t="s">
        <v>2627</v>
      </c>
      <c r="C451" s="17" t="s">
        <v>2628</v>
      </c>
      <c r="D451" s="18" t="s">
        <v>1584</v>
      </c>
      <c r="E451" s="19">
        <f>[4]Summary!E450</f>
        <v>2.04</v>
      </c>
      <c r="F451" s="52">
        <f>[4]Summary!F450</f>
        <v>1</v>
      </c>
      <c r="G451" s="20">
        <f t="shared" si="6"/>
        <v>2.04</v>
      </c>
      <c r="H451" s="20" t="s">
        <v>5405</v>
      </c>
    </row>
    <row r="452" spans="1:8" ht="21">
      <c r="A452" s="21">
        <v>448</v>
      </c>
      <c r="B452" s="22" t="s">
        <v>2629</v>
      </c>
      <c r="C452" s="22" t="s">
        <v>2630</v>
      </c>
      <c r="D452" s="23" t="s">
        <v>1584</v>
      </c>
      <c r="E452" s="24">
        <f>[4]Summary!E451</f>
        <v>0</v>
      </c>
      <c r="F452" s="25">
        <f>[4]Summary!F451</f>
        <v>1</v>
      </c>
      <c r="G452" s="26">
        <f t="shared" si="6"/>
        <v>0</v>
      </c>
      <c r="H452" s="26" t="s">
        <v>5405</v>
      </c>
    </row>
    <row r="453" spans="1:8" ht="21">
      <c r="A453" s="16">
        <v>449</v>
      </c>
      <c r="B453" s="17" t="s">
        <v>2631</v>
      </c>
      <c r="C453" s="17" t="s">
        <v>2632</v>
      </c>
      <c r="D453" s="18" t="s">
        <v>1584</v>
      </c>
      <c r="E453" s="19">
        <f>[4]Summary!E452</f>
        <v>0</v>
      </c>
      <c r="F453" s="52">
        <f>[4]Summary!F452</f>
        <v>3</v>
      </c>
      <c r="G453" s="20">
        <f t="shared" si="6"/>
        <v>0</v>
      </c>
      <c r="H453" s="20" t="s">
        <v>5405</v>
      </c>
    </row>
    <row r="454" spans="1:8" ht="21">
      <c r="A454" s="21">
        <v>450</v>
      </c>
      <c r="B454" s="22" t="s">
        <v>2633</v>
      </c>
      <c r="C454" s="22" t="s">
        <v>2634</v>
      </c>
      <c r="D454" s="23" t="s">
        <v>1584</v>
      </c>
      <c r="E454" s="24">
        <f>[4]Summary!E453</f>
        <v>7.5</v>
      </c>
      <c r="F454" s="25">
        <f>[4]Summary!F453</f>
        <v>49</v>
      </c>
      <c r="G454" s="26">
        <f t="shared" si="6"/>
        <v>367.5</v>
      </c>
      <c r="H454" s="26" t="s">
        <v>5408</v>
      </c>
    </row>
    <row r="455" spans="1:8" ht="21">
      <c r="A455" s="16">
        <v>451</v>
      </c>
      <c r="B455" s="17" t="s">
        <v>2635</v>
      </c>
      <c r="C455" s="17" t="s">
        <v>2636</v>
      </c>
      <c r="D455" s="18" t="s">
        <v>1584</v>
      </c>
      <c r="E455" s="19">
        <f>[4]Summary!E454</f>
        <v>1.68</v>
      </c>
      <c r="F455" s="52">
        <f>[4]Summary!F454</f>
        <v>34</v>
      </c>
      <c r="G455" s="20">
        <f t="shared" ref="G455:G518" si="7">E455*F455</f>
        <v>57.12</v>
      </c>
      <c r="H455" s="20" t="s">
        <v>5409</v>
      </c>
    </row>
    <row r="456" spans="1:8" ht="21">
      <c r="A456" s="21">
        <v>452</v>
      </c>
      <c r="B456" s="22" t="s">
        <v>2637</v>
      </c>
      <c r="C456" s="22" t="s">
        <v>2638</v>
      </c>
      <c r="D456" s="23" t="s">
        <v>1584</v>
      </c>
      <c r="E456" s="24">
        <f>[4]Summary!E455</f>
        <v>0.38</v>
      </c>
      <c r="F456" s="25">
        <f>[4]Summary!F455</f>
        <v>93</v>
      </c>
      <c r="G456" s="26">
        <f t="shared" si="7"/>
        <v>35.340000000000003</v>
      </c>
      <c r="H456" s="26" t="s">
        <v>5408</v>
      </c>
    </row>
    <row r="457" spans="1:8" ht="21">
      <c r="A457" s="16">
        <v>453</v>
      </c>
      <c r="B457" s="17" t="s">
        <v>2639</v>
      </c>
      <c r="C457" s="17" t="s">
        <v>2640</v>
      </c>
      <c r="D457" s="18" t="s">
        <v>1584</v>
      </c>
      <c r="E457" s="19">
        <f>[4]Summary!E456</f>
        <v>1.66</v>
      </c>
      <c r="F457" s="52">
        <f>[4]Summary!F456</f>
        <v>0</v>
      </c>
      <c r="G457" s="20">
        <f t="shared" si="7"/>
        <v>0</v>
      </c>
      <c r="H457" s="20" t="s">
        <v>5409</v>
      </c>
    </row>
    <row r="458" spans="1:8" ht="21">
      <c r="A458" s="21">
        <v>454</v>
      </c>
      <c r="B458" s="22" t="s">
        <v>2641</v>
      </c>
      <c r="C458" s="22" t="s">
        <v>2642</v>
      </c>
      <c r="D458" s="23" t="s">
        <v>1584</v>
      </c>
      <c r="E458" s="24">
        <f>[4]Summary!E457</f>
        <v>7.5</v>
      </c>
      <c r="F458" s="25">
        <f>[4]Summary!F457</f>
        <v>10</v>
      </c>
      <c r="G458" s="26">
        <f t="shared" si="7"/>
        <v>75</v>
      </c>
      <c r="H458" s="26" t="s">
        <v>5408</v>
      </c>
    </row>
    <row r="459" spans="1:8" ht="21">
      <c r="A459" s="16">
        <v>455</v>
      </c>
      <c r="B459" s="17" t="s">
        <v>2643</v>
      </c>
      <c r="C459" s="17" t="s">
        <v>2644</v>
      </c>
      <c r="D459" s="18" t="s">
        <v>1584</v>
      </c>
      <c r="E459" s="19">
        <f>[4]Summary!E458</f>
        <v>11</v>
      </c>
      <c r="F459" s="52">
        <f>[4]Summary!F458</f>
        <v>0</v>
      </c>
      <c r="G459" s="20">
        <f t="shared" si="7"/>
        <v>0</v>
      </c>
      <c r="H459" s="20" t="s">
        <v>5408</v>
      </c>
    </row>
    <row r="460" spans="1:8" ht="21">
      <c r="A460" s="21">
        <v>456</v>
      </c>
      <c r="B460" s="22" t="s">
        <v>2645</v>
      </c>
      <c r="C460" s="22" t="s">
        <v>2646</v>
      </c>
      <c r="D460" s="23" t="s">
        <v>1584</v>
      </c>
      <c r="E460" s="24">
        <f>[4]Summary!E459</f>
        <v>1.7</v>
      </c>
      <c r="F460" s="25">
        <f>[4]Summary!F459</f>
        <v>8</v>
      </c>
      <c r="G460" s="26">
        <f t="shared" si="7"/>
        <v>13.6</v>
      </c>
      <c r="H460" s="26" t="s">
        <v>5390</v>
      </c>
    </row>
    <row r="461" spans="1:8" ht="21">
      <c r="A461" s="16">
        <v>457</v>
      </c>
      <c r="B461" s="17" t="s">
        <v>2647</v>
      </c>
      <c r="C461" s="17" t="s">
        <v>2648</v>
      </c>
      <c r="D461" s="18" t="s">
        <v>1584</v>
      </c>
      <c r="E461" s="19">
        <f>[4]Summary!E460</f>
        <v>8</v>
      </c>
      <c r="F461" s="52">
        <f>[4]Summary!F460</f>
        <v>0</v>
      </c>
      <c r="G461" s="20">
        <f t="shared" si="7"/>
        <v>0</v>
      </c>
      <c r="H461" s="20" t="s">
        <v>5390</v>
      </c>
    </row>
    <row r="462" spans="1:8" ht="42">
      <c r="A462" s="21">
        <v>458</v>
      </c>
      <c r="B462" s="22" t="s">
        <v>2649</v>
      </c>
      <c r="C462" s="22" t="s">
        <v>2650</v>
      </c>
      <c r="D462" s="23" t="s">
        <v>1584</v>
      </c>
      <c r="E462" s="24">
        <f>[4]Summary!E461</f>
        <v>0</v>
      </c>
      <c r="F462" s="25">
        <f>[4]Summary!F461</f>
        <v>2</v>
      </c>
      <c r="G462" s="26">
        <f t="shared" si="7"/>
        <v>0</v>
      </c>
      <c r="H462" s="26" t="s">
        <v>5404</v>
      </c>
    </row>
    <row r="463" spans="1:8" ht="21">
      <c r="A463" s="16">
        <v>459</v>
      </c>
      <c r="B463" s="17" t="s">
        <v>2651</v>
      </c>
      <c r="C463" s="17" t="s">
        <v>2652</v>
      </c>
      <c r="D463" s="18" t="s">
        <v>1584</v>
      </c>
      <c r="E463" s="19">
        <f>[4]Summary!E462</f>
        <v>6</v>
      </c>
      <c r="F463" s="52">
        <f>[4]Summary!F462</f>
        <v>0</v>
      </c>
      <c r="G463" s="20">
        <f t="shared" si="7"/>
        <v>0</v>
      </c>
      <c r="H463" s="20" t="s">
        <v>5390</v>
      </c>
    </row>
    <row r="464" spans="1:8" ht="21">
      <c r="A464" s="21">
        <v>460</v>
      </c>
      <c r="B464" s="22" t="s">
        <v>2653</v>
      </c>
      <c r="C464" s="22" t="s">
        <v>2654</v>
      </c>
      <c r="D464" s="23" t="s">
        <v>1584</v>
      </c>
      <c r="E464" s="24">
        <f>[4]Summary!E463</f>
        <v>5.5</v>
      </c>
      <c r="F464" s="25">
        <f>[4]Summary!F463</f>
        <v>0</v>
      </c>
      <c r="G464" s="26">
        <f t="shared" si="7"/>
        <v>0</v>
      </c>
      <c r="H464" s="26" t="s">
        <v>5390</v>
      </c>
    </row>
    <row r="465" spans="1:8" ht="21">
      <c r="A465" s="16">
        <v>461</v>
      </c>
      <c r="B465" s="17" t="s">
        <v>2655</v>
      </c>
      <c r="C465" s="17" t="s">
        <v>2656</v>
      </c>
      <c r="D465" s="18" t="s">
        <v>1584</v>
      </c>
      <c r="E465" s="19">
        <f>[4]Summary!E464</f>
        <v>3.5</v>
      </c>
      <c r="F465" s="52">
        <f>[4]Summary!F464</f>
        <v>27</v>
      </c>
      <c r="G465" s="20">
        <f t="shared" si="7"/>
        <v>94.5</v>
      </c>
      <c r="H465" s="20" t="s">
        <v>5404</v>
      </c>
    </row>
    <row r="466" spans="1:8" ht="21">
      <c r="A466" s="21">
        <v>462</v>
      </c>
      <c r="B466" s="22" t="s">
        <v>2657</v>
      </c>
      <c r="C466" s="22" t="s">
        <v>2658</v>
      </c>
      <c r="D466" s="23" t="s">
        <v>1584</v>
      </c>
      <c r="E466" s="24">
        <f>[4]Summary!E465</f>
        <v>0</v>
      </c>
      <c r="F466" s="25">
        <f>[4]Summary!F465</f>
        <v>0</v>
      </c>
      <c r="G466" s="26">
        <f t="shared" si="7"/>
        <v>0</v>
      </c>
      <c r="H466" s="26" t="s">
        <v>5404</v>
      </c>
    </row>
    <row r="467" spans="1:8" ht="21">
      <c r="A467" s="16">
        <v>463</v>
      </c>
      <c r="B467" s="17" t="s">
        <v>2659</v>
      </c>
      <c r="C467" s="17" t="s">
        <v>2660</v>
      </c>
      <c r="D467" s="18" t="s">
        <v>1584</v>
      </c>
      <c r="E467" s="19">
        <f>[4]Summary!E466</f>
        <v>0</v>
      </c>
      <c r="F467" s="52">
        <f>[4]Summary!F466</f>
        <v>0</v>
      </c>
      <c r="G467" s="20">
        <f t="shared" si="7"/>
        <v>0</v>
      </c>
      <c r="H467" s="20" t="s">
        <v>5404</v>
      </c>
    </row>
    <row r="468" spans="1:8" ht="21">
      <c r="A468" s="21">
        <v>464</v>
      </c>
      <c r="B468" s="22" t="s">
        <v>2661</v>
      </c>
      <c r="C468" s="22" t="s">
        <v>2662</v>
      </c>
      <c r="D468" s="23" t="s">
        <v>1584</v>
      </c>
      <c r="E468" s="24">
        <f>[4]Summary!E467</f>
        <v>3.5</v>
      </c>
      <c r="F468" s="25">
        <f>[4]Summary!F467</f>
        <v>0</v>
      </c>
      <c r="G468" s="26">
        <f t="shared" si="7"/>
        <v>0</v>
      </c>
      <c r="H468" s="26" t="s">
        <v>5404</v>
      </c>
    </row>
    <row r="469" spans="1:8" ht="21">
      <c r="A469" s="16">
        <v>465</v>
      </c>
      <c r="B469" s="17" t="s">
        <v>2663</v>
      </c>
      <c r="C469" s="17" t="s">
        <v>2664</v>
      </c>
      <c r="D469" s="18" t="s">
        <v>1584</v>
      </c>
      <c r="E469" s="19">
        <f>[4]Summary!E468</f>
        <v>5.5</v>
      </c>
      <c r="F469" s="52">
        <f>[4]Summary!F468</f>
        <v>91</v>
      </c>
      <c r="G469" s="20">
        <f t="shared" si="7"/>
        <v>500.5</v>
      </c>
      <c r="H469" s="20" t="s">
        <v>5404</v>
      </c>
    </row>
    <row r="470" spans="1:8" ht="21">
      <c r="A470" s="21">
        <v>466</v>
      </c>
      <c r="B470" s="22" t="s">
        <v>2665</v>
      </c>
      <c r="C470" s="22" t="s">
        <v>2666</v>
      </c>
      <c r="D470" s="23" t="s">
        <v>1584</v>
      </c>
      <c r="E470" s="24">
        <f>[4]Summary!E469</f>
        <v>3.5</v>
      </c>
      <c r="F470" s="25">
        <f>[4]Summary!F469</f>
        <v>38</v>
      </c>
      <c r="G470" s="26">
        <f t="shared" si="7"/>
        <v>133</v>
      </c>
      <c r="H470" s="26" t="s">
        <v>5414</v>
      </c>
    </row>
    <row r="471" spans="1:8" ht="21">
      <c r="A471" s="16">
        <v>467</v>
      </c>
      <c r="B471" s="17" t="s">
        <v>2667</v>
      </c>
      <c r="C471" s="17" t="s">
        <v>2668</v>
      </c>
      <c r="D471" s="18" t="s">
        <v>1584</v>
      </c>
      <c r="E471" s="19">
        <f>[4]Summary!E470</f>
        <v>25</v>
      </c>
      <c r="F471" s="52">
        <f>[4]Summary!F470</f>
        <v>0</v>
      </c>
      <c r="G471" s="20">
        <f t="shared" si="7"/>
        <v>0</v>
      </c>
      <c r="H471" s="20" t="s">
        <v>5412</v>
      </c>
    </row>
    <row r="472" spans="1:8" ht="21">
      <c r="A472" s="21">
        <v>468</v>
      </c>
      <c r="B472" s="22" t="s">
        <v>2669</v>
      </c>
      <c r="C472" s="22" t="s">
        <v>2670</v>
      </c>
      <c r="D472" s="23" t="s">
        <v>1584</v>
      </c>
      <c r="E472" s="24">
        <f>[4]Summary!E471</f>
        <v>2.4</v>
      </c>
      <c r="F472" s="25">
        <f>[4]Summary!F471</f>
        <v>0.87</v>
      </c>
      <c r="G472" s="26">
        <f t="shared" si="7"/>
        <v>2.0880000000000001</v>
      </c>
      <c r="H472" s="26" t="s">
        <v>5406</v>
      </c>
    </row>
    <row r="473" spans="1:8" ht="21">
      <c r="A473" s="16">
        <v>469</v>
      </c>
      <c r="B473" s="17" t="s">
        <v>2671</v>
      </c>
      <c r="C473" s="17" t="s">
        <v>2672</v>
      </c>
      <c r="D473" s="18" t="s">
        <v>1584</v>
      </c>
      <c r="E473" s="19">
        <f>[4]Summary!E472</f>
        <v>15</v>
      </c>
      <c r="F473" s="52">
        <f>[4]Summary!F472</f>
        <v>4</v>
      </c>
      <c r="G473" s="20">
        <f t="shared" si="7"/>
        <v>60</v>
      </c>
      <c r="H473" s="20" t="s">
        <v>5408</v>
      </c>
    </row>
    <row r="474" spans="1:8" ht="21">
      <c r="A474" s="21">
        <v>470</v>
      </c>
      <c r="B474" s="22" t="s">
        <v>2673</v>
      </c>
      <c r="C474" s="22" t="s">
        <v>2674</v>
      </c>
      <c r="D474" s="23" t="s">
        <v>1584</v>
      </c>
      <c r="E474" s="24">
        <f>[4]Summary!E473</f>
        <v>19</v>
      </c>
      <c r="F474" s="25">
        <f>[4]Summary!F473</f>
        <v>3.8330000000000002</v>
      </c>
      <c r="G474" s="26">
        <f t="shared" si="7"/>
        <v>72.826999999999998</v>
      </c>
      <c r="H474" s="26" t="s">
        <v>5408</v>
      </c>
    </row>
    <row r="475" spans="1:8" ht="21">
      <c r="A475" s="16">
        <v>471</v>
      </c>
      <c r="B475" s="17" t="s">
        <v>2675</v>
      </c>
      <c r="C475" s="17" t="s">
        <v>2676</v>
      </c>
      <c r="D475" s="18" t="s">
        <v>1584</v>
      </c>
      <c r="E475" s="19">
        <f>[4]Summary!E474</f>
        <v>6.2</v>
      </c>
      <c r="F475" s="52">
        <f>[4]Summary!F474</f>
        <v>9</v>
      </c>
      <c r="G475" s="20">
        <f t="shared" si="7"/>
        <v>55.800000000000004</v>
      </c>
      <c r="H475" s="20" t="s">
        <v>5406</v>
      </c>
    </row>
    <row r="476" spans="1:8" ht="21">
      <c r="A476" s="21">
        <v>472</v>
      </c>
      <c r="B476" s="22" t="s">
        <v>2677</v>
      </c>
      <c r="C476" s="22" t="s">
        <v>2678</v>
      </c>
      <c r="D476" s="23" t="s">
        <v>1584</v>
      </c>
      <c r="E476" s="24">
        <f>[4]Summary!E475</f>
        <v>7.5</v>
      </c>
      <c r="F476" s="25">
        <f>[4]Summary!F475</f>
        <v>0</v>
      </c>
      <c r="G476" s="26">
        <f t="shared" si="7"/>
        <v>0</v>
      </c>
      <c r="H476" s="26" t="s">
        <v>5405</v>
      </c>
    </row>
    <row r="477" spans="1:8" ht="21">
      <c r="A477" s="16">
        <v>473</v>
      </c>
      <c r="B477" s="17" t="s">
        <v>2679</v>
      </c>
      <c r="C477" s="17" t="s">
        <v>2680</v>
      </c>
      <c r="D477" s="18" t="s">
        <v>1584</v>
      </c>
      <c r="E477" s="19">
        <f>[4]Summary!E476</f>
        <v>10.1</v>
      </c>
      <c r="F477" s="52">
        <f>[4]Summary!F476</f>
        <v>26</v>
      </c>
      <c r="G477" s="20">
        <f t="shared" si="7"/>
        <v>262.59999999999997</v>
      </c>
      <c r="H477" s="20" t="s">
        <v>5406</v>
      </c>
    </row>
    <row r="478" spans="1:8" ht="21">
      <c r="A478" s="21">
        <v>474</v>
      </c>
      <c r="B478" s="22" t="s">
        <v>2679</v>
      </c>
      <c r="C478" s="22" t="s">
        <v>2681</v>
      </c>
      <c r="D478" s="23" t="s">
        <v>1584</v>
      </c>
      <c r="E478" s="24">
        <f>[4]Summary!E477</f>
        <v>15.5</v>
      </c>
      <c r="F478" s="25">
        <f>[4]Summary!F477</f>
        <v>20</v>
      </c>
      <c r="G478" s="26">
        <f t="shared" si="7"/>
        <v>310</v>
      </c>
      <c r="H478" s="26" t="s">
        <v>5406</v>
      </c>
    </row>
    <row r="479" spans="1:8" ht="42">
      <c r="A479" s="16">
        <v>475</v>
      </c>
      <c r="B479" s="17" t="s">
        <v>2682</v>
      </c>
      <c r="C479" s="17" t="s">
        <v>2683</v>
      </c>
      <c r="D479" s="18" t="s">
        <v>1584</v>
      </c>
      <c r="E479" s="19">
        <f>[4]Summary!E478</f>
        <v>2.5</v>
      </c>
      <c r="F479" s="52">
        <f>[4]Summary!F478</f>
        <v>0</v>
      </c>
      <c r="G479" s="20">
        <f t="shared" si="7"/>
        <v>0</v>
      </c>
      <c r="H479" s="20" t="s">
        <v>5410</v>
      </c>
    </row>
    <row r="480" spans="1:8" ht="21">
      <c r="A480" s="21">
        <v>476</v>
      </c>
      <c r="B480" s="22" t="s">
        <v>2684</v>
      </c>
      <c r="C480" s="22" t="s">
        <v>2685</v>
      </c>
      <c r="D480" s="23" t="s">
        <v>1584</v>
      </c>
      <c r="E480" s="24">
        <f>[4]Summary!E479</f>
        <v>0</v>
      </c>
      <c r="F480" s="25">
        <f>[4]Summary!F479</f>
        <v>1</v>
      </c>
      <c r="G480" s="26">
        <f t="shared" si="7"/>
        <v>0</v>
      </c>
      <c r="H480" s="26" t="s">
        <v>5405</v>
      </c>
    </row>
    <row r="481" spans="1:8" ht="21">
      <c r="A481" s="16">
        <v>477</v>
      </c>
      <c r="B481" s="17" t="s">
        <v>2686</v>
      </c>
      <c r="C481" s="17" t="s">
        <v>2687</v>
      </c>
      <c r="D481" s="18" t="s">
        <v>1584</v>
      </c>
      <c r="E481" s="19">
        <f>[4]Summary!E480</f>
        <v>50</v>
      </c>
      <c r="F481" s="52">
        <f>[4]Summary!F480</f>
        <v>0</v>
      </c>
      <c r="G481" s="20">
        <f t="shared" si="7"/>
        <v>0</v>
      </c>
      <c r="H481" s="20" t="s">
        <v>5408</v>
      </c>
    </row>
    <row r="482" spans="1:8" ht="21">
      <c r="A482" s="21">
        <v>478</v>
      </c>
      <c r="B482" s="22" t="s">
        <v>2688</v>
      </c>
      <c r="C482" s="22" t="s">
        <v>2689</v>
      </c>
      <c r="D482" s="23" t="s">
        <v>1584</v>
      </c>
      <c r="E482" s="24">
        <f>[4]Summary!E481</f>
        <v>2.5</v>
      </c>
      <c r="F482" s="25">
        <f>[4]Summary!F481</f>
        <v>0</v>
      </c>
      <c r="G482" s="26">
        <f t="shared" si="7"/>
        <v>0</v>
      </c>
      <c r="H482" s="26" t="s">
        <v>5410</v>
      </c>
    </row>
    <row r="483" spans="1:8" ht="21">
      <c r="A483" s="16">
        <v>479</v>
      </c>
      <c r="B483" s="17" t="s">
        <v>2690</v>
      </c>
      <c r="C483" s="17" t="s">
        <v>2691</v>
      </c>
      <c r="D483" s="18" t="s">
        <v>1584</v>
      </c>
      <c r="E483" s="19">
        <f>[4]Summary!E482</f>
        <v>16.5</v>
      </c>
      <c r="F483" s="52">
        <f>[4]Summary!F482</f>
        <v>37</v>
      </c>
      <c r="G483" s="20">
        <f t="shared" si="7"/>
        <v>610.5</v>
      </c>
      <c r="H483" s="20" t="s">
        <v>5406</v>
      </c>
    </row>
    <row r="484" spans="1:8" ht="21">
      <c r="A484" s="21">
        <v>480</v>
      </c>
      <c r="B484" s="22" t="s">
        <v>2692</v>
      </c>
      <c r="C484" s="22" t="s">
        <v>2693</v>
      </c>
      <c r="D484" s="23" t="s">
        <v>1584</v>
      </c>
      <c r="E484" s="24">
        <f>[4]Summary!E483</f>
        <v>10.75</v>
      </c>
      <c r="F484" s="25">
        <f>[4]Summary!F483</f>
        <v>0</v>
      </c>
      <c r="G484" s="26">
        <f t="shared" si="7"/>
        <v>0</v>
      </c>
      <c r="H484" s="26" t="s">
        <v>5404</v>
      </c>
    </row>
    <row r="485" spans="1:8" ht="21">
      <c r="A485" s="16">
        <v>481</v>
      </c>
      <c r="B485" s="17" t="s">
        <v>2694</v>
      </c>
      <c r="C485" s="17" t="s">
        <v>2695</v>
      </c>
      <c r="D485" s="18" t="s">
        <v>1584</v>
      </c>
      <c r="E485" s="19">
        <f>[4]Summary!E484</f>
        <v>0</v>
      </c>
      <c r="F485" s="52">
        <f>[4]Summary!F484</f>
        <v>0</v>
      </c>
      <c r="G485" s="20">
        <f t="shared" si="7"/>
        <v>0</v>
      </c>
      <c r="H485" s="20" t="s">
        <v>5404</v>
      </c>
    </row>
    <row r="486" spans="1:8" ht="21">
      <c r="A486" s="21">
        <v>482</v>
      </c>
      <c r="B486" s="22" t="s">
        <v>2696</v>
      </c>
      <c r="C486" s="22" t="s">
        <v>2697</v>
      </c>
      <c r="D486" s="23" t="s">
        <v>1584</v>
      </c>
      <c r="E486" s="24">
        <f>[4]Summary!E485</f>
        <v>15</v>
      </c>
      <c r="F486" s="25">
        <f>[4]Summary!F485</f>
        <v>0</v>
      </c>
      <c r="G486" s="26">
        <f t="shared" si="7"/>
        <v>0</v>
      </c>
      <c r="H486" s="26" t="s">
        <v>5404</v>
      </c>
    </row>
    <row r="487" spans="1:8" ht="21">
      <c r="A487" s="16">
        <v>483</v>
      </c>
      <c r="B487" s="17" t="s">
        <v>2698</v>
      </c>
      <c r="C487" s="17" t="s">
        <v>2699</v>
      </c>
      <c r="D487" s="18" t="s">
        <v>1584</v>
      </c>
      <c r="E487" s="19">
        <f>[4]Summary!E486</f>
        <v>28</v>
      </c>
      <c r="F487" s="52">
        <f>[4]Summary!F486</f>
        <v>0</v>
      </c>
      <c r="G487" s="20">
        <f t="shared" si="7"/>
        <v>0</v>
      </c>
      <c r="H487" s="20" t="s">
        <v>5405</v>
      </c>
    </row>
    <row r="488" spans="1:8" ht="21">
      <c r="A488" s="21">
        <v>484</v>
      </c>
      <c r="B488" s="22" t="s">
        <v>2700</v>
      </c>
      <c r="C488" s="22" t="s">
        <v>2701</v>
      </c>
      <c r="D488" s="23" t="s">
        <v>1584</v>
      </c>
      <c r="E488" s="24">
        <f>[4]Summary!E487</f>
        <v>10.135</v>
      </c>
      <c r="F488" s="25">
        <f>[4]Summary!F487</f>
        <v>0</v>
      </c>
      <c r="G488" s="26">
        <f t="shared" si="7"/>
        <v>0</v>
      </c>
      <c r="H488" s="26" t="s">
        <v>5408</v>
      </c>
    </row>
    <row r="489" spans="1:8" ht="21">
      <c r="A489" s="16">
        <v>485</v>
      </c>
      <c r="B489" s="17" t="s">
        <v>2688</v>
      </c>
      <c r="C489" s="17" t="s">
        <v>2702</v>
      </c>
      <c r="D489" s="18" t="s">
        <v>1584</v>
      </c>
      <c r="E489" s="19">
        <f>[4]Summary!E488</f>
        <v>3.5</v>
      </c>
      <c r="F489" s="52">
        <f>[4]Summary!F488</f>
        <v>0</v>
      </c>
      <c r="G489" s="20">
        <f t="shared" si="7"/>
        <v>0</v>
      </c>
      <c r="H489" s="20" t="s">
        <v>5410</v>
      </c>
    </row>
    <row r="490" spans="1:8" ht="21">
      <c r="A490" s="21">
        <v>486</v>
      </c>
      <c r="B490" s="22" t="s">
        <v>2703</v>
      </c>
      <c r="C490" s="22" t="s">
        <v>2704</v>
      </c>
      <c r="D490" s="23" t="s">
        <v>1584</v>
      </c>
      <c r="E490" s="24">
        <f>[4]Summary!E489</f>
        <v>27.7</v>
      </c>
      <c r="F490" s="25">
        <f>[4]Summary!F489</f>
        <v>5</v>
      </c>
      <c r="G490" s="26">
        <f t="shared" si="7"/>
        <v>138.5</v>
      </c>
      <c r="H490" s="26" t="s">
        <v>5406</v>
      </c>
    </row>
    <row r="491" spans="1:8" ht="21">
      <c r="A491" s="16">
        <v>487</v>
      </c>
      <c r="B491" s="17" t="s">
        <v>2705</v>
      </c>
      <c r="C491" s="17" t="s">
        <v>2706</v>
      </c>
      <c r="D491" s="18" t="s">
        <v>1584</v>
      </c>
      <c r="E491" s="19">
        <f>[4]Summary!E490</f>
        <v>0</v>
      </c>
      <c r="F491" s="52">
        <f>[4]Summary!F490</f>
        <v>1</v>
      </c>
      <c r="G491" s="20">
        <f t="shared" si="7"/>
        <v>0</v>
      </c>
      <c r="H491" s="20" t="s">
        <v>5406</v>
      </c>
    </row>
    <row r="492" spans="1:8" ht="21">
      <c r="A492" s="21">
        <v>488</v>
      </c>
      <c r="B492" s="22" t="s">
        <v>2707</v>
      </c>
      <c r="C492" s="22" t="s">
        <v>2708</v>
      </c>
      <c r="D492" s="23" t="s">
        <v>1584</v>
      </c>
      <c r="E492" s="24">
        <f>[4]Summary!E491</f>
        <v>7</v>
      </c>
      <c r="F492" s="25">
        <f>[4]Summary!F491</f>
        <v>14</v>
      </c>
      <c r="G492" s="26">
        <f t="shared" si="7"/>
        <v>98</v>
      </c>
      <c r="H492" s="26" t="s">
        <v>5405</v>
      </c>
    </row>
    <row r="493" spans="1:8" ht="21">
      <c r="A493" s="16">
        <v>489</v>
      </c>
      <c r="B493" s="17" t="s">
        <v>2709</v>
      </c>
      <c r="C493" s="17" t="s">
        <v>2710</v>
      </c>
      <c r="D493" s="18" t="s">
        <v>1584</v>
      </c>
      <c r="E493" s="19">
        <f>[4]Summary!E492</f>
        <v>67</v>
      </c>
      <c r="F493" s="52">
        <f>[4]Summary!F492</f>
        <v>0</v>
      </c>
      <c r="G493" s="20">
        <f t="shared" si="7"/>
        <v>0</v>
      </c>
      <c r="H493" s="20" t="s">
        <v>5408</v>
      </c>
    </row>
    <row r="494" spans="1:8" ht="21">
      <c r="A494" s="21">
        <v>490</v>
      </c>
      <c r="B494" s="22" t="s">
        <v>2688</v>
      </c>
      <c r="C494" s="22" t="s">
        <v>2711</v>
      </c>
      <c r="D494" s="23" t="s">
        <v>1584</v>
      </c>
      <c r="E494" s="24">
        <f>[4]Summary!E493</f>
        <v>4.25</v>
      </c>
      <c r="F494" s="25">
        <f>[4]Summary!F493</f>
        <v>0</v>
      </c>
      <c r="G494" s="26">
        <f t="shared" si="7"/>
        <v>0</v>
      </c>
      <c r="H494" s="26" t="s">
        <v>5410</v>
      </c>
    </row>
    <row r="495" spans="1:8" ht="21">
      <c r="A495" s="16">
        <v>491</v>
      </c>
      <c r="B495" s="17" t="s">
        <v>2712</v>
      </c>
      <c r="C495" s="17" t="s">
        <v>2713</v>
      </c>
      <c r="D495" s="18" t="s">
        <v>1584</v>
      </c>
      <c r="E495" s="19">
        <f>[4]Summary!E494</f>
        <v>17.5</v>
      </c>
      <c r="F495" s="52">
        <f>[4]Summary!F494</f>
        <v>0</v>
      </c>
      <c r="G495" s="20">
        <f t="shared" si="7"/>
        <v>0</v>
      </c>
      <c r="H495" s="20" t="s">
        <v>5404</v>
      </c>
    </row>
    <row r="496" spans="1:8" ht="21">
      <c r="A496" s="21">
        <v>492</v>
      </c>
      <c r="B496" s="22" t="s">
        <v>2714</v>
      </c>
      <c r="C496" s="22" t="s">
        <v>2715</v>
      </c>
      <c r="D496" s="23" t="s">
        <v>1584</v>
      </c>
      <c r="E496" s="24">
        <f>[4]Summary!E495</f>
        <v>16.5</v>
      </c>
      <c r="F496" s="25">
        <f>[4]Summary!F495</f>
        <v>0</v>
      </c>
      <c r="G496" s="26">
        <f t="shared" si="7"/>
        <v>0</v>
      </c>
      <c r="H496" s="26" t="s">
        <v>5408</v>
      </c>
    </row>
    <row r="497" spans="1:8" ht="21">
      <c r="A497" s="16">
        <v>493</v>
      </c>
      <c r="B497" s="17" t="s">
        <v>2716</v>
      </c>
      <c r="C497" s="17" t="s">
        <v>2717</v>
      </c>
      <c r="D497" s="18" t="s">
        <v>1584</v>
      </c>
      <c r="E497" s="19">
        <f>[4]Summary!E496</f>
        <v>3.55</v>
      </c>
      <c r="F497" s="52">
        <f>[4]Summary!F496</f>
        <v>103</v>
      </c>
      <c r="G497" s="20">
        <f t="shared" si="7"/>
        <v>365.65</v>
      </c>
      <c r="H497" s="20" t="s">
        <v>5406</v>
      </c>
    </row>
    <row r="498" spans="1:8" ht="21">
      <c r="A498" s="21">
        <v>494</v>
      </c>
      <c r="B498" s="22" t="s">
        <v>2718</v>
      </c>
      <c r="C498" s="22" t="s">
        <v>2719</v>
      </c>
      <c r="D498" s="23" t="s">
        <v>1584</v>
      </c>
      <c r="E498" s="24">
        <f>[4]Summary!E497</f>
        <v>3</v>
      </c>
      <c r="F498" s="25">
        <f>[4]Summary!F497</f>
        <v>0</v>
      </c>
      <c r="G498" s="26">
        <f t="shared" si="7"/>
        <v>0</v>
      </c>
      <c r="H498" s="26" t="s">
        <v>5405</v>
      </c>
    </row>
    <row r="499" spans="1:8" ht="21">
      <c r="A499" s="16">
        <v>495</v>
      </c>
      <c r="B499" s="17" t="s">
        <v>2688</v>
      </c>
      <c r="C499" s="17" t="s">
        <v>2720</v>
      </c>
      <c r="D499" s="18" t="s">
        <v>1584</v>
      </c>
      <c r="E499" s="19">
        <f>[4]Summary!E498</f>
        <v>5.5</v>
      </c>
      <c r="F499" s="52">
        <f>[4]Summary!F498</f>
        <v>0</v>
      </c>
      <c r="G499" s="20">
        <f t="shared" si="7"/>
        <v>0</v>
      </c>
      <c r="H499" s="20" t="s">
        <v>5410</v>
      </c>
    </row>
    <row r="500" spans="1:8" ht="21">
      <c r="A500" s="21">
        <v>496</v>
      </c>
      <c r="B500" s="22" t="s">
        <v>2721</v>
      </c>
      <c r="C500" s="22" t="s">
        <v>2722</v>
      </c>
      <c r="D500" s="23" t="s">
        <v>1584</v>
      </c>
      <c r="E500" s="24">
        <f>[4]Summary!E499</f>
        <v>11</v>
      </c>
      <c r="F500" s="25">
        <f>[4]Summary!F499</f>
        <v>2</v>
      </c>
      <c r="G500" s="26">
        <f t="shared" si="7"/>
        <v>22</v>
      </c>
      <c r="H500" s="26" t="s">
        <v>5405</v>
      </c>
    </row>
    <row r="501" spans="1:8" ht="21">
      <c r="A501" s="16">
        <v>497</v>
      </c>
      <c r="B501" s="17" t="s">
        <v>2723</v>
      </c>
      <c r="C501" s="17" t="s">
        <v>2724</v>
      </c>
      <c r="D501" s="18" t="s">
        <v>1584</v>
      </c>
      <c r="E501" s="19">
        <f>[4]Summary!E500</f>
        <v>95</v>
      </c>
      <c r="F501" s="52">
        <f>[4]Summary!F500</f>
        <v>0</v>
      </c>
      <c r="G501" s="20">
        <f t="shared" si="7"/>
        <v>0</v>
      </c>
      <c r="H501" s="20" t="s">
        <v>5408</v>
      </c>
    </row>
    <row r="502" spans="1:8" ht="21">
      <c r="A502" s="21">
        <v>498</v>
      </c>
      <c r="B502" s="22" t="s">
        <v>2688</v>
      </c>
      <c r="C502" s="22" t="s">
        <v>2725</v>
      </c>
      <c r="D502" s="23" t="s">
        <v>1584</v>
      </c>
      <c r="E502" s="24">
        <f>[4]Summary!E501</f>
        <v>7</v>
      </c>
      <c r="F502" s="25">
        <f>[4]Summary!F501</f>
        <v>0</v>
      </c>
      <c r="G502" s="26">
        <f t="shared" si="7"/>
        <v>0</v>
      </c>
      <c r="H502" s="26" t="s">
        <v>5410</v>
      </c>
    </row>
    <row r="503" spans="1:8" ht="21">
      <c r="A503" s="16">
        <v>499</v>
      </c>
      <c r="B503" s="17" t="s">
        <v>2726</v>
      </c>
      <c r="C503" s="17" t="s">
        <v>2727</v>
      </c>
      <c r="D503" s="18" t="s">
        <v>1584</v>
      </c>
      <c r="E503" s="19">
        <f>[4]Summary!E502</f>
        <v>12.244</v>
      </c>
      <c r="F503" s="52">
        <f>[4]Summary!F502</f>
        <v>0</v>
      </c>
      <c r="G503" s="20">
        <f t="shared" si="7"/>
        <v>0</v>
      </c>
      <c r="H503" s="20" t="s">
        <v>5404</v>
      </c>
    </row>
    <row r="504" spans="1:8" ht="21">
      <c r="A504" s="21">
        <v>500</v>
      </c>
      <c r="B504" s="22" t="s">
        <v>2728</v>
      </c>
      <c r="C504" s="22" t="s">
        <v>2729</v>
      </c>
      <c r="D504" s="23" t="s">
        <v>1584</v>
      </c>
      <c r="E504" s="24">
        <f>[4]Summary!E503</f>
        <v>0</v>
      </c>
      <c r="F504" s="25">
        <f>[4]Summary!F503</f>
        <v>0</v>
      </c>
      <c r="G504" s="26">
        <f t="shared" si="7"/>
        <v>0</v>
      </c>
      <c r="H504" s="26" t="s">
        <v>5404</v>
      </c>
    </row>
    <row r="505" spans="1:8" ht="21">
      <c r="A505" s="16">
        <v>501</v>
      </c>
      <c r="B505" s="17" t="s">
        <v>2730</v>
      </c>
      <c r="C505" s="17" t="s">
        <v>2731</v>
      </c>
      <c r="D505" s="18" t="s">
        <v>1584</v>
      </c>
      <c r="E505" s="19">
        <f>[4]Summary!E504</f>
        <v>7</v>
      </c>
      <c r="F505" s="52">
        <f>[4]Summary!F504</f>
        <v>18</v>
      </c>
      <c r="G505" s="20">
        <f t="shared" si="7"/>
        <v>126</v>
      </c>
      <c r="H505" s="20" t="s">
        <v>5404</v>
      </c>
    </row>
    <row r="506" spans="1:8" ht="21">
      <c r="A506" s="21">
        <v>502</v>
      </c>
      <c r="B506" s="22" t="s">
        <v>2688</v>
      </c>
      <c r="C506" s="22" t="s">
        <v>2732</v>
      </c>
      <c r="D506" s="23" t="s">
        <v>1584</v>
      </c>
      <c r="E506" s="24">
        <f>[4]Summary!E505</f>
        <v>7</v>
      </c>
      <c r="F506" s="25">
        <f>[4]Summary!F505</f>
        <v>4</v>
      </c>
      <c r="G506" s="26">
        <f t="shared" si="7"/>
        <v>28</v>
      </c>
      <c r="H506" s="26" t="s">
        <v>5410</v>
      </c>
    </row>
    <row r="507" spans="1:8" ht="21">
      <c r="A507" s="16">
        <v>503</v>
      </c>
      <c r="B507" s="17" t="s">
        <v>2733</v>
      </c>
      <c r="C507" s="17" t="s">
        <v>2734</v>
      </c>
      <c r="D507" s="18" t="s">
        <v>2420</v>
      </c>
      <c r="E507" s="19">
        <f>[4]Summary!E506</f>
        <v>3.29</v>
      </c>
      <c r="F507" s="52">
        <f>[4]Summary!F506</f>
        <v>0</v>
      </c>
      <c r="G507" s="20">
        <f t="shared" si="7"/>
        <v>0</v>
      </c>
      <c r="H507" s="20" t="s">
        <v>5408</v>
      </c>
    </row>
    <row r="508" spans="1:8" ht="21">
      <c r="A508" s="21">
        <v>504</v>
      </c>
      <c r="B508" s="22" t="s">
        <v>2735</v>
      </c>
      <c r="C508" s="22" t="s">
        <v>2736</v>
      </c>
      <c r="D508" s="23" t="s">
        <v>1584</v>
      </c>
      <c r="E508" s="24">
        <f>[4]Summary!E507</f>
        <v>33.5</v>
      </c>
      <c r="F508" s="25">
        <f>[4]Summary!F507</f>
        <v>15</v>
      </c>
      <c r="G508" s="26">
        <f t="shared" si="7"/>
        <v>502.5</v>
      </c>
      <c r="H508" s="26" t="s">
        <v>5404</v>
      </c>
    </row>
    <row r="509" spans="1:8" ht="21">
      <c r="A509" s="16">
        <v>505</v>
      </c>
      <c r="B509" s="17" t="s">
        <v>2737</v>
      </c>
      <c r="C509" s="17" t="s">
        <v>2738</v>
      </c>
      <c r="D509" s="18" t="s">
        <v>1584</v>
      </c>
      <c r="E509" s="19">
        <f>[4]Summary!E508</f>
        <v>13</v>
      </c>
      <c r="F509" s="52">
        <f>[4]Summary!F508</f>
        <v>0</v>
      </c>
      <c r="G509" s="20">
        <f t="shared" si="7"/>
        <v>0</v>
      </c>
      <c r="H509" s="20" t="s">
        <v>5404</v>
      </c>
    </row>
    <row r="510" spans="1:8" ht="21">
      <c r="A510" s="21">
        <v>506</v>
      </c>
      <c r="B510" s="22" t="s">
        <v>2739</v>
      </c>
      <c r="C510" s="22" t="s">
        <v>2740</v>
      </c>
      <c r="D510" s="23" t="s">
        <v>1584</v>
      </c>
      <c r="E510" s="24">
        <f>[4]Summary!E509</f>
        <v>29</v>
      </c>
      <c r="F510" s="25">
        <f>[4]Summary!F509</f>
        <v>0</v>
      </c>
      <c r="G510" s="26">
        <f t="shared" si="7"/>
        <v>0</v>
      </c>
      <c r="H510" s="26" t="s">
        <v>5404</v>
      </c>
    </row>
    <row r="511" spans="1:8" ht="21">
      <c r="A511" s="16">
        <v>507</v>
      </c>
      <c r="B511" s="17" t="s">
        <v>5767</v>
      </c>
      <c r="C511" s="17" t="s">
        <v>5768</v>
      </c>
      <c r="D511" s="18" t="s">
        <v>1584</v>
      </c>
      <c r="E511" s="19">
        <f>[4]Summary!E510</f>
        <v>0</v>
      </c>
      <c r="F511" s="52">
        <f>[4]Summary!F510</f>
        <v>39</v>
      </c>
      <c r="G511" s="20">
        <f t="shared" si="7"/>
        <v>0</v>
      </c>
      <c r="H511" s="20" t="s">
        <v>5404</v>
      </c>
    </row>
    <row r="512" spans="1:8" ht="21">
      <c r="A512" s="21">
        <v>508</v>
      </c>
      <c r="B512" s="22" t="s">
        <v>2741</v>
      </c>
      <c r="C512" s="22" t="s">
        <v>2742</v>
      </c>
      <c r="D512" s="23" t="s">
        <v>1584</v>
      </c>
      <c r="E512" s="24">
        <f>[4]Summary!E511</f>
        <v>59.5</v>
      </c>
      <c r="F512" s="25">
        <f>[4]Summary!F511</f>
        <v>3</v>
      </c>
      <c r="G512" s="26">
        <f t="shared" si="7"/>
        <v>178.5</v>
      </c>
      <c r="H512" s="26" t="s">
        <v>5404</v>
      </c>
    </row>
    <row r="513" spans="1:8" ht="21">
      <c r="A513" s="16">
        <v>509</v>
      </c>
      <c r="B513" s="17" t="s">
        <v>5769</v>
      </c>
      <c r="C513" s="17" t="s">
        <v>5770</v>
      </c>
      <c r="D513" s="18" t="s">
        <v>1584</v>
      </c>
      <c r="E513" s="19">
        <f>[4]Summary!E512</f>
        <v>0</v>
      </c>
      <c r="F513" s="52">
        <f>[4]Summary!F512</f>
        <v>89</v>
      </c>
      <c r="G513" s="20">
        <f t="shared" si="7"/>
        <v>0</v>
      </c>
      <c r="H513" s="20" t="s">
        <v>5404</v>
      </c>
    </row>
    <row r="514" spans="1:8" ht="21">
      <c r="A514" s="21">
        <v>510</v>
      </c>
      <c r="B514" s="22" t="s">
        <v>2743</v>
      </c>
      <c r="C514" s="22" t="s">
        <v>2744</v>
      </c>
      <c r="D514" s="23" t="s">
        <v>1584</v>
      </c>
      <c r="E514" s="24">
        <f>[4]Summary!E513</f>
        <v>0.34399999999999997</v>
      </c>
      <c r="F514" s="25">
        <f>[4]Summary!F513</f>
        <v>0</v>
      </c>
      <c r="G514" s="26">
        <f t="shared" si="7"/>
        <v>0</v>
      </c>
      <c r="H514" s="26" t="s">
        <v>5406</v>
      </c>
    </row>
    <row r="515" spans="1:8" ht="21">
      <c r="A515" s="16">
        <v>511</v>
      </c>
      <c r="B515" s="17" t="s">
        <v>2745</v>
      </c>
      <c r="C515" s="17" t="s">
        <v>2746</v>
      </c>
      <c r="D515" s="18" t="s">
        <v>1584</v>
      </c>
      <c r="E515" s="19">
        <f>[4]Summary!E514</f>
        <v>0.85</v>
      </c>
      <c r="F515" s="52">
        <f>[4]Summary!F514</f>
        <v>1</v>
      </c>
      <c r="G515" s="20">
        <f t="shared" si="7"/>
        <v>0.85</v>
      </c>
      <c r="H515" s="20" t="s">
        <v>5406</v>
      </c>
    </row>
    <row r="516" spans="1:8" ht="21">
      <c r="A516" s="21">
        <v>512</v>
      </c>
      <c r="B516" s="22" t="s">
        <v>2747</v>
      </c>
      <c r="C516" s="22" t="s">
        <v>2748</v>
      </c>
      <c r="D516" s="23" t="s">
        <v>1584</v>
      </c>
      <c r="E516" s="24">
        <f>[4]Summary!E515</f>
        <v>3.5</v>
      </c>
      <c r="F516" s="25">
        <f>[4]Summary!F515</f>
        <v>0</v>
      </c>
      <c r="G516" s="26">
        <f t="shared" si="7"/>
        <v>0</v>
      </c>
      <c r="H516" s="26" t="s">
        <v>5406</v>
      </c>
    </row>
    <row r="517" spans="1:8" ht="21">
      <c r="A517" s="16">
        <v>513</v>
      </c>
      <c r="B517" s="17" t="s">
        <v>2749</v>
      </c>
      <c r="C517" s="17" t="s">
        <v>2750</v>
      </c>
      <c r="D517" s="18" t="s">
        <v>1584</v>
      </c>
      <c r="E517" s="19">
        <f>[4]Summary!E516</f>
        <v>0.41</v>
      </c>
      <c r="F517" s="52">
        <f>[4]Summary!F516</f>
        <v>575</v>
      </c>
      <c r="G517" s="20">
        <f t="shared" si="7"/>
        <v>235.75</v>
      </c>
      <c r="H517" s="20" t="s">
        <v>5406</v>
      </c>
    </row>
    <row r="518" spans="1:8" ht="21">
      <c r="A518" s="21">
        <v>514</v>
      </c>
      <c r="B518" s="22" t="s">
        <v>2751</v>
      </c>
      <c r="C518" s="22" t="s">
        <v>2752</v>
      </c>
      <c r="D518" s="23" t="s">
        <v>1584</v>
      </c>
      <c r="E518" s="24">
        <f>[4]Summary!E517</f>
        <v>0.25</v>
      </c>
      <c r="F518" s="25">
        <f>[4]Summary!F517</f>
        <v>121</v>
      </c>
      <c r="G518" s="26">
        <f t="shared" si="7"/>
        <v>30.25</v>
      </c>
      <c r="H518" s="26" t="s">
        <v>5415</v>
      </c>
    </row>
    <row r="519" spans="1:8" ht="21">
      <c r="A519" s="16">
        <v>515</v>
      </c>
      <c r="B519" s="17" t="s">
        <v>2753</v>
      </c>
      <c r="C519" s="17" t="s">
        <v>2754</v>
      </c>
      <c r="D519" s="18" t="s">
        <v>1584</v>
      </c>
      <c r="E519" s="19">
        <f>[4]Summary!E518</f>
        <v>0.3</v>
      </c>
      <c r="F519" s="52">
        <f>[4]Summary!F518</f>
        <v>180</v>
      </c>
      <c r="G519" s="20">
        <f t="shared" ref="G519:G582" si="8">E519*F519</f>
        <v>54</v>
      </c>
      <c r="H519" s="20" t="s">
        <v>5415</v>
      </c>
    </row>
    <row r="520" spans="1:8" ht="21">
      <c r="A520" s="21">
        <v>516</v>
      </c>
      <c r="B520" s="22" t="s">
        <v>2755</v>
      </c>
      <c r="C520" s="22" t="s">
        <v>2756</v>
      </c>
      <c r="D520" s="23" t="s">
        <v>1584</v>
      </c>
      <c r="E520" s="24">
        <f>[4]Summary!E519</f>
        <v>0.2</v>
      </c>
      <c r="F520" s="25">
        <f>[4]Summary!F519</f>
        <v>0</v>
      </c>
      <c r="G520" s="26">
        <f t="shared" si="8"/>
        <v>0</v>
      </c>
      <c r="H520" s="26" t="s">
        <v>5415</v>
      </c>
    </row>
    <row r="521" spans="1:8" ht="21">
      <c r="A521" s="16">
        <v>517</v>
      </c>
      <c r="B521" s="17" t="s">
        <v>2757</v>
      </c>
      <c r="C521" s="17" t="s">
        <v>2758</v>
      </c>
      <c r="D521" s="18" t="s">
        <v>1584</v>
      </c>
      <c r="E521" s="19">
        <f>[4]Summary!E520</f>
        <v>0.39</v>
      </c>
      <c r="F521" s="52">
        <f>[4]Summary!F520</f>
        <v>88</v>
      </c>
      <c r="G521" s="20">
        <f t="shared" si="8"/>
        <v>34.32</v>
      </c>
      <c r="H521" s="20" t="s">
        <v>5415</v>
      </c>
    </row>
    <row r="522" spans="1:8" ht="21">
      <c r="A522" s="21">
        <v>518</v>
      </c>
      <c r="B522" s="22" t="s">
        <v>2759</v>
      </c>
      <c r="C522" s="22" t="s">
        <v>2760</v>
      </c>
      <c r="D522" s="23" t="s">
        <v>1584</v>
      </c>
      <c r="E522" s="24">
        <f>[4]Summary!E521</f>
        <v>0.6</v>
      </c>
      <c r="F522" s="25">
        <f>[4]Summary!F521</f>
        <v>82</v>
      </c>
      <c r="G522" s="26">
        <f t="shared" si="8"/>
        <v>49.199999999999996</v>
      </c>
      <c r="H522" s="26" t="s">
        <v>5415</v>
      </c>
    </row>
    <row r="523" spans="1:8" ht="21">
      <c r="A523" s="16">
        <v>519</v>
      </c>
      <c r="B523" s="17" t="s">
        <v>2761</v>
      </c>
      <c r="C523" s="17" t="s">
        <v>2762</v>
      </c>
      <c r="D523" s="18" t="s">
        <v>1584</v>
      </c>
      <c r="E523" s="19">
        <f>[4]Summary!E522</f>
        <v>0.75</v>
      </c>
      <c r="F523" s="52">
        <f>[4]Summary!F522</f>
        <v>104</v>
      </c>
      <c r="G523" s="20">
        <f t="shared" si="8"/>
        <v>78</v>
      </c>
      <c r="H523" s="20" t="s">
        <v>5415</v>
      </c>
    </row>
    <row r="524" spans="1:8" ht="21">
      <c r="A524" s="21">
        <v>520</v>
      </c>
      <c r="B524" s="22" t="s">
        <v>5726</v>
      </c>
      <c r="C524" s="22" t="s">
        <v>5727</v>
      </c>
      <c r="D524" s="23" t="s">
        <v>1584</v>
      </c>
      <c r="E524" s="24">
        <f>[4]Summary!E523</f>
        <v>0.2</v>
      </c>
      <c r="F524" s="25">
        <f>[4]Summary!F523</f>
        <v>15</v>
      </c>
      <c r="G524" s="26">
        <f t="shared" si="8"/>
        <v>3</v>
      </c>
      <c r="H524" s="26" t="s">
        <v>5415</v>
      </c>
    </row>
    <row r="525" spans="1:8" ht="21">
      <c r="A525" s="16">
        <v>521</v>
      </c>
      <c r="B525" s="17" t="s">
        <v>2763</v>
      </c>
      <c r="C525" s="17" t="s">
        <v>2764</v>
      </c>
      <c r="D525" s="18" t="s">
        <v>1584</v>
      </c>
      <c r="E525" s="19">
        <f>[4]Summary!E524</f>
        <v>0.85</v>
      </c>
      <c r="F525" s="52">
        <f>[4]Summary!F524</f>
        <v>980</v>
      </c>
      <c r="G525" s="20">
        <f t="shared" si="8"/>
        <v>833</v>
      </c>
      <c r="H525" s="20" t="s">
        <v>5415</v>
      </c>
    </row>
    <row r="526" spans="1:8" ht="42">
      <c r="A526" s="21">
        <v>522</v>
      </c>
      <c r="B526" s="22" t="s">
        <v>2765</v>
      </c>
      <c r="C526" s="22" t="s">
        <v>2766</v>
      </c>
      <c r="D526" s="23" t="s">
        <v>1584</v>
      </c>
      <c r="E526" s="24">
        <f>[4]Summary!E525</f>
        <v>1.25</v>
      </c>
      <c r="F526" s="25">
        <f>[4]Summary!F525</f>
        <v>10</v>
      </c>
      <c r="G526" s="26">
        <f t="shared" si="8"/>
        <v>12.5</v>
      </c>
      <c r="H526" s="26" t="s">
        <v>5415</v>
      </c>
    </row>
    <row r="527" spans="1:8" ht="42">
      <c r="A527" s="16">
        <v>523</v>
      </c>
      <c r="B527" s="17" t="s">
        <v>2767</v>
      </c>
      <c r="C527" s="17" t="s">
        <v>2768</v>
      </c>
      <c r="D527" s="18" t="s">
        <v>1584</v>
      </c>
      <c r="E527" s="19">
        <f>[4]Summary!E526</f>
        <v>130</v>
      </c>
      <c r="F527" s="52">
        <f>[4]Summary!F526</f>
        <v>0</v>
      </c>
      <c r="G527" s="20">
        <f t="shared" si="8"/>
        <v>0</v>
      </c>
      <c r="H527" s="20" t="s">
        <v>5404</v>
      </c>
    </row>
    <row r="528" spans="1:8" ht="21">
      <c r="A528" s="21">
        <v>524</v>
      </c>
      <c r="B528" s="22" t="s">
        <v>2769</v>
      </c>
      <c r="C528" s="22" t="s">
        <v>2770</v>
      </c>
      <c r="D528" s="23" t="s">
        <v>1584</v>
      </c>
      <c r="E528" s="24">
        <f>[4]Summary!E527</f>
        <v>13.6</v>
      </c>
      <c r="F528" s="25">
        <f>[4]Summary!F527</f>
        <v>0</v>
      </c>
      <c r="G528" s="26">
        <f t="shared" si="8"/>
        <v>0</v>
      </c>
      <c r="H528" s="26" t="s">
        <v>5412</v>
      </c>
    </row>
    <row r="529" spans="1:8" ht="21">
      <c r="A529" s="16">
        <v>525</v>
      </c>
      <c r="B529" s="17" t="s">
        <v>2771</v>
      </c>
      <c r="C529" s="17" t="s">
        <v>2772</v>
      </c>
      <c r="D529" s="18" t="s">
        <v>1584</v>
      </c>
      <c r="E529" s="19">
        <f>[4]Summary!E528</f>
        <v>6.75</v>
      </c>
      <c r="F529" s="52">
        <f>[4]Summary!F528</f>
        <v>0</v>
      </c>
      <c r="G529" s="20">
        <f t="shared" si="8"/>
        <v>0</v>
      </c>
      <c r="H529" s="20" t="s">
        <v>5406</v>
      </c>
    </row>
    <row r="530" spans="1:8" ht="21">
      <c r="A530" s="21">
        <v>526</v>
      </c>
      <c r="B530" s="22" t="s">
        <v>2773</v>
      </c>
      <c r="C530" s="22" t="s">
        <v>2774</v>
      </c>
      <c r="D530" s="23" t="s">
        <v>1584</v>
      </c>
      <c r="E530" s="24">
        <f>[4]Summary!E529</f>
        <v>6</v>
      </c>
      <c r="F530" s="25">
        <f>[4]Summary!F529</f>
        <v>32</v>
      </c>
      <c r="G530" s="26">
        <f t="shared" si="8"/>
        <v>192</v>
      </c>
      <c r="H530" s="26" t="s">
        <v>5411</v>
      </c>
    </row>
    <row r="531" spans="1:8" ht="21">
      <c r="A531" s="16">
        <v>527</v>
      </c>
      <c r="B531" s="17" t="s">
        <v>2775</v>
      </c>
      <c r="C531" s="17" t="s">
        <v>2776</v>
      </c>
      <c r="D531" s="18" t="s">
        <v>1584</v>
      </c>
      <c r="E531" s="19">
        <f>[4]Summary!E530</f>
        <v>30</v>
      </c>
      <c r="F531" s="52">
        <f>[4]Summary!F530</f>
        <v>0</v>
      </c>
      <c r="G531" s="20">
        <f>E531*F531</f>
        <v>0</v>
      </c>
      <c r="H531" s="20" t="s">
        <v>5405</v>
      </c>
    </row>
    <row r="532" spans="1:8" ht="21">
      <c r="A532" s="21">
        <v>528</v>
      </c>
      <c r="B532" s="22" t="s">
        <v>2777</v>
      </c>
      <c r="C532" s="22" t="s">
        <v>2778</v>
      </c>
      <c r="D532" s="23" t="s">
        <v>1584</v>
      </c>
      <c r="E532" s="24">
        <f>[4]Summary!E531</f>
        <v>6.5</v>
      </c>
      <c r="F532" s="25">
        <f>[4]Summary!F531</f>
        <v>0</v>
      </c>
      <c r="G532" s="26">
        <f t="shared" si="8"/>
        <v>0</v>
      </c>
      <c r="H532" s="26" t="s">
        <v>5414</v>
      </c>
    </row>
    <row r="533" spans="1:8" ht="21">
      <c r="A533" s="16">
        <v>529</v>
      </c>
      <c r="B533" s="17" t="s">
        <v>2779</v>
      </c>
      <c r="C533" s="17" t="s">
        <v>2780</v>
      </c>
      <c r="D533" s="18" t="s">
        <v>1584</v>
      </c>
      <c r="E533" s="19">
        <f>[4]Summary!E532</f>
        <v>12</v>
      </c>
      <c r="F533" s="52">
        <f>[4]Summary!F532</f>
        <v>0</v>
      </c>
      <c r="G533" s="20">
        <f t="shared" si="8"/>
        <v>0</v>
      </c>
      <c r="H533" s="20" t="s">
        <v>5414</v>
      </c>
    </row>
    <row r="534" spans="1:8" ht="21">
      <c r="A534" s="21">
        <v>530</v>
      </c>
      <c r="B534" s="22" t="s">
        <v>2781</v>
      </c>
      <c r="C534" s="22" t="s">
        <v>2782</v>
      </c>
      <c r="D534" s="23" t="s">
        <v>1584</v>
      </c>
      <c r="E534" s="24">
        <f>[4]Summary!E533</f>
        <v>6.8</v>
      </c>
      <c r="F534" s="25">
        <f>[4]Summary!F533</f>
        <v>2</v>
      </c>
      <c r="G534" s="26">
        <f t="shared" si="8"/>
        <v>13.6</v>
      </c>
      <c r="H534" s="26" t="s">
        <v>5414</v>
      </c>
    </row>
    <row r="535" spans="1:8" ht="21">
      <c r="A535" s="16">
        <v>531</v>
      </c>
      <c r="B535" s="17" t="s">
        <v>2783</v>
      </c>
      <c r="C535" s="17" t="s">
        <v>2784</v>
      </c>
      <c r="D535" s="18" t="s">
        <v>1584</v>
      </c>
      <c r="E535" s="19">
        <f>[4]Summary!E534</f>
        <v>0.35</v>
      </c>
      <c r="F535" s="52">
        <f>[4]Summary!F534</f>
        <v>46</v>
      </c>
      <c r="G535" s="20">
        <f t="shared" si="8"/>
        <v>16.099999999999998</v>
      </c>
      <c r="H535" s="20" t="s">
        <v>5415</v>
      </c>
    </row>
    <row r="536" spans="1:8" ht="21">
      <c r="A536" s="21">
        <v>532</v>
      </c>
      <c r="B536" s="22" t="s">
        <v>2785</v>
      </c>
      <c r="C536" s="22" t="s">
        <v>2786</v>
      </c>
      <c r="D536" s="23" t="s">
        <v>1584</v>
      </c>
      <c r="E536" s="24">
        <f>[4]Summary!E535</f>
        <v>0.5</v>
      </c>
      <c r="F536" s="25">
        <f>[4]Summary!F535</f>
        <v>102</v>
      </c>
      <c r="G536" s="26">
        <f t="shared" si="8"/>
        <v>51</v>
      </c>
      <c r="H536" s="26" t="s">
        <v>5415</v>
      </c>
    </row>
    <row r="537" spans="1:8" ht="21">
      <c r="A537" s="16">
        <v>533</v>
      </c>
      <c r="B537" s="17" t="s">
        <v>2787</v>
      </c>
      <c r="C537" s="17" t="s">
        <v>2788</v>
      </c>
      <c r="D537" s="18" t="s">
        <v>1584</v>
      </c>
      <c r="E537" s="19">
        <f>[4]Summary!E536</f>
        <v>1</v>
      </c>
      <c r="F537" s="52">
        <f>[4]Summary!F536</f>
        <v>10</v>
      </c>
      <c r="G537" s="20">
        <f t="shared" si="8"/>
        <v>10</v>
      </c>
      <c r="H537" s="20" t="s">
        <v>5415</v>
      </c>
    </row>
    <row r="538" spans="1:8" ht="42">
      <c r="A538" s="21">
        <v>534</v>
      </c>
      <c r="B538" s="22" t="s">
        <v>2789</v>
      </c>
      <c r="C538" s="22" t="s">
        <v>2790</v>
      </c>
      <c r="D538" s="23" t="s">
        <v>1584</v>
      </c>
      <c r="E538" s="24">
        <f>[4]Summary!E537</f>
        <v>7.5</v>
      </c>
      <c r="F538" s="25">
        <f>[4]Summary!F537</f>
        <v>0</v>
      </c>
      <c r="G538" s="26">
        <f t="shared" si="8"/>
        <v>0</v>
      </c>
      <c r="H538" s="26" t="s">
        <v>5412</v>
      </c>
    </row>
    <row r="539" spans="1:8" ht="21">
      <c r="A539" s="16">
        <v>535</v>
      </c>
      <c r="B539" s="17" t="s">
        <v>2791</v>
      </c>
      <c r="C539" s="17" t="s">
        <v>2792</v>
      </c>
      <c r="D539" s="18" t="s">
        <v>1584</v>
      </c>
      <c r="E539" s="19">
        <f>[4]Summary!E538</f>
        <v>2.5</v>
      </c>
      <c r="F539" s="52">
        <f>[4]Summary!F538</f>
        <v>0</v>
      </c>
      <c r="G539" s="20">
        <f t="shared" si="8"/>
        <v>0</v>
      </c>
      <c r="H539" s="20" t="s">
        <v>5412</v>
      </c>
    </row>
    <row r="540" spans="1:8" ht="21">
      <c r="A540" s="21">
        <v>536</v>
      </c>
      <c r="B540" s="22" t="s">
        <v>2793</v>
      </c>
      <c r="C540" s="22" t="s">
        <v>2794</v>
      </c>
      <c r="D540" s="23" t="s">
        <v>1584</v>
      </c>
      <c r="E540" s="24">
        <f>[4]Summary!E539</f>
        <v>50</v>
      </c>
      <c r="F540" s="25">
        <f>[4]Summary!F539</f>
        <v>0</v>
      </c>
      <c r="G540" s="26">
        <f t="shared" si="8"/>
        <v>0</v>
      </c>
      <c r="H540" s="26" t="s">
        <v>5412</v>
      </c>
    </row>
    <row r="541" spans="1:8" ht="42">
      <c r="A541" s="16">
        <v>537</v>
      </c>
      <c r="B541" s="17" t="s">
        <v>2795</v>
      </c>
      <c r="C541" s="17" t="s">
        <v>2796</v>
      </c>
      <c r="D541" s="18" t="s">
        <v>1584</v>
      </c>
      <c r="E541" s="19">
        <f>[4]Summary!E540</f>
        <v>100</v>
      </c>
      <c r="F541" s="52">
        <f>[4]Summary!F540</f>
        <v>0</v>
      </c>
      <c r="G541" s="20">
        <f t="shared" si="8"/>
        <v>0</v>
      </c>
      <c r="H541" s="20" t="s">
        <v>5412</v>
      </c>
    </row>
    <row r="542" spans="1:8" ht="42">
      <c r="A542" s="21">
        <v>538</v>
      </c>
      <c r="B542" s="22" t="s">
        <v>2797</v>
      </c>
      <c r="C542" s="22" t="s">
        <v>2798</v>
      </c>
      <c r="D542" s="23" t="s">
        <v>1584</v>
      </c>
      <c r="E542" s="24">
        <f>[4]Summary!E541</f>
        <v>170</v>
      </c>
      <c r="F542" s="25">
        <f>[4]Summary!F541</f>
        <v>0</v>
      </c>
      <c r="G542" s="26">
        <f t="shared" si="8"/>
        <v>0</v>
      </c>
      <c r="H542" s="26" t="s">
        <v>5412</v>
      </c>
    </row>
    <row r="543" spans="1:8" ht="42">
      <c r="A543" s="16">
        <v>539</v>
      </c>
      <c r="B543" s="17" t="s">
        <v>2799</v>
      </c>
      <c r="C543" s="17" t="s">
        <v>2800</v>
      </c>
      <c r="D543" s="18" t="s">
        <v>1584</v>
      </c>
      <c r="E543" s="19">
        <f>[4]Summary!E542</f>
        <v>119</v>
      </c>
      <c r="F543" s="52">
        <f>[4]Summary!F542</f>
        <v>0</v>
      </c>
      <c r="G543" s="20">
        <f t="shared" si="8"/>
        <v>0</v>
      </c>
      <c r="H543" s="20" t="s">
        <v>5412</v>
      </c>
    </row>
    <row r="544" spans="1:8" ht="63">
      <c r="A544" s="21">
        <v>540</v>
      </c>
      <c r="B544" s="22" t="s">
        <v>2801</v>
      </c>
      <c r="C544" s="22" t="s">
        <v>2802</v>
      </c>
      <c r="D544" s="23" t="s">
        <v>1584</v>
      </c>
      <c r="E544" s="24">
        <f>[4]Summary!E543</f>
        <v>255</v>
      </c>
      <c r="F544" s="25">
        <f>[4]Summary!F543</f>
        <v>0</v>
      </c>
      <c r="G544" s="26">
        <f t="shared" si="8"/>
        <v>0</v>
      </c>
      <c r="H544" s="26" t="s">
        <v>5412</v>
      </c>
    </row>
    <row r="545" spans="1:8" ht="21">
      <c r="A545" s="16">
        <v>541</v>
      </c>
      <c r="B545" s="17" t="s">
        <v>2803</v>
      </c>
      <c r="C545" s="17" t="s">
        <v>2804</v>
      </c>
      <c r="D545" s="18" t="s">
        <v>1584</v>
      </c>
      <c r="E545" s="19">
        <f>[4]Summary!E544</f>
        <v>220</v>
      </c>
      <c r="F545" s="52">
        <f>[4]Summary!F544</f>
        <v>0</v>
      </c>
      <c r="G545" s="20">
        <f t="shared" si="8"/>
        <v>0</v>
      </c>
      <c r="H545" s="20" t="s">
        <v>5412</v>
      </c>
    </row>
    <row r="546" spans="1:8" ht="42">
      <c r="A546" s="21">
        <v>542</v>
      </c>
      <c r="B546" s="22" t="s">
        <v>2805</v>
      </c>
      <c r="C546" s="22" t="s">
        <v>2806</v>
      </c>
      <c r="D546" s="23" t="s">
        <v>1584</v>
      </c>
      <c r="E546" s="24">
        <f>[4]Summary!E545</f>
        <v>70</v>
      </c>
      <c r="F546" s="25">
        <f>[4]Summary!F545</f>
        <v>0</v>
      </c>
      <c r="G546" s="26">
        <f t="shared" si="8"/>
        <v>0</v>
      </c>
      <c r="H546" s="26" t="s">
        <v>5410</v>
      </c>
    </row>
    <row r="547" spans="1:8" ht="21">
      <c r="A547" s="16">
        <v>543</v>
      </c>
      <c r="B547" s="17" t="s">
        <v>2807</v>
      </c>
      <c r="C547" s="17" t="s">
        <v>2808</v>
      </c>
      <c r="D547" s="18" t="s">
        <v>1584</v>
      </c>
      <c r="E547" s="19">
        <f>[4]Summary!E546</f>
        <v>0.16</v>
      </c>
      <c r="F547" s="52">
        <f>[4]Summary!F546</f>
        <v>100</v>
      </c>
      <c r="G547" s="20">
        <f t="shared" si="8"/>
        <v>16</v>
      </c>
      <c r="H547" s="20" t="s">
        <v>5406</v>
      </c>
    </row>
    <row r="548" spans="1:8" ht="21">
      <c r="A548" s="21">
        <v>544</v>
      </c>
      <c r="B548" s="22" t="s">
        <v>2809</v>
      </c>
      <c r="C548" s="22" t="s">
        <v>2810</v>
      </c>
      <c r="D548" s="23" t="s">
        <v>1584</v>
      </c>
      <c r="E548" s="24">
        <f>[4]Summary!E547</f>
        <v>2.85</v>
      </c>
      <c r="F548" s="25">
        <f>[4]Summary!F547</f>
        <v>51</v>
      </c>
      <c r="G548" s="26">
        <f t="shared" si="8"/>
        <v>145.35</v>
      </c>
      <c r="H548" s="26" t="s">
        <v>5409</v>
      </c>
    </row>
    <row r="549" spans="1:8" ht="21">
      <c r="A549" s="16">
        <v>545</v>
      </c>
      <c r="B549" s="17" t="s">
        <v>2811</v>
      </c>
      <c r="C549" s="17" t="s">
        <v>2812</v>
      </c>
      <c r="D549" s="18" t="s">
        <v>1584</v>
      </c>
      <c r="E549" s="19">
        <f>[4]Summary!E548</f>
        <v>2.5</v>
      </c>
      <c r="F549" s="52">
        <f>[4]Summary!F548</f>
        <v>30</v>
      </c>
      <c r="G549" s="20">
        <f t="shared" si="8"/>
        <v>75</v>
      </c>
      <c r="H549" s="20" t="s">
        <v>5408</v>
      </c>
    </row>
    <row r="550" spans="1:8" ht="21">
      <c r="A550" s="21">
        <v>546</v>
      </c>
      <c r="B550" s="22" t="s">
        <v>2813</v>
      </c>
      <c r="C550" s="22" t="s">
        <v>2814</v>
      </c>
      <c r="D550" s="23" t="s">
        <v>1584</v>
      </c>
      <c r="E550" s="24">
        <f>[4]Summary!E549</f>
        <v>2.7</v>
      </c>
      <c r="F550" s="25">
        <f>[4]Summary!F549</f>
        <v>0</v>
      </c>
      <c r="G550" s="26">
        <f t="shared" si="8"/>
        <v>0</v>
      </c>
      <c r="H550" s="26" t="s">
        <v>5408</v>
      </c>
    </row>
    <row r="551" spans="1:8" ht="21">
      <c r="A551" s="16">
        <v>547</v>
      </c>
      <c r="B551" s="17" t="s">
        <v>2815</v>
      </c>
      <c r="C551" s="17" t="s">
        <v>2816</v>
      </c>
      <c r="D551" s="18" t="s">
        <v>1584</v>
      </c>
      <c r="E551" s="19">
        <f>[4]Summary!E550</f>
        <v>0.16</v>
      </c>
      <c r="F551" s="52">
        <f>[4]Summary!F550</f>
        <v>441</v>
      </c>
      <c r="G551" s="20">
        <f t="shared" si="8"/>
        <v>70.56</v>
      </c>
      <c r="H551" s="20" t="s">
        <v>5406</v>
      </c>
    </row>
    <row r="552" spans="1:8" ht="21">
      <c r="A552" s="21">
        <v>548</v>
      </c>
      <c r="B552" s="22" t="s">
        <v>2817</v>
      </c>
      <c r="C552" s="22" t="s">
        <v>2818</v>
      </c>
      <c r="D552" s="23" t="s">
        <v>1584</v>
      </c>
      <c r="E552" s="24">
        <f>[4]Summary!E551</f>
        <v>0.35</v>
      </c>
      <c r="F552" s="25">
        <f>[4]Summary!F551</f>
        <v>60</v>
      </c>
      <c r="G552" s="26">
        <f t="shared" si="8"/>
        <v>21</v>
      </c>
      <c r="H552" s="26" t="s">
        <v>5406</v>
      </c>
    </row>
    <row r="553" spans="1:8" ht="21">
      <c r="A553" s="16">
        <v>549</v>
      </c>
      <c r="B553" s="17" t="s">
        <v>2819</v>
      </c>
      <c r="C553" s="17" t="s">
        <v>2820</v>
      </c>
      <c r="D553" s="18" t="s">
        <v>1584</v>
      </c>
      <c r="E553" s="19">
        <f>[4]Summary!E552</f>
        <v>0.38</v>
      </c>
      <c r="F553" s="52">
        <f>[4]Summary!F552</f>
        <v>8</v>
      </c>
      <c r="G553" s="20">
        <f t="shared" si="8"/>
        <v>3.04</v>
      </c>
      <c r="H553" s="20" t="s">
        <v>5406</v>
      </c>
    </row>
    <row r="554" spans="1:8" ht="21">
      <c r="A554" s="21">
        <v>550</v>
      </c>
      <c r="B554" s="22" t="s">
        <v>2821</v>
      </c>
      <c r="C554" s="22" t="s">
        <v>2822</v>
      </c>
      <c r="D554" s="23" t="s">
        <v>1584</v>
      </c>
      <c r="E554" s="24">
        <f>[4]Summary!E553</f>
        <v>0.33</v>
      </c>
      <c r="F554" s="25">
        <f>[4]Summary!F553</f>
        <v>7</v>
      </c>
      <c r="G554" s="26">
        <f t="shared" si="8"/>
        <v>2.31</v>
      </c>
      <c r="H554" s="26" t="s">
        <v>5406</v>
      </c>
    </row>
    <row r="555" spans="1:8" ht="21">
      <c r="A555" s="16">
        <v>551</v>
      </c>
      <c r="B555" s="17" t="s">
        <v>2823</v>
      </c>
      <c r="C555" s="17" t="s">
        <v>2824</v>
      </c>
      <c r="D555" s="18" t="s">
        <v>1584</v>
      </c>
      <c r="E555" s="19">
        <f>[4]Summary!E554</f>
        <v>0.39</v>
      </c>
      <c r="F555" s="52">
        <f>[4]Summary!F554</f>
        <v>32</v>
      </c>
      <c r="G555" s="20">
        <f t="shared" si="8"/>
        <v>12.48</v>
      </c>
      <c r="H555" s="20" t="s">
        <v>5406</v>
      </c>
    </row>
    <row r="556" spans="1:8" ht="21">
      <c r="A556" s="21">
        <v>552</v>
      </c>
      <c r="B556" s="22" t="s">
        <v>2825</v>
      </c>
      <c r="C556" s="22" t="s">
        <v>2826</v>
      </c>
      <c r="D556" s="23" t="s">
        <v>1584</v>
      </c>
      <c r="E556" s="24">
        <f>[4]Summary!E555</f>
        <v>0</v>
      </c>
      <c r="F556" s="25">
        <f>[4]Summary!F555</f>
        <v>2</v>
      </c>
      <c r="G556" s="26">
        <f t="shared" si="8"/>
        <v>0</v>
      </c>
      <c r="H556" s="26" t="s">
        <v>5405</v>
      </c>
    </row>
    <row r="557" spans="1:8" ht="21">
      <c r="A557" s="16">
        <v>553</v>
      </c>
      <c r="B557" s="17" t="s">
        <v>2827</v>
      </c>
      <c r="C557" s="17" t="s">
        <v>2828</v>
      </c>
      <c r="D557" s="18" t="s">
        <v>1584</v>
      </c>
      <c r="E557" s="19">
        <f>[4]Summary!E556</f>
        <v>1</v>
      </c>
      <c r="F557" s="52">
        <f>[4]Summary!F556</f>
        <v>0</v>
      </c>
      <c r="G557" s="20">
        <f t="shared" si="8"/>
        <v>0</v>
      </c>
      <c r="H557" s="20" t="s">
        <v>5405</v>
      </c>
    </row>
    <row r="558" spans="1:8" ht="21">
      <c r="A558" s="21">
        <v>554</v>
      </c>
      <c r="B558" s="22" t="s">
        <v>2829</v>
      </c>
      <c r="C558" s="22" t="s">
        <v>2830</v>
      </c>
      <c r="D558" s="23" t="s">
        <v>1584</v>
      </c>
      <c r="E558" s="24">
        <f>[4]Summary!E557</f>
        <v>0.8</v>
      </c>
      <c r="F558" s="25">
        <f>[4]Summary!F557</f>
        <v>2</v>
      </c>
      <c r="G558" s="26">
        <f t="shared" si="8"/>
        <v>1.6</v>
      </c>
      <c r="H558" s="26" t="s">
        <v>5406</v>
      </c>
    </row>
    <row r="559" spans="1:8" ht="21">
      <c r="A559" s="16">
        <v>555</v>
      </c>
      <c r="B559" s="17" t="s">
        <v>2831</v>
      </c>
      <c r="C559" s="17" t="s">
        <v>2832</v>
      </c>
      <c r="D559" s="18" t="s">
        <v>1584</v>
      </c>
      <c r="E559" s="19">
        <f>[4]Summary!E558</f>
        <v>0.9</v>
      </c>
      <c r="F559" s="52">
        <f>[4]Summary!F558</f>
        <v>0</v>
      </c>
      <c r="G559" s="20">
        <f t="shared" si="8"/>
        <v>0</v>
      </c>
      <c r="H559" s="20" t="s">
        <v>5404</v>
      </c>
    </row>
    <row r="560" spans="1:8" ht="42">
      <c r="A560" s="21">
        <v>556</v>
      </c>
      <c r="B560" s="22" t="s">
        <v>2833</v>
      </c>
      <c r="C560" s="22" t="s">
        <v>2834</v>
      </c>
      <c r="D560" s="23" t="s">
        <v>1584</v>
      </c>
      <c r="E560" s="24">
        <f>[4]Summary!E559</f>
        <v>15</v>
      </c>
      <c r="F560" s="25">
        <f>[4]Summary!F559</f>
        <v>0</v>
      </c>
      <c r="G560" s="26">
        <f t="shared" si="8"/>
        <v>0</v>
      </c>
      <c r="H560" s="26" t="s">
        <v>5410</v>
      </c>
    </row>
    <row r="561" spans="1:8" ht="21">
      <c r="A561" s="16">
        <v>557</v>
      </c>
      <c r="B561" s="17" t="s">
        <v>2835</v>
      </c>
      <c r="C561" s="17" t="s">
        <v>2836</v>
      </c>
      <c r="D561" s="18" t="s">
        <v>1584</v>
      </c>
      <c r="E561" s="19">
        <f>[4]Summary!E560</f>
        <v>1.5</v>
      </c>
      <c r="F561" s="52">
        <f>[4]Summary!F560</f>
        <v>32</v>
      </c>
      <c r="G561" s="20">
        <f t="shared" si="8"/>
        <v>48</v>
      </c>
      <c r="H561" s="20" t="s">
        <v>5406</v>
      </c>
    </row>
    <row r="562" spans="1:8" ht="42">
      <c r="A562" s="21">
        <v>558</v>
      </c>
      <c r="B562" s="22" t="s">
        <v>2837</v>
      </c>
      <c r="C562" s="22" t="s">
        <v>2838</v>
      </c>
      <c r="D562" s="23" t="s">
        <v>1584</v>
      </c>
      <c r="E562" s="24">
        <f>[4]Summary!E561</f>
        <v>15</v>
      </c>
      <c r="F562" s="25">
        <f>[4]Summary!F561</f>
        <v>0</v>
      </c>
      <c r="G562" s="26">
        <f t="shared" si="8"/>
        <v>0</v>
      </c>
      <c r="H562" s="26" t="s">
        <v>5410</v>
      </c>
    </row>
    <row r="563" spans="1:8" ht="21">
      <c r="A563" s="16">
        <v>559</v>
      </c>
      <c r="B563" s="17" t="s">
        <v>2839</v>
      </c>
      <c r="C563" s="17" t="s">
        <v>2840</v>
      </c>
      <c r="D563" s="18" t="s">
        <v>1584</v>
      </c>
      <c r="E563" s="19">
        <f>[4]Summary!E562</f>
        <v>0.62</v>
      </c>
      <c r="F563" s="52">
        <f>[4]Summary!F562</f>
        <v>97</v>
      </c>
      <c r="G563" s="20">
        <f t="shared" si="8"/>
        <v>60.14</v>
      </c>
      <c r="H563" s="20" t="s">
        <v>5406</v>
      </c>
    </row>
    <row r="564" spans="1:8" ht="21">
      <c r="A564" s="21">
        <v>560</v>
      </c>
      <c r="B564" s="22" t="s">
        <v>2841</v>
      </c>
      <c r="C564" s="22" t="s">
        <v>2842</v>
      </c>
      <c r="D564" s="23" t="s">
        <v>1584</v>
      </c>
      <c r="E564" s="24">
        <f>[4]Summary!E563</f>
        <v>0.69</v>
      </c>
      <c r="F564" s="25">
        <f>[4]Summary!F563</f>
        <v>0</v>
      </c>
      <c r="G564" s="26">
        <f t="shared" si="8"/>
        <v>0</v>
      </c>
      <c r="H564" s="26" t="s">
        <v>5406</v>
      </c>
    </row>
    <row r="565" spans="1:8" ht="21">
      <c r="A565" s="16">
        <v>561</v>
      </c>
      <c r="B565" s="17" t="s">
        <v>2843</v>
      </c>
      <c r="C565" s="17" t="s">
        <v>2844</v>
      </c>
      <c r="D565" s="18" t="s">
        <v>1584</v>
      </c>
      <c r="E565" s="19">
        <f>[4]Summary!E564</f>
        <v>0</v>
      </c>
      <c r="F565" s="52">
        <f>[4]Summary!F564</f>
        <v>2</v>
      </c>
      <c r="G565" s="20">
        <f t="shared" si="8"/>
        <v>0</v>
      </c>
      <c r="H565" s="20" t="s">
        <v>5408</v>
      </c>
    </row>
    <row r="566" spans="1:8" ht="21">
      <c r="A566" s="21">
        <v>562</v>
      </c>
      <c r="B566" s="22" t="s">
        <v>2845</v>
      </c>
      <c r="C566" s="22" t="s">
        <v>2846</v>
      </c>
      <c r="D566" s="23" t="s">
        <v>1584</v>
      </c>
      <c r="E566" s="24">
        <f>[4]Summary!E565</f>
        <v>2.2000000000000002</v>
      </c>
      <c r="F566" s="25">
        <f>[4]Summary!F565</f>
        <v>1</v>
      </c>
      <c r="G566" s="26">
        <f t="shared" si="8"/>
        <v>2.2000000000000002</v>
      </c>
      <c r="H566" s="26" t="s">
        <v>5408</v>
      </c>
    </row>
    <row r="567" spans="1:8" ht="21">
      <c r="A567" s="16">
        <v>563</v>
      </c>
      <c r="B567" s="17" t="s">
        <v>2847</v>
      </c>
      <c r="C567" s="17" t="s">
        <v>2848</v>
      </c>
      <c r="D567" s="18" t="s">
        <v>1584</v>
      </c>
      <c r="E567" s="19">
        <f>[4]Summary!E566</f>
        <v>1.35</v>
      </c>
      <c r="F567" s="52">
        <f>[4]Summary!F566</f>
        <v>0</v>
      </c>
      <c r="G567" s="20">
        <f t="shared" si="8"/>
        <v>0</v>
      </c>
      <c r="H567" s="20" t="s">
        <v>5408</v>
      </c>
    </row>
    <row r="568" spans="1:8" ht="21">
      <c r="A568" s="21">
        <v>564</v>
      </c>
      <c r="B568" s="22" t="s">
        <v>2849</v>
      </c>
      <c r="C568" s="22" t="s">
        <v>2850</v>
      </c>
      <c r="D568" s="23" t="s">
        <v>1584</v>
      </c>
      <c r="E568" s="24">
        <f>[4]Summary!E567</f>
        <v>1.5</v>
      </c>
      <c r="F568" s="25">
        <f>[4]Summary!F567</f>
        <v>26</v>
      </c>
      <c r="G568" s="26">
        <f t="shared" si="8"/>
        <v>39</v>
      </c>
      <c r="H568" s="26" t="s">
        <v>5409</v>
      </c>
    </row>
    <row r="569" spans="1:8" ht="21">
      <c r="A569" s="16">
        <v>565</v>
      </c>
      <c r="B569" s="17" t="s">
        <v>2851</v>
      </c>
      <c r="C569" s="17" t="s">
        <v>2852</v>
      </c>
      <c r="D569" s="18" t="s">
        <v>1584</v>
      </c>
      <c r="E569" s="19">
        <f>[4]Summary!E568</f>
        <v>3</v>
      </c>
      <c r="F569" s="52">
        <f>[4]Summary!F568</f>
        <v>1</v>
      </c>
      <c r="G569" s="20">
        <f t="shared" si="8"/>
        <v>3</v>
      </c>
      <c r="H569" s="20" t="s">
        <v>5408</v>
      </c>
    </row>
    <row r="570" spans="1:8" ht="21">
      <c r="A570" s="21">
        <v>566</v>
      </c>
      <c r="B570" s="22" t="s">
        <v>2853</v>
      </c>
      <c r="C570" s="22" t="s">
        <v>2854</v>
      </c>
      <c r="D570" s="23" t="s">
        <v>1584</v>
      </c>
      <c r="E570" s="24">
        <f>[4]Summary!E569</f>
        <v>1.5</v>
      </c>
      <c r="F570" s="25">
        <f>[4]Summary!F569</f>
        <v>0</v>
      </c>
      <c r="G570" s="26">
        <f t="shared" si="8"/>
        <v>0</v>
      </c>
      <c r="H570" s="26" t="s">
        <v>5404</v>
      </c>
    </row>
    <row r="571" spans="1:8" ht="21">
      <c r="A571" s="16">
        <v>567</v>
      </c>
      <c r="B571" s="17" t="s">
        <v>2855</v>
      </c>
      <c r="C571" s="17" t="s">
        <v>2856</v>
      </c>
      <c r="D571" s="18" t="s">
        <v>1584</v>
      </c>
      <c r="E571" s="19">
        <f>[4]Summary!E570</f>
        <v>1.5</v>
      </c>
      <c r="F571" s="52">
        <f>[4]Summary!F570</f>
        <v>18</v>
      </c>
      <c r="G571" s="20">
        <f t="shared" si="8"/>
        <v>27</v>
      </c>
      <c r="H571" s="20" t="s">
        <v>5405</v>
      </c>
    </row>
    <row r="572" spans="1:8" ht="21">
      <c r="A572" s="21">
        <v>568</v>
      </c>
      <c r="B572" s="22" t="s">
        <v>2857</v>
      </c>
      <c r="C572" s="22" t="s">
        <v>2858</v>
      </c>
      <c r="D572" s="23" t="s">
        <v>1584</v>
      </c>
      <c r="E572" s="24">
        <f>[4]Summary!E571</f>
        <v>2</v>
      </c>
      <c r="F572" s="25">
        <f>[4]Summary!F571</f>
        <v>0</v>
      </c>
      <c r="G572" s="26">
        <f t="shared" si="8"/>
        <v>0</v>
      </c>
      <c r="H572" s="26" t="s">
        <v>5405</v>
      </c>
    </row>
    <row r="573" spans="1:8" ht="21">
      <c r="A573" s="16">
        <v>569</v>
      </c>
      <c r="B573" s="17" t="s">
        <v>2859</v>
      </c>
      <c r="C573" s="17" t="s">
        <v>2860</v>
      </c>
      <c r="D573" s="18" t="s">
        <v>1584</v>
      </c>
      <c r="E573" s="19">
        <f>[4]Summary!E572</f>
        <v>0.6</v>
      </c>
      <c r="F573" s="52">
        <f>[4]Summary!F572</f>
        <v>100</v>
      </c>
      <c r="G573" s="20">
        <f t="shared" si="8"/>
        <v>60</v>
      </c>
      <c r="H573" s="20" t="s">
        <v>5406</v>
      </c>
    </row>
    <row r="574" spans="1:8" ht="21">
      <c r="A574" s="21">
        <v>570</v>
      </c>
      <c r="B574" s="22" t="s">
        <v>2861</v>
      </c>
      <c r="C574" s="22" t="s">
        <v>2862</v>
      </c>
      <c r="D574" s="23" t="s">
        <v>1584</v>
      </c>
      <c r="E574" s="24">
        <f>[4]Summary!E573</f>
        <v>3.5</v>
      </c>
      <c r="F574" s="25">
        <f>[4]Summary!F573</f>
        <v>0</v>
      </c>
      <c r="G574" s="26">
        <f t="shared" si="8"/>
        <v>0</v>
      </c>
      <c r="H574" s="26" t="s">
        <v>5406</v>
      </c>
    </row>
    <row r="575" spans="1:8" ht="21">
      <c r="A575" s="16">
        <v>571</v>
      </c>
      <c r="B575" s="17" t="s">
        <v>2863</v>
      </c>
      <c r="C575" s="17" t="s">
        <v>2864</v>
      </c>
      <c r="D575" s="18" t="s">
        <v>1584</v>
      </c>
      <c r="E575" s="19">
        <f>[4]Summary!E574</f>
        <v>0</v>
      </c>
      <c r="F575" s="52">
        <f>[4]Summary!F574</f>
        <v>9</v>
      </c>
      <c r="G575" s="20">
        <f t="shared" si="8"/>
        <v>0</v>
      </c>
      <c r="H575" s="20" t="s">
        <v>5405</v>
      </c>
    </row>
    <row r="576" spans="1:8" ht="21">
      <c r="A576" s="21">
        <v>572</v>
      </c>
      <c r="B576" s="22" t="s">
        <v>2865</v>
      </c>
      <c r="C576" s="22" t="s">
        <v>2866</v>
      </c>
      <c r="D576" s="23" t="s">
        <v>1584</v>
      </c>
      <c r="E576" s="24">
        <f>[4]Summary!E575</f>
        <v>3.71</v>
      </c>
      <c r="F576" s="25">
        <f>[4]Summary!F575</f>
        <v>0</v>
      </c>
      <c r="G576" s="26">
        <f t="shared" si="8"/>
        <v>0</v>
      </c>
      <c r="H576" s="26" t="s">
        <v>5408</v>
      </c>
    </row>
    <row r="577" spans="1:8" ht="21">
      <c r="A577" s="16">
        <v>573</v>
      </c>
      <c r="B577" s="17" t="s">
        <v>2867</v>
      </c>
      <c r="C577" s="17" t="s">
        <v>2868</v>
      </c>
      <c r="D577" s="18" t="s">
        <v>1584</v>
      </c>
      <c r="E577" s="19">
        <f>[4]Summary!E576</f>
        <v>0</v>
      </c>
      <c r="F577" s="52">
        <f>[4]Summary!F576</f>
        <v>1</v>
      </c>
      <c r="G577" s="20">
        <f t="shared" si="8"/>
        <v>0</v>
      </c>
      <c r="H577" s="20" t="s">
        <v>5408</v>
      </c>
    </row>
    <row r="578" spans="1:8" ht="42">
      <c r="A578" s="21">
        <v>574</v>
      </c>
      <c r="B578" s="22" t="s">
        <v>2869</v>
      </c>
      <c r="C578" s="22" t="s">
        <v>2870</v>
      </c>
      <c r="D578" s="23" t="s">
        <v>1584</v>
      </c>
      <c r="E578" s="24">
        <f>[4]Summary!E577</f>
        <v>20</v>
      </c>
      <c r="F578" s="25">
        <f>[4]Summary!F577</f>
        <v>0</v>
      </c>
      <c r="G578" s="26">
        <f t="shared" si="8"/>
        <v>0</v>
      </c>
      <c r="H578" s="26" t="s">
        <v>5410</v>
      </c>
    </row>
    <row r="579" spans="1:8" ht="42">
      <c r="A579" s="16">
        <v>575</v>
      </c>
      <c r="B579" s="17" t="s">
        <v>2871</v>
      </c>
      <c r="C579" s="17" t="s">
        <v>2872</v>
      </c>
      <c r="D579" s="18" t="s">
        <v>1584</v>
      </c>
      <c r="E579" s="19">
        <f>[4]Summary!E578</f>
        <v>25</v>
      </c>
      <c r="F579" s="52">
        <f>[4]Summary!F578</f>
        <v>0</v>
      </c>
      <c r="G579" s="20">
        <f t="shared" si="8"/>
        <v>0</v>
      </c>
      <c r="H579" s="20" t="s">
        <v>5410</v>
      </c>
    </row>
    <row r="580" spans="1:8" ht="21">
      <c r="A580" s="21">
        <v>576</v>
      </c>
      <c r="B580" s="22" t="s">
        <v>2873</v>
      </c>
      <c r="C580" s="22" t="s">
        <v>2874</v>
      </c>
      <c r="D580" s="23" t="s">
        <v>1584</v>
      </c>
      <c r="E580" s="24">
        <f>[4]Summary!E579</f>
        <v>0</v>
      </c>
      <c r="F580" s="25">
        <f>[4]Summary!F579</f>
        <v>4</v>
      </c>
      <c r="G580" s="26">
        <f t="shared" si="8"/>
        <v>0</v>
      </c>
      <c r="H580" s="26" t="s">
        <v>5405</v>
      </c>
    </row>
    <row r="581" spans="1:8" ht="21">
      <c r="A581" s="16">
        <v>577</v>
      </c>
      <c r="B581" s="17" t="s">
        <v>2875</v>
      </c>
      <c r="C581" s="17" t="s">
        <v>2876</v>
      </c>
      <c r="D581" s="18" t="s">
        <v>1584</v>
      </c>
      <c r="E581" s="19">
        <f>[4]Summary!E580</f>
        <v>0</v>
      </c>
      <c r="F581" s="52">
        <f>[4]Summary!F580</f>
        <v>7</v>
      </c>
      <c r="G581" s="20">
        <f t="shared" si="8"/>
        <v>0</v>
      </c>
      <c r="H581" s="20" t="s">
        <v>5408</v>
      </c>
    </row>
    <row r="582" spans="1:8" ht="42">
      <c r="A582" s="21">
        <v>578</v>
      </c>
      <c r="B582" s="22" t="s">
        <v>2877</v>
      </c>
      <c r="C582" s="22" t="s">
        <v>2878</v>
      </c>
      <c r="D582" s="23" t="s">
        <v>1584</v>
      </c>
      <c r="E582" s="24">
        <f>[4]Summary!E581</f>
        <v>55</v>
      </c>
      <c r="F582" s="25">
        <f>[4]Summary!F581</f>
        <v>0</v>
      </c>
      <c r="G582" s="26">
        <f t="shared" si="8"/>
        <v>0</v>
      </c>
      <c r="H582" s="26" t="s">
        <v>5410</v>
      </c>
    </row>
    <row r="583" spans="1:8" ht="42">
      <c r="A583" s="16">
        <v>579</v>
      </c>
      <c r="B583" s="17" t="s">
        <v>2879</v>
      </c>
      <c r="C583" s="17" t="s">
        <v>2880</v>
      </c>
      <c r="D583" s="18" t="s">
        <v>1584</v>
      </c>
      <c r="E583" s="19">
        <f>[4]Summary!E582</f>
        <v>45</v>
      </c>
      <c r="F583" s="52">
        <f>[4]Summary!F582</f>
        <v>0</v>
      </c>
      <c r="G583" s="20">
        <f t="shared" ref="G583:G646" si="9">E583*F583</f>
        <v>0</v>
      </c>
      <c r="H583" s="20" t="s">
        <v>5410</v>
      </c>
    </row>
    <row r="584" spans="1:8" ht="21">
      <c r="A584" s="21">
        <v>580</v>
      </c>
      <c r="B584" s="22" t="s">
        <v>2881</v>
      </c>
      <c r="C584" s="22" t="s">
        <v>2882</v>
      </c>
      <c r="D584" s="23" t="s">
        <v>1584</v>
      </c>
      <c r="E584" s="24">
        <f>[4]Summary!E583</f>
        <v>2</v>
      </c>
      <c r="F584" s="25">
        <f>[4]Summary!F583</f>
        <v>237</v>
      </c>
      <c r="G584" s="26">
        <f t="shared" si="9"/>
        <v>474</v>
      </c>
      <c r="H584" s="26" t="s">
        <v>5404</v>
      </c>
    </row>
    <row r="585" spans="1:8" ht="21">
      <c r="A585" s="16">
        <v>581</v>
      </c>
      <c r="B585" s="17" t="s">
        <v>2883</v>
      </c>
      <c r="C585" s="17" t="s">
        <v>2884</v>
      </c>
      <c r="D585" s="18" t="s">
        <v>1584</v>
      </c>
      <c r="E585" s="19">
        <f>[4]Summary!E584</f>
        <v>1.8</v>
      </c>
      <c r="F585" s="52">
        <f>[4]Summary!F584</f>
        <v>0</v>
      </c>
      <c r="G585" s="20">
        <f t="shared" si="9"/>
        <v>0</v>
      </c>
      <c r="H585" s="20" t="s">
        <v>5404</v>
      </c>
    </row>
    <row r="586" spans="1:8" ht="21">
      <c r="A586" s="21">
        <v>582</v>
      </c>
      <c r="B586" s="22" t="s">
        <v>2885</v>
      </c>
      <c r="C586" s="22" t="s">
        <v>2886</v>
      </c>
      <c r="D586" s="23" t="s">
        <v>1584</v>
      </c>
      <c r="E586" s="24">
        <f>[4]Summary!E585</f>
        <v>6</v>
      </c>
      <c r="F586" s="25">
        <f>[4]Summary!F585</f>
        <v>0</v>
      </c>
      <c r="G586" s="26">
        <f t="shared" si="9"/>
        <v>0</v>
      </c>
      <c r="H586" s="26" t="s">
        <v>5408</v>
      </c>
    </row>
    <row r="587" spans="1:8" ht="21">
      <c r="A587" s="16">
        <v>583</v>
      </c>
      <c r="B587" s="17" t="s">
        <v>2887</v>
      </c>
      <c r="C587" s="17" t="s">
        <v>2888</v>
      </c>
      <c r="D587" s="18" t="s">
        <v>1584</v>
      </c>
      <c r="E587" s="19">
        <f>[4]Summary!E586</f>
        <v>2</v>
      </c>
      <c r="F587" s="52">
        <f>[4]Summary!F586</f>
        <v>0</v>
      </c>
      <c r="G587" s="20">
        <f t="shared" si="9"/>
        <v>0</v>
      </c>
      <c r="H587" s="20" t="s">
        <v>5404</v>
      </c>
    </row>
    <row r="588" spans="1:8" ht="21">
      <c r="A588" s="21">
        <v>584</v>
      </c>
      <c r="B588" s="22" t="s">
        <v>2889</v>
      </c>
      <c r="C588" s="22" t="s">
        <v>2890</v>
      </c>
      <c r="D588" s="23" t="s">
        <v>1584</v>
      </c>
      <c r="E588" s="24">
        <f>[4]Summary!E587</f>
        <v>0</v>
      </c>
      <c r="F588" s="25">
        <f>[4]Summary!F587</f>
        <v>19</v>
      </c>
      <c r="G588" s="26">
        <f t="shared" si="9"/>
        <v>0</v>
      </c>
      <c r="H588" s="26" t="s">
        <v>5405</v>
      </c>
    </row>
    <row r="589" spans="1:8" ht="21">
      <c r="A589" s="16">
        <v>585</v>
      </c>
      <c r="B589" s="17" t="s">
        <v>2891</v>
      </c>
      <c r="C589" s="17" t="s">
        <v>2892</v>
      </c>
      <c r="D589" s="18" t="s">
        <v>1584</v>
      </c>
      <c r="E589" s="19">
        <f>[4]Summary!E588</f>
        <v>2</v>
      </c>
      <c r="F589" s="52">
        <f>[4]Summary!F588</f>
        <v>53</v>
      </c>
      <c r="G589" s="20">
        <f t="shared" si="9"/>
        <v>106</v>
      </c>
      <c r="H589" s="20" t="s">
        <v>5404</v>
      </c>
    </row>
    <row r="590" spans="1:8" ht="21">
      <c r="A590" s="21">
        <v>586</v>
      </c>
      <c r="B590" s="22" t="s">
        <v>2893</v>
      </c>
      <c r="C590" s="22" t="s">
        <v>2894</v>
      </c>
      <c r="D590" s="23" t="s">
        <v>1584</v>
      </c>
      <c r="E590" s="24">
        <f>[4]Summary!E589</f>
        <v>0</v>
      </c>
      <c r="F590" s="25">
        <f>[4]Summary!F589</f>
        <v>0</v>
      </c>
      <c r="G590" s="26">
        <f t="shared" si="9"/>
        <v>0</v>
      </c>
      <c r="H590" s="26" t="s">
        <v>5404</v>
      </c>
    </row>
    <row r="591" spans="1:8" ht="21">
      <c r="A591" s="16">
        <v>587</v>
      </c>
      <c r="B591" s="17" t="s">
        <v>2895</v>
      </c>
      <c r="C591" s="17" t="s">
        <v>2896</v>
      </c>
      <c r="D591" s="18" t="s">
        <v>1584</v>
      </c>
      <c r="E591" s="19">
        <f>[4]Summary!E590</f>
        <v>3</v>
      </c>
      <c r="F591" s="52">
        <f>[4]Summary!F590</f>
        <v>1</v>
      </c>
      <c r="G591" s="20">
        <f t="shared" si="9"/>
        <v>3</v>
      </c>
      <c r="H591" s="20" t="s">
        <v>5405</v>
      </c>
    </row>
    <row r="592" spans="1:8" ht="21">
      <c r="A592" s="21">
        <v>588</v>
      </c>
      <c r="B592" s="22" t="s">
        <v>2897</v>
      </c>
      <c r="C592" s="22" t="s">
        <v>2898</v>
      </c>
      <c r="D592" s="23" t="s">
        <v>1584</v>
      </c>
      <c r="E592" s="24">
        <f>[4]Summary!E591</f>
        <v>0</v>
      </c>
      <c r="F592" s="25">
        <f>[4]Summary!F591</f>
        <v>9</v>
      </c>
      <c r="G592" s="26">
        <f t="shared" si="9"/>
        <v>0</v>
      </c>
      <c r="H592" s="26" t="s">
        <v>5405</v>
      </c>
    </row>
    <row r="593" spans="1:8" ht="21">
      <c r="A593" s="16">
        <v>589</v>
      </c>
      <c r="B593" s="17" t="s">
        <v>2899</v>
      </c>
      <c r="C593" s="17" t="s">
        <v>2900</v>
      </c>
      <c r="D593" s="18" t="s">
        <v>1584</v>
      </c>
      <c r="E593" s="19">
        <f>[4]Summary!E592</f>
        <v>0</v>
      </c>
      <c r="F593" s="52">
        <f>[4]Summary!F592</f>
        <v>34</v>
      </c>
      <c r="G593" s="20">
        <f t="shared" si="9"/>
        <v>0</v>
      </c>
      <c r="H593" s="20" t="s">
        <v>5405</v>
      </c>
    </row>
    <row r="594" spans="1:8" ht="21">
      <c r="A594" s="21">
        <v>590</v>
      </c>
      <c r="B594" s="22" t="s">
        <v>2901</v>
      </c>
      <c r="C594" s="22" t="s">
        <v>2902</v>
      </c>
      <c r="D594" s="23" t="s">
        <v>1584</v>
      </c>
      <c r="E594" s="24">
        <f>[4]Summary!E593</f>
        <v>0</v>
      </c>
      <c r="F594" s="25">
        <f>[4]Summary!F593</f>
        <v>37</v>
      </c>
      <c r="G594" s="26">
        <f t="shared" si="9"/>
        <v>0</v>
      </c>
      <c r="H594" s="26" t="s">
        <v>5405</v>
      </c>
    </row>
    <row r="595" spans="1:8" ht="21">
      <c r="A595" s="16">
        <v>591</v>
      </c>
      <c r="B595" s="17" t="s">
        <v>2903</v>
      </c>
      <c r="C595" s="17" t="s">
        <v>2904</v>
      </c>
      <c r="D595" s="18" t="s">
        <v>1584</v>
      </c>
      <c r="E595" s="19">
        <f>[4]Summary!E594</f>
        <v>0</v>
      </c>
      <c r="F595" s="52">
        <f>[4]Summary!F594</f>
        <v>11</v>
      </c>
      <c r="G595" s="20">
        <f t="shared" si="9"/>
        <v>0</v>
      </c>
      <c r="H595" s="20" t="s">
        <v>5405</v>
      </c>
    </row>
    <row r="596" spans="1:8" ht="21">
      <c r="A596" s="21">
        <v>592</v>
      </c>
      <c r="B596" s="22" t="s">
        <v>2905</v>
      </c>
      <c r="C596" s="22" t="s">
        <v>2906</v>
      </c>
      <c r="D596" s="23" t="s">
        <v>1584</v>
      </c>
      <c r="E596" s="24">
        <f>[4]Summary!E595</f>
        <v>4.9000000000000004</v>
      </c>
      <c r="F596" s="25">
        <f>[4]Summary!F595</f>
        <v>7</v>
      </c>
      <c r="G596" s="26">
        <f t="shared" si="9"/>
        <v>34.300000000000004</v>
      </c>
      <c r="H596" s="26" t="s">
        <v>5404</v>
      </c>
    </row>
    <row r="597" spans="1:8" ht="21">
      <c r="A597" s="16">
        <v>593</v>
      </c>
      <c r="B597" s="17" t="s">
        <v>2907</v>
      </c>
      <c r="C597" s="17" t="s">
        <v>2908</v>
      </c>
      <c r="D597" s="18" t="s">
        <v>1584</v>
      </c>
      <c r="E597" s="19">
        <f>[4]Summary!E596</f>
        <v>0</v>
      </c>
      <c r="F597" s="52">
        <f>[4]Summary!F596</f>
        <v>0</v>
      </c>
      <c r="G597" s="20">
        <f t="shared" si="9"/>
        <v>0</v>
      </c>
      <c r="H597" s="20" t="s">
        <v>5405</v>
      </c>
    </row>
    <row r="598" spans="1:8" ht="21">
      <c r="A598" s="21">
        <v>594</v>
      </c>
      <c r="B598" s="22" t="s">
        <v>2909</v>
      </c>
      <c r="C598" s="22" t="s">
        <v>2910</v>
      </c>
      <c r="D598" s="23" t="s">
        <v>1584</v>
      </c>
      <c r="E598" s="24">
        <f>[4]Summary!E597</f>
        <v>0.81</v>
      </c>
      <c r="F598" s="25">
        <f>[4]Summary!F597</f>
        <v>141</v>
      </c>
      <c r="G598" s="26">
        <f t="shared" si="9"/>
        <v>114.21000000000001</v>
      </c>
      <c r="H598" s="26" t="s">
        <v>5408</v>
      </c>
    </row>
    <row r="599" spans="1:8" ht="42">
      <c r="A599" s="16">
        <v>595</v>
      </c>
      <c r="B599" s="17" t="s">
        <v>2911</v>
      </c>
      <c r="C599" s="17" t="s">
        <v>2912</v>
      </c>
      <c r="D599" s="18" t="s">
        <v>1584</v>
      </c>
      <c r="E599" s="19">
        <f>[4]Summary!E598</f>
        <v>0.8</v>
      </c>
      <c r="F599" s="52">
        <f>[4]Summary!F598</f>
        <v>97</v>
      </c>
      <c r="G599" s="20">
        <f t="shared" si="9"/>
        <v>77.600000000000009</v>
      </c>
      <c r="H599" s="20" t="s">
        <v>5408</v>
      </c>
    </row>
    <row r="600" spans="1:8" ht="42">
      <c r="A600" s="21">
        <v>596</v>
      </c>
      <c r="B600" s="22" t="s">
        <v>2913</v>
      </c>
      <c r="C600" s="22" t="s">
        <v>2914</v>
      </c>
      <c r="D600" s="23" t="s">
        <v>1584</v>
      </c>
      <c r="E600" s="24">
        <f>[4]Summary!E599</f>
        <v>0.35</v>
      </c>
      <c r="F600" s="25">
        <f>[4]Summary!F599</f>
        <v>0</v>
      </c>
      <c r="G600" s="26">
        <f t="shared" si="9"/>
        <v>0</v>
      </c>
      <c r="H600" s="26" t="s">
        <v>5408</v>
      </c>
    </row>
    <row r="601" spans="1:8" ht="42">
      <c r="A601" s="16">
        <v>597</v>
      </c>
      <c r="B601" s="17" t="s">
        <v>2915</v>
      </c>
      <c r="C601" s="17" t="s">
        <v>2916</v>
      </c>
      <c r="D601" s="18" t="s">
        <v>1584</v>
      </c>
      <c r="E601" s="19">
        <f>[4]Summary!E600</f>
        <v>2.25</v>
      </c>
      <c r="F601" s="52">
        <f>[4]Summary!F600</f>
        <v>128</v>
      </c>
      <c r="G601" s="20">
        <f t="shared" si="9"/>
        <v>288</v>
      </c>
      <c r="H601" s="20" t="s">
        <v>5408</v>
      </c>
    </row>
    <row r="602" spans="1:8" ht="21">
      <c r="A602" s="21">
        <v>598</v>
      </c>
      <c r="B602" s="22" t="s">
        <v>2917</v>
      </c>
      <c r="C602" s="22" t="s">
        <v>2918</v>
      </c>
      <c r="D602" s="23" t="s">
        <v>1584</v>
      </c>
      <c r="E602" s="24">
        <f>[4]Summary!E601</f>
        <v>3</v>
      </c>
      <c r="F602" s="25">
        <f>[4]Summary!F601</f>
        <v>49</v>
      </c>
      <c r="G602" s="26">
        <f t="shared" si="9"/>
        <v>147</v>
      </c>
      <c r="H602" s="26" t="s">
        <v>5409</v>
      </c>
    </row>
    <row r="603" spans="1:8" ht="42">
      <c r="A603" s="16">
        <v>599</v>
      </c>
      <c r="B603" s="17" t="s">
        <v>2919</v>
      </c>
      <c r="C603" s="17" t="s">
        <v>2920</v>
      </c>
      <c r="D603" s="18" t="s">
        <v>1584</v>
      </c>
      <c r="E603" s="19">
        <f>[4]Summary!E602</f>
        <v>1.5</v>
      </c>
      <c r="F603" s="52">
        <f>[4]Summary!F602</f>
        <v>4</v>
      </c>
      <c r="G603" s="20">
        <f t="shared" si="9"/>
        <v>6</v>
      </c>
      <c r="H603" s="20" t="s">
        <v>5408</v>
      </c>
    </row>
    <row r="604" spans="1:8" ht="21">
      <c r="A604" s="21">
        <v>600</v>
      </c>
      <c r="B604" s="22" t="s">
        <v>2921</v>
      </c>
      <c r="C604" s="22" t="s">
        <v>2922</v>
      </c>
      <c r="D604" s="23" t="s">
        <v>1584</v>
      </c>
      <c r="E604" s="24">
        <f>[4]Summary!E603</f>
        <v>1</v>
      </c>
      <c r="F604" s="25">
        <f>[4]Summary!F603</f>
        <v>9</v>
      </c>
      <c r="G604" s="26">
        <f t="shared" si="9"/>
        <v>9</v>
      </c>
      <c r="H604" s="26" t="s">
        <v>5408</v>
      </c>
    </row>
    <row r="605" spans="1:8" ht="42">
      <c r="A605" s="16">
        <v>601</v>
      </c>
      <c r="B605" s="17" t="s">
        <v>2923</v>
      </c>
      <c r="C605" s="17" t="s">
        <v>2924</v>
      </c>
      <c r="D605" s="18" t="s">
        <v>1584</v>
      </c>
      <c r="E605" s="19">
        <f>[4]Summary!E604</f>
        <v>1</v>
      </c>
      <c r="F605" s="52">
        <f>[4]Summary!F604</f>
        <v>45</v>
      </c>
      <c r="G605" s="20">
        <f t="shared" si="9"/>
        <v>45</v>
      </c>
      <c r="H605" s="20" t="s">
        <v>5408</v>
      </c>
    </row>
    <row r="606" spans="1:8" ht="42">
      <c r="A606" s="21">
        <v>602</v>
      </c>
      <c r="B606" s="22" t="s">
        <v>2925</v>
      </c>
      <c r="C606" s="22" t="s">
        <v>2926</v>
      </c>
      <c r="D606" s="23" t="s">
        <v>1584</v>
      </c>
      <c r="E606" s="24">
        <f>[4]Summary!E605</f>
        <v>2.2000000000000002</v>
      </c>
      <c r="F606" s="25">
        <f>[4]Summary!F605</f>
        <v>4</v>
      </c>
      <c r="G606" s="26">
        <f t="shared" si="9"/>
        <v>8.8000000000000007</v>
      </c>
      <c r="H606" s="26" t="s">
        <v>5408</v>
      </c>
    </row>
    <row r="607" spans="1:8" ht="42">
      <c r="A607" s="16">
        <v>603</v>
      </c>
      <c r="B607" s="17" t="s">
        <v>2927</v>
      </c>
      <c r="C607" s="17" t="s">
        <v>2928</v>
      </c>
      <c r="D607" s="18" t="s">
        <v>1584</v>
      </c>
      <c r="E607" s="19">
        <f>[4]Summary!E606</f>
        <v>1.75</v>
      </c>
      <c r="F607" s="52">
        <f>[4]Summary!F606</f>
        <v>10</v>
      </c>
      <c r="G607" s="20">
        <f t="shared" si="9"/>
        <v>17.5</v>
      </c>
      <c r="H607" s="20" t="s">
        <v>5408</v>
      </c>
    </row>
    <row r="608" spans="1:8" ht="42">
      <c r="A608" s="21">
        <v>604</v>
      </c>
      <c r="B608" s="22" t="s">
        <v>2929</v>
      </c>
      <c r="C608" s="22" t="s">
        <v>2930</v>
      </c>
      <c r="D608" s="23" t="s">
        <v>1584</v>
      </c>
      <c r="E608" s="24">
        <f>[4]Summary!E607</f>
        <v>1.9</v>
      </c>
      <c r="F608" s="25">
        <f>[4]Summary!F607</f>
        <v>4</v>
      </c>
      <c r="G608" s="26">
        <f t="shared" si="9"/>
        <v>7.6</v>
      </c>
      <c r="H608" s="26" t="s">
        <v>5408</v>
      </c>
    </row>
    <row r="609" spans="1:8" ht="42">
      <c r="A609" s="16">
        <v>605</v>
      </c>
      <c r="B609" s="17" t="s">
        <v>2931</v>
      </c>
      <c r="C609" s="17" t="s">
        <v>2932</v>
      </c>
      <c r="D609" s="18" t="s">
        <v>1584</v>
      </c>
      <c r="E609" s="19">
        <f>[4]Summary!E608</f>
        <v>2</v>
      </c>
      <c r="F609" s="52">
        <f>[4]Summary!F608</f>
        <v>4</v>
      </c>
      <c r="G609" s="20">
        <f t="shared" si="9"/>
        <v>8</v>
      </c>
      <c r="H609" s="20" t="s">
        <v>5408</v>
      </c>
    </row>
    <row r="610" spans="1:8" ht="42">
      <c r="A610" s="21">
        <v>606</v>
      </c>
      <c r="B610" s="22" t="s">
        <v>2933</v>
      </c>
      <c r="C610" s="22" t="s">
        <v>2934</v>
      </c>
      <c r="D610" s="23" t="s">
        <v>1584</v>
      </c>
      <c r="E610" s="24">
        <f>[4]Summary!E609</f>
        <v>1.5</v>
      </c>
      <c r="F610" s="25">
        <f>[4]Summary!F609</f>
        <v>6</v>
      </c>
      <c r="G610" s="26">
        <f t="shared" si="9"/>
        <v>9</v>
      </c>
      <c r="H610" s="26" t="s">
        <v>5408</v>
      </c>
    </row>
    <row r="611" spans="1:8" ht="42">
      <c r="A611" s="16">
        <v>607</v>
      </c>
      <c r="B611" s="17" t="s">
        <v>2935</v>
      </c>
      <c r="C611" s="17" t="s">
        <v>2936</v>
      </c>
      <c r="D611" s="18" t="s">
        <v>1584</v>
      </c>
      <c r="E611" s="19">
        <f>[4]Summary!E610</f>
        <v>2.2000000000000002</v>
      </c>
      <c r="F611" s="52">
        <f>[4]Summary!F610</f>
        <v>8</v>
      </c>
      <c r="G611" s="20">
        <f t="shared" si="9"/>
        <v>17.600000000000001</v>
      </c>
      <c r="H611" s="20" t="s">
        <v>5408</v>
      </c>
    </row>
    <row r="612" spans="1:8" ht="42">
      <c r="A612" s="21">
        <v>608</v>
      </c>
      <c r="B612" s="22" t="s">
        <v>2937</v>
      </c>
      <c r="C612" s="22" t="s">
        <v>2938</v>
      </c>
      <c r="D612" s="23" t="s">
        <v>1584</v>
      </c>
      <c r="E612" s="24">
        <f>[4]Summary!E611</f>
        <v>2.5</v>
      </c>
      <c r="F612" s="25">
        <f>[4]Summary!F611</f>
        <v>0</v>
      </c>
      <c r="G612" s="26">
        <f t="shared" si="9"/>
        <v>0</v>
      </c>
      <c r="H612" s="26" t="s">
        <v>5408</v>
      </c>
    </row>
    <row r="613" spans="1:8" ht="21">
      <c r="A613" s="16">
        <v>609</v>
      </c>
      <c r="B613" s="17" t="s">
        <v>2939</v>
      </c>
      <c r="C613" s="17" t="s">
        <v>2940</v>
      </c>
      <c r="D613" s="18" t="s">
        <v>1584</v>
      </c>
      <c r="E613" s="19">
        <f>[4]Summary!E612</f>
        <v>2</v>
      </c>
      <c r="F613" s="52">
        <f>[4]Summary!F612</f>
        <v>7</v>
      </c>
      <c r="G613" s="20">
        <f t="shared" si="9"/>
        <v>14</v>
      </c>
      <c r="H613" s="20" t="s">
        <v>5408</v>
      </c>
    </row>
    <row r="614" spans="1:8" ht="42">
      <c r="A614" s="21">
        <v>610</v>
      </c>
      <c r="B614" s="22" t="s">
        <v>2941</v>
      </c>
      <c r="C614" s="22" t="s">
        <v>2942</v>
      </c>
      <c r="D614" s="23" t="s">
        <v>1584</v>
      </c>
      <c r="E614" s="24">
        <f>[4]Summary!E613</f>
        <v>2</v>
      </c>
      <c r="F614" s="25">
        <f>[4]Summary!F613</f>
        <v>0</v>
      </c>
      <c r="G614" s="26">
        <f t="shared" si="9"/>
        <v>0</v>
      </c>
      <c r="H614" s="26" t="s">
        <v>5408</v>
      </c>
    </row>
    <row r="615" spans="1:8" ht="42">
      <c r="A615" s="16">
        <v>611</v>
      </c>
      <c r="B615" s="17" t="s">
        <v>2943</v>
      </c>
      <c r="C615" s="17" t="s">
        <v>2944</v>
      </c>
      <c r="D615" s="18" t="s">
        <v>1584</v>
      </c>
      <c r="E615" s="19">
        <f>[4]Summary!E614</f>
        <v>2</v>
      </c>
      <c r="F615" s="52">
        <f>[4]Summary!F614</f>
        <v>0</v>
      </c>
      <c r="G615" s="20">
        <f t="shared" si="9"/>
        <v>0</v>
      </c>
      <c r="H615" s="20" t="s">
        <v>5408</v>
      </c>
    </row>
    <row r="616" spans="1:8" ht="42">
      <c r="A616" s="21">
        <v>612</v>
      </c>
      <c r="B616" s="22" t="s">
        <v>2945</v>
      </c>
      <c r="C616" s="22" t="s">
        <v>2946</v>
      </c>
      <c r="D616" s="23" t="s">
        <v>1584</v>
      </c>
      <c r="E616" s="24">
        <f>[4]Summary!E615</f>
        <v>2.5</v>
      </c>
      <c r="F616" s="25">
        <f>[4]Summary!F615</f>
        <v>0</v>
      </c>
      <c r="G616" s="26">
        <f t="shared" si="9"/>
        <v>0</v>
      </c>
      <c r="H616" s="26" t="s">
        <v>5408</v>
      </c>
    </row>
    <row r="617" spans="1:8" ht="21">
      <c r="A617" s="16">
        <v>613</v>
      </c>
      <c r="B617" s="17" t="s">
        <v>2947</v>
      </c>
      <c r="C617" s="17" t="s">
        <v>2948</v>
      </c>
      <c r="D617" s="18" t="s">
        <v>1584</v>
      </c>
      <c r="E617" s="19">
        <f>[4]Summary!E616</f>
        <v>0</v>
      </c>
      <c r="F617" s="52">
        <f>[4]Summary!F616</f>
        <v>1</v>
      </c>
      <c r="G617" s="20">
        <f t="shared" si="9"/>
        <v>0</v>
      </c>
      <c r="H617" s="20" t="s">
        <v>5408</v>
      </c>
    </row>
    <row r="618" spans="1:8" ht="42">
      <c r="A618" s="21">
        <v>614</v>
      </c>
      <c r="B618" s="22" t="s">
        <v>2949</v>
      </c>
      <c r="C618" s="22" t="s">
        <v>2950</v>
      </c>
      <c r="D618" s="23" t="s">
        <v>1584</v>
      </c>
      <c r="E618" s="24">
        <f>[4]Summary!E617</f>
        <v>0</v>
      </c>
      <c r="F618" s="25">
        <f>[4]Summary!F617</f>
        <v>3</v>
      </c>
      <c r="G618" s="26">
        <f t="shared" si="9"/>
        <v>0</v>
      </c>
      <c r="H618" s="26" t="s">
        <v>5408</v>
      </c>
    </row>
    <row r="619" spans="1:8" ht="42">
      <c r="A619" s="16">
        <v>615</v>
      </c>
      <c r="B619" s="17" t="s">
        <v>2951</v>
      </c>
      <c r="C619" s="17" t="s">
        <v>2952</v>
      </c>
      <c r="D619" s="18" t="s">
        <v>1584</v>
      </c>
      <c r="E619" s="19">
        <f>[4]Summary!E618</f>
        <v>6.5</v>
      </c>
      <c r="F619" s="52">
        <f>[4]Summary!F618</f>
        <v>5</v>
      </c>
      <c r="G619" s="20">
        <f t="shared" si="9"/>
        <v>32.5</v>
      </c>
      <c r="H619" s="20" t="s">
        <v>5408</v>
      </c>
    </row>
    <row r="620" spans="1:8" ht="42">
      <c r="A620" s="21">
        <v>616</v>
      </c>
      <c r="B620" s="22" t="s">
        <v>2953</v>
      </c>
      <c r="C620" s="22" t="s">
        <v>2954</v>
      </c>
      <c r="D620" s="23" t="s">
        <v>1584</v>
      </c>
      <c r="E620" s="24">
        <f>[4]Summary!E619</f>
        <v>7.5</v>
      </c>
      <c r="F620" s="25">
        <f>[4]Summary!F619</f>
        <v>1</v>
      </c>
      <c r="G620" s="26">
        <f t="shared" si="9"/>
        <v>7.5</v>
      </c>
      <c r="H620" s="26" t="s">
        <v>5408</v>
      </c>
    </row>
    <row r="621" spans="1:8" ht="42">
      <c r="A621" s="16">
        <v>617</v>
      </c>
      <c r="B621" s="17" t="s">
        <v>2955</v>
      </c>
      <c r="C621" s="17" t="s">
        <v>2956</v>
      </c>
      <c r="D621" s="18" t="s">
        <v>1584</v>
      </c>
      <c r="E621" s="19">
        <f>[4]Summary!E620</f>
        <v>4</v>
      </c>
      <c r="F621" s="52">
        <f>[4]Summary!F620</f>
        <v>0</v>
      </c>
      <c r="G621" s="20">
        <f t="shared" si="9"/>
        <v>0</v>
      </c>
      <c r="H621" s="20" t="s">
        <v>5408</v>
      </c>
    </row>
    <row r="622" spans="1:8" ht="42">
      <c r="A622" s="21">
        <v>618</v>
      </c>
      <c r="B622" s="22" t="s">
        <v>2957</v>
      </c>
      <c r="C622" s="22" t="s">
        <v>2958</v>
      </c>
      <c r="D622" s="23" t="s">
        <v>1584</v>
      </c>
      <c r="E622" s="24">
        <f>[4]Summary!E621</f>
        <v>0.6</v>
      </c>
      <c r="F622" s="25">
        <f>[4]Summary!F621</f>
        <v>22</v>
      </c>
      <c r="G622" s="26">
        <f t="shared" si="9"/>
        <v>13.2</v>
      </c>
      <c r="H622" s="26" t="s">
        <v>5408</v>
      </c>
    </row>
    <row r="623" spans="1:8" ht="21">
      <c r="A623" s="16">
        <v>619</v>
      </c>
      <c r="B623" s="17" t="s">
        <v>2959</v>
      </c>
      <c r="C623" s="17" t="s">
        <v>2960</v>
      </c>
      <c r="D623" s="18" t="s">
        <v>1584</v>
      </c>
      <c r="E623" s="19">
        <f>[4]Summary!E622</f>
        <v>1.68</v>
      </c>
      <c r="F623" s="52">
        <f>[4]Summary!F622</f>
        <v>50</v>
      </c>
      <c r="G623" s="20">
        <f t="shared" si="9"/>
        <v>84</v>
      </c>
      <c r="H623" s="20" t="s">
        <v>5409</v>
      </c>
    </row>
    <row r="624" spans="1:8" ht="42">
      <c r="A624" s="21">
        <v>620</v>
      </c>
      <c r="B624" s="22" t="s">
        <v>2961</v>
      </c>
      <c r="C624" s="22" t="s">
        <v>2962</v>
      </c>
      <c r="D624" s="23" t="s">
        <v>1584</v>
      </c>
      <c r="E624" s="24">
        <f>[4]Summary!E623</f>
        <v>0</v>
      </c>
      <c r="F624" s="25">
        <f>[4]Summary!F623</f>
        <v>128</v>
      </c>
      <c r="G624" s="26">
        <f t="shared" si="9"/>
        <v>0</v>
      </c>
      <c r="H624" s="26" t="s">
        <v>5409</v>
      </c>
    </row>
    <row r="625" spans="1:8" ht="21">
      <c r="A625" s="16">
        <v>621</v>
      </c>
      <c r="B625" s="17" t="s">
        <v>2963</v>
      </c>
      <c r="C625" s="17" t="s">
        <v>2964</v>
      </c>
      <c r="D625" s="18" t="s">
        <v>1584</v>
      </c>
      <c r="E625" s="19">
        <f>[4]Summary!E624</f>
        <v>0</v>
      </c>
      <c r="F625" s="52">
        <f>[4]Summary!F624</f>
        <v>17</v>
      </c>
      <c r="G625" s="20">
        <f t="shared" si="9"/>
        <v>0</v>
      </c>
      <c r="H625" s="20" t="s">
        <v>5409</v>
      </c>
    </row>
    <row r="626" spans="1:8" ht="21">
      <c r="A626" s="21">
        <v>622</v>
      </c>
      <c r="B626" s="22" t="s">
        <v>2965</v>
      </c>
      <c r="C626" s="22" t="s">
        <v>2966</v>
      </c>
      <c r="D626" s="23" t="s">
        <v>1584</v>
      </c>
      <c r="E626" s="24">
        <f>[4]Summary!E625</f>
        <v>0</v>
      </c>
      <c r="F626" s="25">
        <f>[4]Summary!F625</f>
        <v>2</v>
      </c>
      <c r="G626" s="26">
        <f t="shared" si="9"/>
        <v>0</v>
      </c>
      <c r="H626" s="26" t="s">
        <v>5410</v>
      </c>
    </row>
    <row r="627" spans="1:8" ht="21">
      <c r="A627" s="16">
        <v>623</v>
      </c>
      <c r="B627" s="17" t="s">
        <v>2967</v>
      </c>
      <c r="C627" s="17" t="s">
        <v>2968</v>
      </c>
      <c r="D627" s="18" t="s">
        <v>1584</v>
      </c>
      <c r="E627" s="19">
        <f>[4]Summary!E626</f>
        <v>1</v>
      </c>
      <c r="F627" s="52">
        <f>[4]Summary!F626</f>
        <v>197</v>
      </c>
      <c r="G627" s="20">
        <f t="shared" si="9"/>
        <v>197</v>
      </c>
      <c r="H627" s="20" t="s">
        <v>5404</v>
      </c>
    </row>
    <row r="628" spans="1:8" ht="21">
      <c r="A628" s="21">
        <v>624</v>
      </c>
      <c r="B628" s="22" t="s">
        <v>2969</v>
      </c>
      <c r="C628" s="22" t="s">
        <v>2970</v>
      </c>
      <c r="D628" s="23" t="s">
        <v>1584</v>
      </c>
      <c r="E628" s="24">
        <f>[4]Summary!E627</f>
        <v>7</v>
      </c>
      <c r="F628" s="25">
        <f>[4]Summary!F627</f>
        <v>0</v>
      </c>
      <c r="G628" s="26">
        <f t="shared" si="9"/>
        <v>0</v>
      </c>
      <c r="H628" s="26" t="s">
        <v>5412</v>
      </c>
    </row>
    <row r="629" spans="1:8" ht="21">
      <c r="A629" s="16">
        <v>625</v>
      </c>
      <c r="B629" s="17" t="s">
        <v>2971</v>
      </c>
      <c r="C629" s="17" t="s">
        <v>2972</v>
      </c>
      <c r="D629" s="18" t="s">
        <v>1601</v>
      </c>
      <c r="E629" s="19">
        <f>[4]Summary!E628</f>
        <v>2</v>
      </c>
      <c r="F629" s="52">
        <f>[4]Summary!F628</f>
        <v>60.200000000000017</v>
      </c>
      <c r="G629" s="20">
        <f t="shared" si="9"/>
        <v>120.40000000000003</v>
      </c>
      <c r="H629" s="20" t="s">
        <v>5412</v>
      </c>
    </row>
    <row r="630" spans="1:8" ht="42">
      <c r="A630" s="21">
        <v>626</v>
      </c>
      <c r="B630" s="22" t="s">
        <v>2973</v>
      </c>
      <c r="C630" s="22" t="s">
        <v>2974</v>
      </c>
      <c r="D630" s="23" t="s">
        <v>1584</v>
      </c>
      <c r="E630" s="24">
        <f>[4]Summary!E629</f>
        <v>0.1</v>
      </c>
      <c r="F630" s="25">
        <f>[4]Summary!F629</f>
        <v>9</v>
      </c>
      <c r="G630" s="26">
        <f t="shared" si="9"/>
        <v>0.9</v>
      </c>
      <c r="H630" s="26" t="s">
        <v>5415</v>
      </c>
    </row>
    <row r="631" spans="1:8" ht="42">
      <c r="A631" s="16">
        <v>627</v>
      </c>
      <c r="B631" s="17" t="s">
        <v>2975</v>
      </c>
      <c r="C631" s="17" t="s">
        <v>2976</v>
      </c>
      <c r="D631" s="18" t="s">
        <v>1584</v>
      </c>
      <c r="E631" s="19">
        <f>[4]Summary!E630</f>
        <v>0.08</v>
      </c>
      <c r="F631" s="52">
        <f>[4]Summary!F630</f>
        <v>4</v>
      </c>
      <c r="G631" s="20">
        <f t="shared" si="9"/>
        <v>0.32</v>
      </c>
      <c r="H631" s="20" t="s">
        <v>5415</v>
      </c>
    </row>
    <row r="632" spans="1:8" ht="42">
      <c r="A632" s="21">
        <v>628</v>
      </c>
      <c r="B632" s="22" t="s">
        <v>2977</v>
      </c>
      <c r="C632" s="22" t="s">
        <v>2978</v>
      </c>
      <c r="D632" s="23" t="s">
        <v>1584</v>
      </c>
      <c r="E632" s="24">
        <f>[4]Summary!E631</f>
        <v>3.3000000000000002E-2</v>
      </c>
      <c r="F632" s="25">
        <f>[4]Summary!F631</f>
        <v>53</v>
      </c>
      <c r="G632" s="26">
        <f t="shared" si="9"/>
        <v>1.7490000000000001</v>
      </c>
      <c r="H632" s="26" t="s">
        <v>5415</v>
      </c>
    </row>
    <row r="633" spans="1:8" ht="42">
      <c r="A633" s="16">
        <v>629</v>
      </c>
      <c r="B633" s="17" t="s">
        <v>2979</v>
      </c>
      <c r="C633" s="17" t="s">
        <v>2980</v>
      </c>
      <c r="D633" s="18" t="s">
        <v>1584</v>
      </c>
      <c r="E633" s="19">
        <f>[4]Summary!E632</f>
        <v>0.06</v>
      </c>
      <c r="F633" s="52">
        <f>[4]Summary!F632</f>
        <v>0</v>
      </c>
      <c r="G633" s="20">
        <f t="shared" si="9"/>
        <v>0</v>
      </c>
      <c r="H633" s="20" t="s">
        <v>5415</v>
      </c>
    </row>
    <row r="634" spans="1:8" ht="42">
      <c r="A634" s="21">
        <v>630</v>
      </c>
      <c r="B634" s="22" t="s">
        <v>2981</v>
      </c>
      <c r="C634" s="22" t="s">
        <v>2982</v>
      </c>
      <c r="D634" s="23" t="s">
        <v>1584</v>
      </c>
      <c r="E634" s="24">
        <f>[4]Summary!E633</f>
        <v>0.04</v>
      </c>
      <c r="F634" s="25">
        <f>[4]Summary!F633</f>
        <v>186</v>
      </c>
      <c r="G634" s="26">
        <f t="shared" si="9"/>
        <v>7.44</v>
      </c>
      <c r="H634" s="26" t="s">
        <v>5415</v>
      </c>
    </row>
    <row r="635" spans="1:8" ht="42">
      <c r="A635" s="16">
        <v>631</v>
      </c>
      <c r="B635" s="17" t="s">
        <v>2983</v>
      </c>
      <c r="C635" s="17" t="s">
        <v>2984</v>
      </c>
      <c r="D635" s="18" t="s">
        <v>1584</v>
      </c>
      <c r="E635" s="19">
        <f>[4]Summary!E634</f>
        <v>1</v>
      </c>
      <c r="F635" s="52">
        <f>[4]Summary!F634</f>
        <v>0</v>
      </c>
      <c r="G635" s="20">
        <f t="shared" si="9"/>
        <v>0</v>
      </c>
      <c r="H635" s="20" t="s">
        <v>5415</v>
      </c>
    </row>
    <row r="636" spans="1:8" ht="42">
      <c r="A636" s="21">
        <v>632</v>
      </c>
      <c r="B636" s="22" t="s">
        <v>2985</v>
      </c>
      <c r="C636" s="22" t="s">
        <v>2986</v>
      </c>
      <c r="D636" s="23" t="s">
        <v>1584</v>
      </c>
      <c r="E636" s="24">
        <f>[4]Summary!E635</f>
        <v>0.06</v>
      </c>
      <c r="F636" s="25">
        <f>[4]Summary!F635</f>
        <v>348</v>
      </c>
      <c r="G636" s="26">
        <f t="shared" si="9"/>
        <v>20.88</v>
      </c>
      <c r="H636" s="26" t="s">
        <v>5415</v>
      </c>
    </row>
    <row r="637" spans="1:8" ht="42">
      <c r="A637" s="16">
        <v>633</v>
      </c>
      <c r="B637" s="17" t="s">
        <v>2987</v>
      </c>
      <c r="C637" s="17" t="s">
        <v>2988</v>
      </c>
      <c r="D637" s="18" t="s">
        <v>1584</v>
      </c>
      <c r="E637" s="19">
        <f>[4]Summary!E636</f>
        <v>0.09</v>
      </c>
      <c r="F637" s="52">
        <f>[4]Summary!F636</f>
        <v>61</v>
      </c>
      <c r="G637" s="20">
        <f t="shared" si="9"/>
        <v>5.49</v>
      </c>
      <c r="H637" s="20" t="s">
        <v>5415</v>
      </c>
    </row>
    <row r="638" spans="1:8" ht="21">
      <c r="A638" s="21">
        <v>634</v>
      </c>
      <c r="B638" s="22" t="s">
        <v>2989</v>
      </c>
      <c r="C638" s="22" t="s">
        <v>2990</v>
      </c>
      <c r="D638" s="23" t="s">
        <v>131</v>
      </c>
      <c r="E638" s="24">
        <f>[4]Summary!E637</f>
        <v>16</v>
      </c>
      <c r="F638" s="25">
        <f>[4]Summary!F637</f>
        <v>0</v>
      </c>
      <c r="G638" s="26">
        <f t="shared" si="9"/>
        <v>0</v>
      </c>
      <c r="H638" s="26" t="s">
        <v>5412</v>
      </c>
    </row>
    <row r="639" spans="1:8" ht="21">
      <c r="A639" s="16">
        <v>635</v>
      </c>
      <c r="B639" s="17" t="s">
        <v>2991</v>
      </c>
      <c r="C639" s="17" t="s">
        <v>2992</v>
      </c>
      <c r="D639" s="18" t="s">
        <v>1584</v>
      </c>
      <c r="E639" s="19">
        <f>[4]Summary!E638</f>
        <v>32</v>
      </c>
      <c r="F639" s="52">
        <f>[4]Summary!F638</f>
        <v>0</v>
      </c>
      <c r="G639" s="20">
        <f t="shared" si="9"/>
        <v>0</v>
      </c>
      <c r="H639" s="20" t="s">
        <v>5411</v>
      </c>
    </row>
    <row r="640" spans="1:8" ht="21">
      <c r="A640" s="21">
        <v>636</v>
      </c>
      <c r="B640" s="22" t="s">
        <v>2993</v>
      </c>
      <c r="C640" s="22" t="s">
        <v>2994</v>
      </c>
      <c r="D640" s="23" t="s">
        <v>1584</v>
      </c>
      <c r="E640" s="24">
        <f>[4]Summary!E639</f>
        <v>29</v>
      </c>
      <c r="F640" s="25">
        <f>[4]Summary!F639</f>
        <v>0</v>
      </c>
      <c r="G640" s="26">
        <f t="shared" si="9"/>
        <v>0</v>
      </c>
      <c r="H640" s="26" t="s">
        <v>5411</v>
      </c>
    </row>
    <row r="641" spans="1:8" ht="21">
      <c r="A641" s="16">
        <v>637</v>
      </c>
      <c r="B641" s="17" t="s">
        <v>2995</v>
      </c>
      <c r="C641" s="17" t="s">
        <v>2996</v>
      </c>
      <c r="D641" s="18" t="s">
        <v>1584</v>
      </c>
      <c r="E641" s="19">
        <f>[4]Summary!E640</f>
        <v>30</v>
      </c>
      <c r="F641" s="52">
        <f>[4]Summary!F640</f>
        <v>0</v>
      </c>
      <c r="G641" s="20">
        <f t="shared" si="9"/>
        <v>0</v>
      </c>
      <c r="H641" s="20" t="s">
        <v>5411</v>
      </c>
    </row>
    <row r="642" spans="1:8" ht="21">
      <c r="A642" s="21">
        <v>638</v>
      </c>
      <c r="B642" s="22" t="s">
        <v>2997</v>
      </c>
      <c r="C642" s="22" t="s">
        <v>2998</v>
      </c>
      <c r="D642" s="23" t="s">
        <v>1584</v>
      </c>
      <c r="E642" s="24">
        <f>[4]Summary!E641</f>
        <v>52.503</v>
      </c>
      <c r="F642" s="25">
        <f>[4]Summary!F641</f>
        <v>0</v>
      </c>
      <c r="G642" s="26">
        <f t="shared" si="9"/>
        <v>0</v>
      </c>
      <c r="H642" s="26" t="s">
        <v>5411</v>
      </c>
    </row>
    <row r="643" spans="1:8" ht="21">
      <c r="A643" s="16">
        <v>639</v>
      </c>
      <c r="B643" s="17" t="s">
        <v>2999</v>
      </c>
      <c r="C643" s="17" t="s">
        <v>3000</v>
      </c>
      <c r="D643" s="18" t="s">
        <v>1584</v>
      </c>
      <c r="E643" s="19">
        <f>[4]Summary!E642</f>
        <v>9.68</v>
      </c>
      <c r="F643" s="52">
        <f>[4]Summary!F642</f>
        <v>0</v>
      </c>
      <c r="G643" s="20">
        <f t="shared" si="9"/>
        <v>0</v>
      </c>
      <c r="H643" s="20" t="s">
        <v>5411</v>
      </c>
    </row>
    <row r="644" spans="1:8" ht="21">
      <c r="A644" s="21">
        <v>640</v>
      </c>
      <c r="B644" s="22" t="s">
        <v>3001</v>
      </c>
      <c r="C644" s="22" t="s">
        <v>3002</v>
      </c>
      <c r="D644" s="23" t="s">
        <v>1584</v>
      </c>
      <c r="E644" s="24">
        <f>[4]Summary!E643</f>
        <v>90</v>
      </c>
      <c r="F644" s="25">
        <f>[4]Summary!F643</f>
        <v>0</v>
      </c>
      <c r="G644" s="26">
        <f t="shared" si="9"/>
        <v>0</v>
      </c>
      <c r="H644" s="26" t="s">
        <v>5411</v>
      </c>
    </row>
    <row r="645" spans="1:8" ht="21">
      <c r="A645" s="16">
        <v>641</v>
      </c>
      <c r="B645" s="17" t="s">
        <v>3003</v>
      </c>
      <c r="C645" s="17" t="s">
        <v>3004</v>
      </c>
      <c r="D645" s="18" t="s">
        <v>1584</v>
      </c>
      <c r="E645" s="19">
        <f>[4]Summary!E644</f>
        <v>33</v>
      </c>
      <c r="F645" s="52">
        <f>[4]Summary!F644</f>
        <v>0</v>
      </c>
      <c r="G645" s="20">
        <f t="shared" si="9"/>
        <v>0</v>
      </c>
      <c r="H645" s="20" t="s">
        <v>5411</v>
      </c>
    </row>
    <row r="646" spans="1:8" ht="42">
      <c r="A646" s="21">
        <v>642</v>
      </c>
      <c r="B646" s="22" t="s">
        <v>3005</v>
      </c>
      <c r="C646" s="22" t="s">
        <v>3006</v>
      </c>
      <c r="D646" s="23" t="s">
        <v>1584</v>
      </c>
      <c r="E646" s="24">
        <f>[4]Summary!E645</f>
        <v>7</v>
      </c>
      <c r="F646" s="25">
        <f>[4]Summary!F645</f>
        <v>1</v>
      </c>
      <c r="G646" s="26">
        <f t="shared" si="9"/>
        <v>7</v>
      </c>
      <c r="H646" s="26" t="s">
        <v>5412</v>
      </c>
    </row>
    <row r="647" spans="1:8" ht="42">
      <c r="A647" s="16">
        <v>643</v>
      </c>
      <c r="B647" s="17" t="s">
        <v>3007</v>
      </c>
      <c r="C647" s="17" t="s">
        <v>3008</v>
      </c>
      <c r="D647" s="18" t="s">
        <v>1584</v>
      </c>
      <c r="E647" s="19">
        <f>[4]Summary!E646</f>
        <v>95</v>
      </c>
      <c r="F647" s="52">
        <f>[4]Summary!F646</f>
        <v>0</v>
      </c>
      <c r="G647" s="20">
        <f t="shared" ref="G647:G710" si="10">E647*F647</f>
        <v>0</v>
      </c>
      <c r="H647" s="20" t="s">
        <v>5412</v>
      </c>
    </row>
    <row r="648" spans="1:8" ht="21">
      <c r="A648" s="21">
        <v>644</v>
      </c>
      <c r="B648" s="22" t="s">
        <v>3009</v>
      </c>
      <c r="C648" s="22" t="s">
        <v>3010</v>
      </c>
      <c r="D648" s="23" t="s">
        <v>1584</v>
      </c>
      <c r="E648" s="24">
        <f>[4]Summary!E647</f>
        <v>3</v>
      </c>
      <c r="F648" s="25">
        <f>[4]Summary!F647</f>
        <v>29</v>
      </c>
      <c r="G648" s="26">
        <f t="shared" si="10"/>
        <v>87</v>
      </c>
      <c r="H648" s="26" t="s">
        <v>5411</v>
      </c>
    </row>
    <row r="649" spans="1:8" ht="42">
      <c r="A649" s="16">
        <v>645</v>
      </c>
      <c r="B649" s="17" t="s">
        <v>3011</v>
      </c>
      <c r="C649" s="17" t="s">
        <v>3012</v>
      </c>
      <c r="D649" s="18" t="s">
        <v>1584</v>
      </c>
      <c r="E649" s="19">
        <f>[4]Summary!E648</f>
        <v>28</v>
      </c>
      <c r="F649" s="52">
        <f>[4]Summary!F648</f>
        <v>0</v>
      </c>
      <c r="G649" s="20">
        <f t="shared" si="10"/>
        <v>0</v>
      </c>
      <c r="H649" s="20" t="s">
        <v>5412</v>
      </c>
    </row>
    <row r="650" spans="1:8" ht="21">
      <c r="A650" s="21">
        <v>646</v>
      </c>
      <c r="B650" s="22" t="s">
        <v>3013</v>
      </c>
      <c r="C650" s="22" t="s">
        <v>3014</v>
      </c>
      <c r="D650" s="23" t="s">
        <v>1600</v>
      </c>
      <c r="E650" s="24">
        <f>[4]Summary!E649</f>
        <v>50</v>
      </c>
      <c r="F650" s="25">
        <f>[4]Summary!F649</f>
        <v>0</v>
      </c>
      <c r="G650" s="26">
        <f t="shared" si="10"/>
        <v>0</v>
      </c>
      <c r="H650" s="26" t="s">
        <v>5412</v>
      </c>
    </row>
    <row r="651" spans="1:8" ht="21">
      <c r="A651" s="16">
        <v>647</v>
      </c>
      <c r="B651" s="17" t="s">
        <v>3015</v>
      </c>
      <c r="C651" s="17" t="s">
        <v>3016</v>
      </c>
      <c r="D651" s="18" t="s">
        <v>1584</v>
      </c>
      <c r="E651" s="19">
        <f>[4]Summary!E650</f>
        <v>2</v>
      </c>
      <c r="F651" s="52">
        <f>[4]Summary!F650</f>
        <v>0</v>
      </c>
      <c r="G651" s="20">
        <f t="shared" si="10"/>
        <v>0</v>
      </c>
      <c r="H651" s="20" t="s">
        <v>5416</v>
      </c>
    </row>
    <row r="652" spans="1:8" ht="21">
      <c r="A652" s="21">
        <v>648</v>
      </c>
      <c r="B652" s="22" t="s">
        <v>3017</v>
      </c>
      <c r="C652" s="22" t="s">
        <v>3018</v>
      </c>
      <c r="D652" s="23" t="s">
        <v>1584</v>
      </c>
      <c r="E652" s="24">
        <f>[4]Summary!E651</f>
        <v>6.55</v>
      </c>
      <c r="F652" s="25">
        <f>[4]Summary!F651</f>
        <v>0</v>
      </c>
      <c r="G652" s="26">
        <f t="shared" si="10"/>
        <v>0</v>
      </c>
      <c r="H652" s="26" t="s">
        <v>5404</v>
      </c>
    </row>
    <row r="653" spans="1:8" ht="21">
      <c r="A653" s="16">
        <v>649</v>
      </c>
      <c r="B653" s="17" t="s">
        <v>3019</v>
      </c>
      <c r="C653" s="17" t="s">
        <v>3020</v>
      </c>
      <c r="D653" s="18" t="s">
        <v>1584</v>
      </c>
      <c r="E653" s="19">
        <f>[4]Summary!E652</f>
        <v>0</v>
      </c>
      <c r="F653" s="52">
        <f>[4]Summary!F652</f>
        <v>0</v>
      </c>
      <c r="G653" s="20">
        <f t="shared" si="10"/>
        <v>0</v>
      </c>
      <c r="H653" s="20" t="s">
        <v>5406</v>
      </c>
    </row>
    <row r="654" spans="1:8" ht="42">
      <c r="A654" s="21">
        <v>650</v>
      </c>
      <c r="B654" s="22" t="s">
        <v>3021</v>
      </c>
      <c r="C654" s="22" t="s">
        <v>3022</v>
      </c>
      <c r="D654" s="23" t="s">
        <v>1584</v>
      </c>
      <c r="E654" s="24">
        <f>[4]Summary!E653</f>
        <v>4</v>
      </c>
      <c r="F654" s="25">
        <f>[4]Summary!F653</f>
        <v>0</v>
      </c>
      <c r="G654" s="26">
        <f t="shared" si="10"/>
        <v>0</v>
      </c>
      <c r="H654" s="26" t="s">
        <v>5405</v>
      </c>
    </row>
    <row r="655" spans="1:8" ht="21">
      <c r="A655" s="16">
        <v>651</v>
      </c>
      <c r="B655" s="17" t="s">
        <v>3023</v>
      </c>
      <c r="C655" s="17" t="s">
        <v>3024</v>
      </c>
      <c r="D655" s="18" t="s">
        <v>1584</v>
      </c>
      <c r="E655" s="19">
        <f>[4]Summary!E654</f>
        <v>3</v>
      </c>
      <c r="F655" s="52">
        <f>[4]Summary!F654</f>
        <v>16</v>
      </c>
      <c r="G655" s="20">
        <f t="shared" si="10"/>
        <v>48</v>
      </c>
      <c r="H655" s="20" t="s">
        <v>5404</v>
      </c>
    </row>
    <row r="656" spans="1:8" ht="21">
      <c r="A656" s="21">
        <v>652</v>
      </c>
      <c r="B656" s="22" t="s">
        <v>3025</v>
      </c>
      <c r="C656" s="22" t="s">
        <v>3026</v>
      </c>
      <c r="D656" s="23" t="s">
        <v>1584</v>
      </c>
      <c r="E656" s="24">
        <f>[4]Summary!E655</f>
        <v>4.5</v>
      </c>
      <c r="F656" s="25">
        <f>[4]Summary!F655</f>
        <v>161</v>
      </c>
      <c r="G656" s="26">
        <f t="shared" si="10"/>
        <v>724.5</v>
      </c>
      <c r="H656" s="26" t="s">
        <v>5404</v>
      </c>
    </row>
    <row r="657" spans="1:8" ht="21">
      <c r="A657" s="16">
        <v>653</v>
      </c>
      <c r="B657" s="17" t="s">
        <v>3027</v>
      </c>
      <c r="C657" s="17" t="s">
        <v>3028</v>
      </c>
      <c r="D657" s="18" t="s">
        <v>1584</v>
      </c>
      <c r="E657" s="19">
        <f>[4]Summary!E656</f>
        <v>3.95</v>
      </c>
      <c r="F657" s="52">
        <f>[4]Summary!F656</f>
        <v>4</v>
      </c>
      <c r="G657" s="20">
        <f t="shared" si="10"/>
        <v>15.8</v>
      </c>
      <c r="H657" s="20" t="s">
        <v>5405</v>
      </c>
    </row>
    <row r="658" spans="1:8" ht="21">
      <c r="A658" s="21">
        <v>654</v>
      </c>
      <c r="B658" s="22" t="s">
        <v>3029</v>
      </c>
      <c r="C658" s="22" t="s">
        <v>3030</v>
      </c>
      <c r="D658" s="23" t="s">
        <v>1584</v>
      </c>
      <c r="E658" s="24">
        <f>[4]Summary!E657</f>
        <v>0.5</v>
      </c>
      <c r="F658" s="25">
        <f>[4]Summary!F657</f>
        <v>0</v>
      </c>
      <c r="G658" s="26">
        <f t="shared" si="10"/>
        <v>0</v>
      </c>
      <c r="H658" s="26" t="s">
        <v>5408</v>
      </c>
    </row>
    <row r="659" spans="1:8" ht="21">
      <c r="A659" s="16">
        <v>655</v>
      </c>
      <c r="B659" s="17" t="s">
        <v>3031</v>
      </c>
      <c r="C659" s="17" t="s">
        <v>3032</v>
      </c>
      <c r="D659" s="18" t="s">
        <v>1584</v>
      </c>
      <c r="E659" s="19">
        <f>[4]Summary!E658</f>
        <v>0.25</v>
      </c>
      <c r="F659" s="52">
        <f>[4]Summary!F658</f>
        <v>9</v>
      </c>
      <c r="G659" s="20">
        <f t="shared" si="10"/>
        <v>2.25</v>
      </c>
      <c r="H659" s="20" t="s">
        <v>5406</v>
      </c>
    </row>
    <row r="660" spans="1:8" ht="21">
      <c r="A660" s="21">
        <v>656</v>
      </c>
      <c r="B660" s="22" t="s">
        <v>3033</v>
      </c>
      <c r="C660" s="22" t="s">
        <v>3034</v>
      </c>
      <c r="D660" s="23" t="s">
        <v>1584</v>
      </c>
      <c r="E660" s="24">
        <f>[4]Summary!E659</f>
        <v>0.6</v>
      </c>
      <c r="F660" s="25">
        <f>[4]Summary!F659</f>
        <v>5</v>
      </c>
      <c r="G660" s="26">
        <f t="shared" si="10"/>
        <v>3</v>
      </c>
      <c r="H660" s="26" t="s">
        <v>5405</v>
      </c>
    </row>
    <row r="661" spans="1:8" ht="21">
      <c r="A661" s="16">
        <v>657</v>
      </c>
      <c r="B661" s="17" t="s">
        <v>3035</v>
      </c>
      <c r="C661" s="17" t="s">
        <v>3036</v>
      </c>
      <c r="D661" s="18" t="s">
        <v>1584</v>
      </c>
      <c r="E661" s="19">
        <f>[4]Summary!E660</f>
        <v>0.6</v>
      </c>
      <c r="F661" s="52">
        <f>[4]Summary!F660</f>
        <v>0</v>
      </c>
      <c r="G661" s="20">
        <f t="shared" si="10"/>
        <v>0</v>
      </c>
      <c r="H661" s="20" t="s">
        <v>5405</v>
      </c>
    </row>
    <row r="662" spans="1:8" ht="21">
      <c r="A662" s="21">
        <v>658</v>
      </c>
      <c r="B662" s="22" t="s">
        <v>3037</v>
      </c>
      <c r="C662" s="22" t="s">
        <v>3038</v>
      </c>
      <c r="D662" s="23" t="s">
        <v>1584</v>
      </c>
      <c r="E662" s="24">
        <f>[4]Summary!E661</f>
        <v>0.37</v>
      </c>
      <c r="F662" s="25">
        <f>[4]Summary!F661</f>
        <v>516</v>
      </c>
      <c r="G662" s="26">
        <f t="shared" si="10"/>
        <v>190.92</v>
      </c>
      <c r="H662" s="26" t="s">
        <v>5406</v>
      </c>
    </row>
    <row r="663" spans="1:8" ht="21">
      <c r="A663" s="16">
        <v>659</v>
      </c>
      <c r="B663" s="17" t="s">
        <v>3039</v>
      </c>
      <c r="C663" s="17" t="s">
        <v>3040</v>
      </c>
      <c r="D663" s="18" t="s">
        <v>1584</v>
      </c>
      <c r="E663" s="19">
        <f>[4]Summary!E662</f>
        <v>0.65</v>
      </c>
      <c r="F663" s="52">
        <f>[4]Summary!F662</f>
        <v>0</v>
      </c>
      <c r="G663" s="20">
        <f t="shared" si="10"/>
        <v>0</v>
      </c>
      <c r="H663" s="20" t="s">
        <v>5406</v>
      </c>
    </row>
    <row r="664" spans="1:8" ht="21">
      <c r="A664" s="21">
        <v>660</v>
      </c>
      <c r="B664" s="22" t="s">
        <v>3041</v>
      </c>
      <c r="C664" s="22" t="s">
        <v>3042</v>
      </c>
      <c r="D664" s="23" t="s">
        <v>1584</v>
      </c>
      <c r="E664" s="24">
        <f>[4]Summary!E663</f>
        <v>0.62</v>
      </c>
      <c r="F664" s="25">
        <f>[4]Summary!F663</f>
        <v>27</v>
      </c>
      <c r="G664" s="26">
        <f t="shared" si="10"/>
        <v>16.739999999999998</v>
      </c>
      <c r="H664" s="26" t="s">
        <v>5406</v>
      </c>
    </row>
    <row r="665" spans="1:8" ht="21">
      <c r="A665" s="16">
        <v>661</v>
      </c>
      <c r="B665" s="17" t="s">
        <v>3043</v>
      </c>
      <c r="C665" s="17" t="s">
        <v>3044</v>
      </c>
      <c r="D665" s="18" t="s">
        <v>1584</v>
      </c>
      <c r="E665" s="19">
        <f>[4]Summary!E664</f>
        <v>22</v>
      </c>
      <c r="F665" s="52">
        <f>[4]Summary!F664</f>
        <v>0</v>
      </c>
      <c r="G665" s="20">
        <f t="shared" si="10"/>
        <v>0</v>
      </c>
      <c r="H665" s="20" t="s">
        <v>5410</v>
      </c>
    </row>
    <row r="666" spans="1:8" ht="21">
      <c r="A666" s="21">
        <v>662</v>
      </c>
      <c r="B666" s="22" t="s">
        <v>3045</v>
      </c>
      <c r="C666" s="22" t="s">
        <v>3046</v>
      </c>
      <c r="D666" s="23" t="s">
        <v>1584</v>
      </c>
      <c r="E666" s="24">
        <v>0</v>
      </c>
      <c r="F666" s="25">
        <f>[4]Summary!F665</f>
        <v>1</v>
      </c>
      <c r="G666" s="26">
        <f t="shared" si="10"/>
        <v>0</v>
      </c>
      <c r="H666" s="26" t="s">
        <v>5410</v>
      </c>
    </row>
    <row r="667" spans="1:8" ht="21">
      <c r="A667" s="16">
        <v>663</v>
      </c>
      <c r="B667" s="17" t="s">
        <v>3047</v>
      </c>
      <c r="C667" s="17" t="s">
        <v>3048</v>
      </c>
      <c r="D667" s="18" t="s">
        <v>1584</v>
      </c>
      <c r="E667" s="19">
        <f>[4]Summary!E666</f>
        <v>0.51</v>
      </c>
      <c r="F667" s="52">
        <f>[4]Summary!F666</f>
        <v>18</v>
      </c>
      <c r="G667" s="20">
        <f t="shared" si="10"/>
        <v>9.18</v>
      </c>
      <c r="H667" s="20" t="s">
        <v>5406</v>
      </c>
    </row>
    <row r="668" spans="1:8" ht="21">
      <c r="A668" s="21">
        <v>664</v>
      </c>
      <c r="B668" s="22" t="s">
        <v>3049</v>
      </c>
      <c r="C668" s="22" t="s">
        <v>3050</v>
      </c>
      <c r="D668" s="23" t="s">
        <v>1584</v>
      </c>
      <c r="E668" s="24">
        <f>[4]Summary!E667</f>
        <v>0.95</v>
      </c>
      <c r="F668" s="25">
        <f>[4]Summary!F667</f>
        <v>112</v>
      </c>
      <c r="G668" s="26">
        <f t="shared" si="10"/>
        <v>106.39999999999999</v>
      </c>
      <c r="H668" s="26" t="s">
        <v>5406</v>
      </c>
    </row>
    <row r="669" spans="1:8" ht="21">
      <c r="A669" s="16">
        <v>665</v>
      </c>
      <c r="B669" s="17" t="s">
        <v>3051</v>
      </c>
      <c r="C669" s="17" t="s">
        <v>3052</v>
      </c>
      <c r="D669" s="18" t="s">
        <v>1584</v>
      </c>
      <c r="E669" s="19">
        <f>[4]Summary!E668</f>
        <v>2.12</v>
      </c>
      <c r="F669" s="52">
        <f>[4]Summary!F668</f>
        <v>30</v>
      </c>
      <c r="G669" s="20">
        <f t="shared" si="10"/>
        <v>63.6</v>
      </c>
      <c r="H669" s="20" t="s">
        <v>5406</v>
      </c>
    </row>
    <row r="670" spans="1:8" ht="21">
      <c r="A670" s="21">
        <v>666</v>
      </c>
      <c r="B670" s="22" t="s">
        <v>3053</v>
      </c>
      <c r="C670" s="22" t="s">
        <v>3054</v>
      </c>
      <c r="D670" s="23" t="s">
        <v>1584</v>
      </c>
      <c r="E670" s="24">
        <f>[4]Summary!E669</f>
        <v>6.8</v>
      </c>
      <c r="F670" s="25">
        <f>[4]Summary!F669</f>
        <v>2</v>
      </c>
      <c r="G670" s="26">
        <f t="shared" si="10"/>
        <v>13.6</v>
      </c>
      <c r="H670" s="26" t="s">
        <v>5410</v>
      </c>
    </row>
    <row r="671" spans="1:8" ht="21">
      <c r="A671" s="16">
        <v>667</v>
      </c>
      <c r="B671" s="17" t="s">
        <v>3055</v>
      </c>
      <c r="C671" s="17" t="s">
        <v>3056</v>
      </c>
      <c r="D671" s="18" t="s">
        <v>1584</v>
      </c>
      <c r="E671" s="19">
        <f>[4]Summary!E670</f>
        <v>3.25</v>
      </c>
      <c r="F671" s="52">
        <f>[4]Summary!F670</f>
        <v>0</v>
      </c>
      <c r="G671" s="20">
        <f t="shared" si="10"/>
        <v>0</v>
      </c>
      <c r="H671" s="20" t="s">
        <v>5408</v>
      </c>
    </row>
    <row r="672" spans="1:8" ht="21">
      <c r="A672" s="21">
        <v>668</v>
      </c>
      <c r="B672" s="22" t="s">
        <v>3057</v>
      </c>
      <c r="C672" s="22" t="s">
        <v>3058</v>
      </c>
      <c r="D672" s="23" t="s">
        <v>1584</v>
      </c>
      <c r="E672" s="24">
        <f>[4]Summary!E671</f>
        <v>2.2000000000000002</v>
      </c>
      <c r="F672" s="25">
        <f>[4]Summary!F671</f>
        <v>100</v>
      </c>
      <c r="G672" s="26">
        <f t="shared" si="10"/>
        <v>220.00000000000003</v>
      </c>
      <c r="H672" s="26" t="s">
        <v>5406</v>
      </c>
    </row>
    <row r="673" spans="1:8" ht="21">
      <c r="A673" s="16">
        <v>669</v>
      </c>
      <c r="B673" s="17" t="s">
        <v>3059</v>
      </c>
      <c r="C673" s="17" t="s">
        <v>3060</v>
      </c>
      <c r="D673" s="18" t="s">
        <v>1584</v>
      </c>
      <c r="E673" s="19">
        <f>[4]Summary!E672</f>
        <v>0</v>
      </c>
      <c r="F673" s="52">
        <f>[4]Summary!F672</f>
        <v>0</v>
      </c>
      <c r="G673" s="20">
        <f t="shared" si="10"/>
        <v>0</v>
      </c>
      <c r="H673" s="20" t="s">
        <v>5405</v>
      </c>
    </row>
    <row r="674" spans="1:8" ht="21">
      <c r="A674" s="21">
        <v>670</v>
      </c>
      <c r="B674" s="22" t="s">
        <v>3061</v>
      </c>
      <c r="C674" s="22" t="s">
        <v>3062</v>
      </c>
      <c r="D674" s="23" t="s">
        <v>1584</v>
      </c>
      <c r="E674" s="24">
        <f>[4]Summary!E673</f>
        <v>0</v>
      </c>
      <c r="F674" s="25">
        <f>[4]Summary!F673</f>
        <v>6</v>
      </c>
      <c r="G674" s="26">
        <f t="shared" si="10"/>
        <v>0</v>
      </c>
      <c r="H674" s="26" t="s">
        <v>5405</v>
      </c>
    </row>
    <row r="675" spans="1:8" ht="21">
      <c r="A675" s="16">
        <v>671</v>
      </c>
      <c r="B675" s="17" t="s">
        <v>3063</v>
      </c>
      <c r="C675" s="17" t="s">
        <v>3064</v>
      </c>
      <c r="D675" s="18" t="s">
        <v>1584</v>
      </c>
      <c r="E675" s="19">
        <f>[4]Summary!E674</f>
        <v>0</v>
      </c>
      <c r="F675" s="52">
        <f>[4]Summary!F674</f>
        <v>2</v>
      </c>
      <c r="G675" s="20">
        <f t="shared" si="10"/>
        <v>0</v>
      </c>
      <c r="H675" s="20" t="s">
        <v>5405</v>
      </c>
    </row>
    <row r="676" spans="1:8" ht="21">
      <c r="A676" s="21">
        <v>672</v>
      </c>
      <c r="B676" s="22" t="s">
        <v>3063</v>
      </c>
      <c r="C676" s="22" t="s">
        <v>3065</v>
      </c>
      <c r="D676" s="23" t="s">
        <v>1584</v>
      </c>
      <c r="E676" s="24">
        <f>[4]Summary!E675</f>
        <v>0</v>
      </c>
      <c r="F676" s="25">
        <f>[4]Summary!F675</f>
        <v>0</v>
      </c>
      <c r="G676" s="26">
        <f t="shared" si="10"/>
        <v>0</v>
      </c>
      <c r="H676" s="26" t="s">
        <v>5405</v>
      </c>
    </row>
    <row r="677" spans="1:8" ht="21">
      <c r="A677" s="16">
        <v>673</v>
      </c>
      <c r="B677" s="17" t="s">
        <v>3066</v>
      </c>
      <c r="C677" s="17" t="s">
        <v>3067</v>
      </c>
      <c r="D677" s="18" t="s">
        <v>1584</v>
      </c>
      <c r="E677" s="19">
        <f>[4]Summary!E676</f>
        <v>0</v>
      </c>
      <c r="F677" s="52">
        <f>[4]Summary!F676</f>
        <v>6</v>
      </c>
      <c r="G677" s="20">
        <f t="shared" si="10"/>
        <v>0</v>
      </c>
      <c r="H677" s="20" t="s">
        <v>5405</v>
      </c>
    </row>
    <row r="678" spans="1:8" ht="21">
      <c r="A678" s="21">
        <v>674</v>
      </c>
      <c r="B678" s="22" t="s">
        <v>3068</v>
      </c>
      <c r="C678" s="22" t="s">
        <v>3069</v>
      </c>
      <c r="D678" s="23" t="s">
        <v>1584</v>
      </c>
      <c r="E678" s="24">
        <f>[4]Summary!E677</f>
        <v>0</v>
      </c>
      <c r="F678" s="25">
        <f>[4]Summary!F677</f>
        <v>1</v>
      </c>
      <c r="G678" s="26">
        <f t="shared" si="10"/>
        <v>0</v>
      </c>
      <c r="H678" s="26" t="s">
        <v>5405</v>
      </c>
    </row>
    <row r="679" spans="1:8" ht="21">
      <c r="A679" s="16">
        <v>675</v>
      </c>
      <c r="B679" s="17" t="s">
        <v>3070</v>
      </c>
      <c r="C679" s="17" t="s">
        <v>3071</v>
      </c>
      <c r="D679" s="18" t="s">
        <v>1584</v>
      </c>
      <c r="E679" s="19">
        <f>[4]Summary!E678</f>
        <v>0</v>
      </c>
      <c r="F679" s="52">
        <f>[4]Summary!F678</f>
        <v>18</v>
      </c>
      <c r="G679" s="20">
        <f t="shared" si="10"/>
        <v>0</v>
      </c>
      <c r="H679" s="20" t="s">
        <v>5410</v>
      </c>
    </row>
    <row r="680" spans="1:8" ht="21">
      <c r="A680" s="21">
        <v>676</v>
      </c>
      <c r="B680" s="22" t="s">
        <v>3072</v>
      </c>
      <c r="C680" s="22" t="s">
        <v>3073</v>
      </c>
      <c r="D680" s="23" t="s">
        <v>1584</v>
      </c>
      <c r="E680" s="24">
        <f>[4]Summary!E679</f>
        <v>0</v>
      </c>
      <c r="F680" s="25">
        <f>[4]Summary!F679</f>
        <v>25</v>
      </c>
      <c r="G680" s="26">
        <f t="shared" si="10"/>
        <v>0</v>
      </c>
      <c r="H680" s="26" t="s">
        <v>5408</v>
      </c>
    </row>
    <row r="681" spans="1:8" ht="21">
      <c r="A681" s="16">
        <v>677</v>
      </c>
      <c r="B681" s="17" t="s">
        <v>3074</v>
      </c>
      <c r="C681" s="17" t="s">
        <v>3075</v>
      </c>
      <c r="D681" s="18" t="s">
        <v>1584</v>
      </c>
      <c r="E681" s="19">
        <f>[4]Summary!E680</f>
        <v>3.37</v>
      </c>
      <c r="F681" s="52">
        <f>[4]Summary!F680</f>
        <v>0</v>
      </c>
      <c r="G681" s="20">
        <f t="shared" si="10"/>
        <v>0</v>
      </c>
      <c r="H681" s="20" t="s">
        <v>5409</v>
      </c>
    </row>
    <row r="682" spans="1:8" ht="21">
      <c r="A682" s="21">
        <v>678</v>
      </c>
      <c r="B682" s="22" t="s">
        <v>3076</v>
      </c>
      <c r="C682" s="22" t="s">
        <v>3077</v>
      </c>
      <c r="D682" s="23" t="s">
        <v>1584</v>
      </c>
      <c r="E682" s="24">
        <f>[4]Summary!E681</f>
        <v>0.19</v>
      </c>
      <c r="F682" s="25">
        <f>[4]Summary!F681</f>
        <v>1278</v>
      </c>
      <c r="G682" s="26">
        <f t="shared" si="10"/>
        <v>242.82</v>
      </c>
      <c r="H682" s="26" t="s">
        <v>5406</v>
      </c>
    </row>
    <row r="683" spans="1:8" ht="21">
      <c r="A683" s="16">
        <v>679</v>
      </c>
      <c r="B683" s="17" t="s">
        <v>3078</v>
      </c>
      <c r="C683" s="17" t="s">
        <v>3079</v>
      </c>
      <c r="D683" s="18" t="s">
        <v>1584</v>
      </c>
      <c r="E683" s="19">
        <f>[4]Summary!E682</f>
        <v>0.19</v>
      </c>
      <c r="F683" s="52">
        <f>[4]Summary!F682</f>
        <v>2</v>
      </c>
      <c r="G683" s="20">
        <f t="shared" si="10"/>
        <v>0.38</v>
      </c>
      <c r="H683" s="20" t="s">
        <v>5405</v>
      </c>
    </row>
    <row r="684" spans="1:8" ht="21">
      <c r="A684" s="21">
        <v>680</v>
      </c>
      <c r="B684" s="22" t="s">
        <v>3080</v>
      </c>
      <c r="C684" s="22" t="s">
        <v>3081</v>
      </c>
      <c r="D684" s="23" t="s">
        <v>1584</v>
      </c>
      <c r="E684" s="24">
        <f>[4]Summary!E683</f>
        <v>55</v>
      </c>
      <c r="F684" s="25">
        <f>[4]Summary!F683</f>
        <v>0</v>
      </c>
      <c r="G684" s="26">
        <f t="shared" si="10"/>
        <v>0</v>
      </c>
      <c r="H684" s="26" t="s">
        <v>5410</v>
      </c>
    </row>
    <row r="685" spans="1:8" ht="21">
      <c r="A685" s="16">
        <v>681</v>
      </c>
      <c r="B685" s="17" t="s">
        <v>3082</v>
      </c>
      <c r="C685" s="17" t="s">
        <v>3083</v>
      </c>
      <c r="D685" s="18" t="s">
        <v>1584</v>
      </c>
      <c r="E685" s="19">
        <f>[4]Summary!E684</f>
        <v>0.35</v>
      </c>
      <c r="F685" s="52">
        <f>[4]Summary!F684</f>
        <v>7</v>
      </c>
      <c r="G685" s="20">
        <f t="shared" si="10"/>
        <v>2.4499999999999997</v>
      </c>
      <c r="H685" s="20" t="s">
        <v>5406</v>
      </c>
    </row>
    <row r="686" spans="1:8" ht="21">
      <c r="A686" s="21">
        <v>682</v>
      </c>
      <c r="B686" s="22" t="s">
        <v>3084</v>
      </c>
      <c r="C686" s="22" t="s">
        <v>3085</v>
      </c>
      <c r="D686" s="23" t="s">
        <v>1584</v>
      </c>
      <c r="E686" s="24">
        <f>[4]Summary!E685</f>
        <v>4</v>
      </c>
      <c r="F686" s="25">
        <f>[4]Summary!F685</f>
        <v>21</v>
      </c>
      <c r="G686" s="26">
        <f t="shared" si="10"/>
        <v>84</v>
      </c>
      <c r="H686" s="26" t="s">
        <v>5404</v>
      </c>
    </row>
    <row r="687" spans="1:8" ht="21">
      <c r="A687" s="16">
        <v>683</v>
      </c>
      <c r="B687" s="17" t="s">
        <v>3086</v>
      </c>
      <c r="C687" s="17" t="s">
        <v>3087</v>
      </c>
      <c r="D687" s="18" t="s">
        <v>1584</v>
      </c>
      <c r="E687" s="19">
        <f>[4]Summary!E686</f>
        <v>70</v>
      </c>
      <c r="F687" s="52">
        <f>[4]Summary!F686</f>
        <v>0</v>
      </c>
      <c r="G687" s="20">
        <f t="shared" si="10"/>
        <v>0</v>
      </c>
      <c r="H687" s="20" t="s">
        <v>5410</v>
      </c>
    </row>
    <row r="688" spans="1:8" ht="21">
      <c r="A688" s="21">
        <v>684</v>
      </c>
      <c r="B688" s="22" t="s">
        <v>3088</v>
      </c>
      <c r="C688" s="22" t="s">
        <v>3089</v>
      </c>
      <c r="D688" s="23" t="s">
        <v>1584</v>
      </c>
      <c r="E688" s="24">
        <f>[4]Summary!E687</f>
        <v>10</v>
      </c>
      <c r="F688" s="25">
        <f>[4]Summary!F687</f>
        <v>40</v>
      </c>
      <c r="G688" s="26">
        <f t="shared" si="10"/>
        <v>400</v>
      </c>
      <c r="H688" s="26" t="s">
        <v>5404</v>
      </c>
    </row>
    <row r="689" spans="1:8" ht="21">
      <c r="A689" s="16">
        <v>685</v>
      </c>
      <c r="B689" s="17" t="s">
        <v>3090</v>
      </c>
      <c r="C689" s="17" t="s">
        <v>3091</v>
      </c>
      <c r="D689" s="18" t="s">
        <v>1584</v>
      </c>
      <c r="E689" s="19">
        <f>[4]Summary!E688</f>
        <v>5.5</v>
      </c>
      <c r="F689" s="52">
        <f>[4]Summary!F688</f>
        <v>96</v>
      </c>
      <c r="G689" s="20">
        <f t="shared" si="10"/>
        <v>528</v>
      </c>
      <c r="H689" s="20" t="s">
        <v>5404</v>
      </c>
    </row>
    <row r="690" spans="1:8" ht="21">
      <c r="A690" s="21">
        <v>686</v>
      </c>
      <c r="B690" s="22" t="s">
        <v>3092</v>
      </c>
      <c r="C690" s="22" t="s">
        <v>3093</v>
      </c>
      <c r="D690" s="23" t="s">
        <v>1584</v>
      </c>
      <c r="E690" s="24">
        <f>[4]Summary!E689</f>
        <v>15</v>
      </c>
      <c r="F690" s="25">
        <f>[4]Summary!F689</f>
        <v>0</v>
      </c>
      <c r="G690" s="26">
        <f t="shared" si="10"/>
        <v>0</v>
      </c>
      <c r="H690" s="26" t="s">
        <v>5404</v>
      </c>
    </row>
    <row r="691" spans="1:8" ht="21">
      <c r="A691" s="16">
        <v>687</v>
      </c>
      <c r="B691" s="17" t="s">
        <v>3094</v>
      </c>
      <c r="C691" s="17" t="s">
        <v>3095</v>
      </c>
      <c r="D691" s="18" t="s">
        <v>1584</v>
      </c>
      <c r="E691" s="19">
        <f>[4]Summary!E690</f>
        <v>3</v>
      </c>
      <c r="F691" s="52">
        <f>[4]Summary!F690</f>
        <v>6</v>
      </c>
      <c r="G691" s="20">
        <f t="shared" si="10"/>
        <v>18</v>
      </c>
      <c r="H691" s="20" t="s">
        <v>5404</v>
      </c>
    </row>
    <row r="692" spans="1:8" ht="21">
      <c r="A692" s="21">
        <v>688</v>
      </c>
      <c r="B692" s="22" t="s">
        <v>3096</v>
      </c>
      <c r="C692" s="22" t="s">
        <v>3097</v>
      </c>
      <c r="D692" s="23" t="s">
        <v>1584</v>
      </c>
      <c r="E692" s="24">
        <f>[4]Summary!E691</f>
        <v>3.5</v>
      </c>
      <c r="F692" s="25">
        <f>[4]Summary!F691</f>
        <v>16</v>
      </c>
      <c r="G692" s="26">
        <f t="shared" si="10"/>
        <v>56</v>
      </c>
      <c r="H692" s="26" t="s">
        <v>5404</v>
      </c>
    </row>
    <row r="693" spans="1:8" ht="21">
      <c r="A693" s="16">
        <v>689</v>
      </c>
      <c r="B693" s="17" t="s">
        <v>3098</v>
      </c>
      <c r="C693" s="17" t="s">
        <v>3099</v>
      </c>
      <c r="D693" s="18" t="s">
        <v>1584</v>
      </c>
      <c r="E693" s="19">
        <f>[4]Summary!E692</f>
        <v>2.84</v>
      </c>
      <c r="F693" s="52">
        <f>[4]Summary!F692</f>
        <v>9</v>
      </c>
      <c r="G693" s="20">
        <f t="shared" si="10"/>
        <v>25.56</v>
      </c>
      <c r="H693" s="20" t="s">
        <v>5404</v>
      </c>
    </row>
    <row r="694" spans="1:8" ht="21">
      <c r="A694" s="21">
        <v>690</v>
      </c>
      <c r="B694" s="22" t="s">
        <v>3100</v>
      </c>
      <c r="C694" s="22" t="s">
        <v>3101</v>
      </c>
      <c r="D694" s="23" t="s">
        <v>1584</v>
      </c>
      <c r="E694" s="24">
        <f>[4]Summary!E693</f>
        <v>4</v>
      </c>
      <c r="F694" s="25">
        <f>[4]Summary!F693</f>
        <v>7</v>
      </c>
      <c r="G694" s="26">
        <f t="shared" si="10"/>
        <v>28</v>
      </c>
      <c r="H694" s="26" t="s">
        <v>5404</v>
      </c>
    </row>
    <row r="695" spans="1:8" ht="21">
      <c r="A695" s="16">
        <v>691</v>
      </c>
      <c r="B695" s="17" t="s">
        <v>3102</v>
      </c>
      <c r="C695" s="17" t="s">
        <v>3103</v>
      </c>
      <c r="D695" s="18" t="s">
        <v>1584</v>
      </c>
      <c r="E695" s="19">
        <f>[4]Summary!E694</f>
        <v>5.25</v>
      </c>
      <c r="F695" s="52">
        <f>[4]Summary!F694</f>
        <v>73</v>
      </c>
      <c r="G695" s="20">
        <f t="shared" si="10"/>
        <v>383.25</v>
      </c>
      <c r="H695" s="20" t="s">
        <v>5404</v>
      </c>
    </row>
    <row r="696" spans="1:8" ht="21">
      <c r="A696" s="21">
        <v>692</v>
      </c>
      <c r="B696" s="22" t="s">
        <v>3104</v>
      </c>
      <c r="C696" s="22" t="s">
        <v>3105</v>
      </c>
      <c r="D696" s="23" t="s">
        <v>1584</v>
      </c>
      <c r="E696" s="24">
        <f>[4]Summary!E695</f>
        <v>22.75</v>
      </c>
      <c r="F696" s="25">
        <f>[4]Summary!F695</f>
        <v>1</v>
      </c>
      <c r="G696" s="26">
        <f t="shared" si="10"/>
        <v>22.75</v>
      </c>
      <c r="H696" s="26" t="s">
        <v>5404</v>
      </c>
    </row>
    <row r="697" spans="1:8" ht="21">
      <c r="A697" s="16">
        <v>693</v>
      </c>
      <c r="B697" s="17" t="s">
        <v>3106</v>
      </c>
      <c r="C697" s="17" t="s">
        <v>3107</v>
      </c>
      <c r="D697" s="18" t="s">
        <v>1584</v>
      </c>
      <c r="E697" s="19">
        <f>[4]Summary!E696</f>
        <v>1.6</v>
      </c>
      <c r="F697" s="52">
        <f>[4]Summary!F696</f>
        <v>37</v>
      </c>
      <c r="G697" s="20">
        <f t="shared" si="10"/>
        <v>59.2</v>
      </c>
      <c r="H697" s="20" t="s">
        <v>5404</v>
      </c>
    </row>
    <row r="698" spans="1:8" ht="21">
      <c r="A698" s="21">
        <v>694</v>
      </c>
      <c r="B698" s="22" t="s">
        <v>3108</v>
      </c>
      <c r="C698" s="22" t="s">
        <v>3109</v>
      </c>
      <c r="D698" s="23" t="s">
        <v>1584</v>
      </c>
      <c r="E698" s="24">
        <f>[4]Summary!E697</f>
        <v>5.5</v>
      </c>
      <c r="F698" s="25">
        <f>[4]Summary!F697</f>
        <v>0</v>
      </c>
      <c r="G698" s="26">
        <f t="shared" si="10"/>
        <v>0</v>
      </c>
      <c r="H698" s="26" t="s">
        <v>5404</v>
      </c>
    </row>
    <row r="699" spans="1:8" ht="21">
      <c r="A699" s="16">
        <v>695</v>
      </c>
      <c r="B699" s="17" t="s">
        <v>3110</v>
      </c>
      <c r="C699" s="17" t="s">
        <v>3111</v>
      </c>
      <c r="D699" s="18" t="s">
        <v>1584</v>
      </c>
      <c r="E699" s="19">
        <f>[4]Summary!E698</f>
        <v>11</v>
      </c>
      <c r="F699" s="52">
        <f>[4]Summary!F698</f>
        <v>18</v>
      </c>
      <c r="G699" s="20">
        <f t="shared" si="10"/>
        <v>198</v>
      </c>
      <c r="H699" s="20" t="s">
        <v>5404</v>
      </c>
    </row>
    <row r="700" spans="1:8" ht="21">
      <c r="A700" s="21">
        <v>696</v>
      </c>
      <c r="B700" s="22" t="s">
        <v>3112</v>
      </c>
      <c r="C700" s="22" t="s">
        <v>3113</v>
      </c>
      <c r="D700" s="23" t="s">
        <v>1584</v>
      </c>
      <c r="E700" s="24">
        <f>[4]Summary!E699</f>
        <v>30</v>
      </c>
      <c r="F700" s="25">
        <f>[4]Summary!F699</f>
        <v>0</v>
      </c>
      <c r="G700" s="26">
        <f t="shared" si="10"/>
        <v>0</v>
      </c>
      <c r="H700" s="26" t="s">
        <v>5411</v>
      </c>
    </row>
    <row r="701" spans="1:8" ht="21">
      <c r="A701" s="16">
        <v>697</v>
      </c>
      <c r="B701" s="17" t="s">
        <v>3114</v>
      </c>
      <c r="C701" s="17" t="s">
        <v>3115</v>
      </c>
      <c r="D701" s="18" t="s">
        <v>1584</v>
      </c>
      <c r="E701" s="19">
        <f>[4]Summary!E700</f>
        <v>7</v>
      </c>
      <c r="F701" s="52">
        <f>[4]Summary!F700</f>
        <v>6</v>
      </c>
      <c r="G701" s="20">
        <f t="shared" si="10"/>
        <v>42</v>
      </c>
      <c r="H701" s="20" t="s">
        <v>5411</v>
      </c>
    </row>
    <row r="702" spans="1:8" ht="42">
      <c r="A702" s="21">
        <v>698</v>
      </c>
      <c r="B702" s="22" t="s">
        <v>3116</v>
      </c>
      <c r="C702" s="22" t="s">
        <v>3117</v>
      </c>
      <c r="D702" s="23" t="s">
        <v>1584</v>
      </c>
      <c r="E702" s="24">
        <f>[4]Summary!E701</f>
        <v>6.5</v>
      </c>
      <c r="F702" s="25">
        <f>[4]Summary!F701</f>
        <v>0</v>
      </c>
      <c r="G702" s="26">
        <f t="shared" si="10"/>
        <v>0</v>
      </c>
      <c r="H702" s="26" t="s">
        <v>5411</v>
      </c>
    </row>
    <row r="703" spans="1:8" ht="21">
      <c r="A703" s="16">
        <v>699</v>
      </c>
      <c r="B703" s="17" t="s">
        <v>3118</v>
      </c>
      <c r="C703" s="17" t="s">
        <v>3119</v>
      </c>
      <c r="D703" s="18" t="s">
        <v>1584</v>
      </c>
      <c r="E703" s="19">
        <f>[4]Summary!E702</f>
        <v>10</v>
      </c>
      <c r="F703" s="52">
        <f>[4]Summary!F702</f>
        <v>0</v>
      </c>
      <c r="G703" s="20">
        <f t="shared" si="10"/>
        <v>0</v>
      </c>
      <c r="H703" s="20" t="s">
        <v>5414</v>
      </c>
    </row>
    <row r="704" spans="1:8" ht="21">
      <c r="A704" s="21">
        <v>700</v>
      </c>
      <c r="B704" s="22" t="s">
        <v>3120</v>
      </c>
      <c r="C704" s="22" t="s">
        <v>3121</v>
      </c>
      <c r="D704" s="23" t="s">
        <v>1584</v>
      </c>
      <c r="E704" s="24">
        <f>[4]Summary!E703</f>
        <v>8</v>
      </c>
      <c r="F704" s="25">
        <f>[4]Summary!F703</f>
        <v>67</v>
      </c>
      <c r="G704" s="26">
        <f t="shared" si="10"/>
        <v>536</v>
      </c>
      <c r="H704" s="26" t="s">
        <v>5406</v>
      </c>
    </row>
    <row r="705" spans="1:8" ht="21">
      <c r="A705" s="16">
        <v>701</v>
      </c>
      <c r="B705" s="17" t="s">
        <v>3122</v>
      </c>
      <c r="C705" s="17" t="s">
        <v>3123</v>
      </c>
      <c r="D705" s="18" t="s">
        <v>1584</v>
      </c>
      <c r="E705" s="19">
        <f>[4]Summary!E704</f>
        <v>14</v>
      </c>
      <c r="F705" s="52">
        <f>[4]Summary!F704</f>
        <v>0</v>
      </c>
      <c r="G705" s="20">
        <f t="shared" si="10"/>
        <v>0</v>
      </c>
      <c r="H705" s="20" t="s">
        <v>5408</v>
      </c>
    </row>
    <row r="706" spans="1:8" ht="21">
      <c r="A706" s="21">
        <v>702</v>
      </c>
      <c r="B706" s="22" t="s">
        <v>3124</v>
      </c>
      <c r="C706" s="22" t="s">
        <v>3125</v>
      </c>
      <c r="D706" s="23" t="s">
        <v>1584</v>
      </c>
      <c r="E706" s="24">
        <f>[4]Summary!E705</f>
        <v>11.1</v>
      </c>
      <c r="F706" s="25">
        <f>[4]Summary!F705</f>
        <v>30</v>
      </c>
      <c r="G706" s="26">
        <f t="shared" si="10"/>
        <v>333</v>
      </c>
      <c r="H706" s="26" t="s">
        <v>5406</v>
      </c>
    </row>
    <row r="707" spans="1:8" ht="21">
      <c r="A707" s="16">
        <v>703</v>
      </c>
      <c r="B707" s="17" t="s">
        <v>3126</v>
      </c>
      <c r="C707" s="17" t="s">
        <v>3127</v>
      </c>
      <c r="D707" s="18" t="s">
        <v>1584</v>
      </c>
      <c r="E707" s="19">
        <f>[4]Summary!E706</f>
        <v>16</v>
      </c>
      <c r="F707" s="52">
        <f>[4]Summary!F706</f>
        <v>17</v>
      </c>
      <c r="G707" s="20">
        <f t="shared" si="10"/>
        <v>272</v>
      </c>
      <c r="H707" s="20" t="s">
        <v>5406</v>
      </c>
    </row>
    <row r="708" spans="1:8" ht="21">
      <c r="A708" s="21">
        <v>704</v>
      </c>
      <c r="B708" s="22" t="s">
        <v>3128</v>
      </c>
      <c r="C708" s="22" t="s">
        <v>3129</v>
      </c>
      <c r="D708" s="23" t="s">
        <v>1584</v>
      </c>
      <c r="E708" s="24">
        <f>[4]Summary!E707</f>
        <v>0</v>
      </c>
      <c r="F708" s="25">
        <f>[4]Summary!F707</f>
        <v>1</v>
      </c>
      <c r="G708" s="26">
        <f t="shared" si="10"/>
        <v>0</v>
      </c>
      <c r="H708" s="26" t="s">
        <v>5406</v>
      </c>
    </row>
    <row r="709" spans="1:8" ht="21">
      <c r="A709" s="16">
        <v>705</v>
      </c>
      <c r="B709" s="17" t="s">
        <v>3130</v>
      </c>
      <c r="C709" s="17" t="s">
        <v>3131</v>
      </c>
      <c r="D709" s="18" t="s">
        <v>1584</v>
      </c>
      <c r="E709" s="19">
        <f>[4]Summary!E708</f>
        <v>6</v>
      </c>
      <c r="F709" s="52">
        <f>[4]Summary!F708</f>
        <v>300</v>
      </c>
      <c r="G709" s="20">
        <f t="shared" si="10"/>
        <v>1800</v>
      </c>
      <c r="H709" s="20" t="s">
        <v>5406</v>
      </c>
    </row>
    <row r="710" spans="1:8" ht="21">
      <c r="A710" s="21">
        <v>706</v>
      </c>
      <c r="B710" s="22" t="s">
        <v>3132</v>
      </c>
      <c r="C710" s="22" t="s">
        <v>3133</v>
      </c>
      <c r="D710" s="23" t="s">
        <v>1584</v>
      </c>
      <c r="E710" s="24">
        <f>[4]Summary!E709</f>
        <v>2.7</v>
      </c>
      <c r="F710" s="25">
        <f>[4]Summary!F709</f>
        <v>0</v>
      </c>
      <c r="G710" s="26">
        <f t="shared" si="10"/>
        <v>0</v>
      </c>
      <c r="H710" s="26" t="s">
        <v>5406</v>
      </c>
    </row>
    <row r="711" spans="1:8" ht="21">
      <c r="A711" s="16">
        <v>707</v>
      </c>
      <c r="B711" s="17" t="s">
        <v>3134</v>
      </c>
      <c r="C711" s="17" t="s">
        <v>3135</v>
      </c>
      <c r="D711" s="18" t="s">
        <v>1584</v>
      </c>
      <c r="E711" s="19">
        <f>[4]Summary!E710</f>
        <v>3.27</v>
      </c>
      <c r="F711" s="52">
        <f>[4]Summary!F710</f>
        <v>0</v>
      </c>
      <c r="G711" s="20">
        <f t="shared" ref="G711:G774" si="11">E711*F711</f>
        <v>0</v>
      </c>
      <c r="H711" s="20" t="s">
        <v>5408</v>
      </c>
    </row>
    <row r="712" spans="1:8" ht="21">
      <c r="A712" s="21">
        <v>708</v>
      </c>
      <c r="B712" s="22" t="s">
        <v>3136</v>
      </c>
      <c r="C712" s="22" t="s">
        <v>3137</v>
      </c>
      <c r="D712" s="23" t="s">
        <v>1584</v>
      </c>
      <c r="E712" s="24">
        <f>[4]Summary!E711</f>
        <v>4.5</v>
      </c>
      <c r="F712" s="25">
        <f>[4]Summary!F711</f>
        <v>0</v>
      </c>
      <c r="G712" s="26">
        <f t="shared" si="11"/>
        <v>0</v>
      </c>
      <c r="H712" s="26" t="s">
        <v>5409</v>
      </c>
    </row>
    <row r="713" spans="1:8" ht="21">
      <c r="A713" s="16">
        <v>709</v>
      </c>
      <c r="B713" s="17" t="s">
        <v>3138</v>
      </c>
      <c r="C713" s="17" t="s">
        <v>3139</v>
      </c>
      <c r="D713" s="18" t="s">
        <v>1584</v>
      </c>
      <c r="E713" s="19">
        <f>[4]Summary!E712</f>
        <v>7</v>
      </c>
      <c r="F713" s="52">
        <f>[4]Summary!F712</f>
        <v>6</v>
      </c>
      <c r="G713" s="20">
        <f t="shared" si="11"/>
        <v>42</v>
      </c>
      <c r="H713" s="20" t="s">
        <v>5406</v>
      </c>
    </row>
    <row r="714" spans="1:8" ht="21">
      <c r="A714" s="21">
        <v>710</v>
      </c>
      <c r="B714" s="22" t="s">
        <v>3140</v>
      </c>
      <c r="C714" s="22" t="s">
        <v>3141</v>
      </c>
      <c r="D714" s="23" t="s">
        <v>1584</v>
      </c>
      <c r="E714" s="24">
        <f>[4]Summary!E713</f>
        <v>2.11</v>
      </c>
      <c r="F714" s="25">
        <f>[4]Summary!F713</f>
        <v>0</v>
      </c>
      <c r="G714" s="26">
        <f t="shared" si="11"/>
        <v>0</v>
      </c>
      <c r="H714" s="26" t="s">
        <v>5408</v>
      </c>
    </row>
    <row r="715" spans="1:8" ht="21">
      <c r="A715" s="16">
        <v>711</v>
      </c>
      <c r="B715" s="17" t="s">
        <v>3142</v>
      </c>
      <c r="C715" s="17" t="s">
        <v>3143</v>
      </c>
      <c r="D715" s="18" t="s">
        <v>1584</v>
      </c>
      <c r="E715" s="19">
        <f>[4]Summary!E714</f>
        <v>15</v>
      </c>
      <c r="F715" s="52">
        <f>[4]Summary!F714</f>
        <v>0</v>
      </c>
      <c r="G715" s="20">
        <f t="shared" si="11"/>
        <v>0</v>
      </c>
      <c r="H715" s="20" t="s">
        <v>5408</v>
      </c>
    </row>
    <row r="716" spans="1:8" ht="21">
      <c r="A716" s="21">
        <v>712</v>
      </c>
      <c r="B716" s="22" t="s">
        <v>3144</v>
      </c>
      <c r="C716" s="22" t="s">
        <v>3145</v>
      </c>
      <c r="D716" s="23" t="s">
        <v>1584</v>
      </c>
      <c r="E716" s="24">
        <f>[4]Summary!E715</f>
        <v>9</v>
      </c>
      <c r="F716" s="25">
        <f>[4]Summary!F715</f>
        <v>0</v>
      </c>
      <c r="G716" s="26">
        <f t="shared" si="11"/>
        <v>0</v>
      </c>
      <c r="H716" s="26" t="s">
        <v>5409</v>
      </c>
    </row>
    <row r="717" spans="1:8" ht="21">
      <c r="A717" s="16">
        <v>713</v>
      </c>
      <c r="B717" s="17" t="s">
        <v>3146</v>
      </c>
      <c r="C717" s="17" t="s">
        <v>3147</v>
      </c>
      <c r="D717" s="18" t="s">
        <v>1584</v>
      </c>
      <c r="E717" s="19">
        <f>[4]Summary!E716</f>
        <v>0</v>
      </c>
      <c r="F717" s="52">
        <f>[4]Summary!F716</f>
        <v>0</v>
      </c>
      <c r="G717" s="20">
        <f t="shared" si="11"/>
        <v>0</v>
      </c>
      <c r="H717" s="20" t="s">
        <v>5406</v>
      </c>
    </row>
    <row r="718" spans="1:8" ht="21">
      <c r="A718" s="21">
        <v>714</v>
      </c>
      <c r="B718" s="22" t="s">
        <v>3148</v>
      </c>
      <c r="C718" s="22" t="s">
        <v>3149</v>
      </c>
      <c r="D718" s="23" t="s">
        <v>1584</v>
      </c>
      <c r="E718" s="24">
        <f>[4]Summary!E717</f>
        <v>10.5</v>
      </c>
      <c r="F718" s="25">
        <f>[4]Summary!F717</f>
        <v>3</v>
      </c>
      <c r="G718" s="26">
        <f t="shared" si="11"/>
        <v>31.5</v>
      </c>
      <c r="H718" s="26" t="s">
        <v>5408</v>
      </c>
    </row>
    <row r="719" spans="1:8" ht="21">
      <c r="A719" s="16">
        <v>715</v>
      </c>
      <c r="B719" s="17" t="s">
        <v>3150</v>
      </c>
      <c r="C719" s="17" t="s">
        <v>3151</v>
      </c>
      <c r="D719" s="18" t="s">
        <v>1584</v>
      </c>
      <c r="E719" s="19">
        <f>[4]Summary!E718</f>
        <v>10</v>
      </c>
      <c r="F719" s="52">
        <f>[4]Summary!F718</f>
        <v>8</v>
      </c>
      <c r="G719" s="20">
        <f t="shared" si="11"/>
        <v>80</v>
      </c>
      <c r="H719" s="20" t="s">
        <v>5406</v>
      </c>
    </row>
    <row r="720" spans="1:8" ht="21">
      <c r="A720" s="21">
        <v>716</v>
      </c>
      <c r="B720" s="22" t="s">
        <v>3152</v>
      </c>
      <c r="C720" s="22" t="s">
        <v>3153</v>
      </c>
      <c r="D720" s="23" t="s">
        <v>1584</v>
      </c>
      <c r="E720" s="24">
        <f>[4]Summary!E719</f>
        <v>11</v>
      </c>
      <c r="F720" s="25">
        <f>[4]Summary!F719</f>
        <v>8</v>
      </c>
      <c r="G720" s="26">
        <f t="shared" si="11"/>
        <v>88</v>
      </c>
      <c r="H720" s="26" t="s">
        <v>5406</v>
      </c>
    </row>
    <row r="721" spans="1:8" ht="21">
      <c r="A721" s="16">
        <v>717</v>
      </c>
      <c r="B721" s="17" t="s">
        <v>3154</v>
      </c>
      <c r="C721" s="17" t="s">
        <v>3155</v>
      </c>
      <c r="D721" s="18" t="s">
        <v>1584</v>
      </c>
      <c r="E721" s="19">
        <f>[4]Summary!E720</f>
        <v>20</v>
      </c>
      <c r="F721" s="52">
        <f>[4]Summary!F720</f>
        <v>21</v>
      </c>
      <c r="G721" s="20">
        <f t="shared" si="11"/>
        <v>420</v>
      </c>
      <c r="H721" s="20" t="s">
        <v>5408</v>
      </c>
    </row>
    <row r="722" spans="1:8" ht="21">
      <c r="A722" s="21">
        <v>718</v>
      </c>
      <c r="B722" s="22" t="s">
        <v>3156</v>
      </c>
      <c r="C722" s="22" t="s">
        <v>3157</v>
      </c>
      <c r="D722" s="23" t="s">
        <v>1584</v>
      </c>
      <c r="E722" s="24">
        <f>[4]Summary!E721</f>
        <v>16.899999999999999</v>
      </c>
      <c r="F722" s="25">
        <f>[4]Summary!F721</f>
        <v>0</v>
      </c>
      <c r="G722" s="26">
        <f t="shared" si="11"/>
        <v>0</v>
      </c>
      <c r="H722" s="26" t="s">
        <v>5409</v>
      </c>
    </row>
    <row r="723" spans="1:8" ht="21">
      <c r="A723" s="16">
        <v>719</v>
      </c>
      <c r="B723" s="17" t="s">
        <v>3158</v>
      </c>
      <c r="C723" s="17" t="s">
        <v>3159</v>
      </c>
      <c r="D723" s="18" t="s">
        <v>1584</v>
      </c>
      <c r="E723" s="19">
        <f>[4]Summary!E722</f>
        <v>52</v>
      </c>
      <c r="F723" s="52">
        <f>[4]Summary!F722</f>
        <v>2</v>
      </c>
      <c r="G723" s="20">
        <f t="shared" si="11"/>
        <v>104</v>
      </c>
      <c r="H723" s="20" t="s">
        <v>5408</v>
      </c>
    </row>
    <row r="724" spans="1:8" ht="21">
      <c r="A724" s="21">
        <v>720</v>
      </c>
      <c r="B724" s="22" t="s">
        <v>3160</v>
      </c>
      <c r="C724" s="22" t="s">
        <v>3161</v>
      </c>
      <c r="D724" s="23" t="s">
        <v>1584</v>
      </c>
      <c r="E724" s="24">
        <f>[4]Summary!E723</f>
        <v>6</v>
      </c>
      <c r="F724" s="25">
        <f>[4]Summary!F723</f>
        <v>7</v>
      </c>
      <c r="G724" s="26">
        <f t="shared" si="11"/>
        <v>42</v>
      </c>
      <c r="H724" s="26" t="s">
        <v>5408</v>
      </c>
    </row>
    <row r="725" spans="1:8" ht="21">
      <c r="A725" s="16">
        <v>721</v>
      </c>
      <c r="B725" s="17" t="s">
        <v>3162</v>
      </c>
      <c r="C725" s="17" t="s">
        <v>3163</v>
      </c>
      <c r="D725" s="18" t="s">
        <v>1584</v>
      </c>
      <c r="E725" s="19">
        <f>[4]Summary!E724</f>
        <v>8.5</v>
      </c>
      <c r="F725" s="52">
        <f>[4]Summary!F724</f>
        <v>0</v>
      </c>
      <c r="G725" s="20">
        <f t="shared" si="11"/>
        <v>0</v>
      </c>
      <c r="H725" s="20" t="s">
        <v>5409</v>
      </c>
    </row>
    <row r="726" spans="1:8" ht="21">
      <c r="A726" s="21">
        <v>722</v>
      </c>
      <c r="B726" s="22" t="s">
        <v>3164</v>
      </c>
      <c r="C726" s="22" t="s">
        <v>3165</v>
      </c>
      <c r="D726" s="23" t="s">
        <v>1584</v>
      </c>
      <c r="E726" s="24">
        <f>[4]Summary!E725</f>
        <v>65</v>
      </c>
      <c r="F726" s="25">
        <f>[4]Summary!F725</f>
        <v>1</v>
      </c>
      <c r="G726" s="26">
        <f t="shared" si="11"/>
        <v>65</v>
      </c>
      <c r="H726" s="26" t="s">
        <v>5408</v>
      </c>
    </row>
    <row r="727" spans="1:8" ht="21">
      <c r="A727" s="16">
        <v>723</v>
      </c>
      <c r="B727" s="17" t="s">
        <v>3166</v>
      </c>
      <c r="C727" s="17" t="s">
        <v>3167</v>
      </c>
      <c r="D727" s="18" t="s">
        <v>1584</v>
      </c>
      <c r="E727" s="19">
        <f>[4]Summary!E726</f>
        <v>80</v>
      </c>
      <c r="F727" s="52">
        <f>[4]Summary!F726</f>
        <v>0</v>
      </c>
      <c r="G727" s="20">
        <f t="shared" si="11"/>
        <v>0</v>
      </c>
      <c r="H727" s="20" t="s">
        <v>5408</v>
      </c>
    </row>
    <row r="728" spans="1:8" ht="21">
      <c r="A728" s="21">
        <v>724</v>
      </c>
      <c r="B728" s="22" t="s">
        <v>3168</v>
      </c>
      <c r="C728" s="22" t="s">
        <v>3169</v>
      </c>
      <c r="D728" s="23" t="s">
        <v>1584</v>
      </c>
      <c r="E728" s="24">
        <f>[4]Summary!E727</f>
        <v>90</v>
      </c>
      <c r="F728" s="25">
        <f>[4]Summary!F727</f>
        <v>0</v>
      </c>
      <c r="G728" s="26">
        <f t="shared" si="11"/>
        <v>0</v>
      </c>
      <c r="H728" s="26" t="s">
        <v>5405</v>
      </c>
    </row>
    <row r="729" spans="1:8" ht="21">
      <c r="A729" s="16">
        <v>725</v>
      </c>
      <c r="B729" s="17" t="s">
        <v>3170</v>
      </c>
      <c r="C729" s="17" t="s">
        <v>3171</v>
      </c>
      <c r="D729" s="18" t="s">
        <v>1584</v>
      </c>
      <c r="E729" s="19">
        <f>[4]Summary!E728</f>
        <v>0</v>
      </c>
      <c r="F729" s="52">
        <f>[4]Summary!F728</f>
        <v>2</v>
      </c>
      <c r="G729" s="20">
        <f t="shared" si="11"/>
        <v>0</v>
      </c>
      <c r="H729" s="20" t="s">
        <v>5405</v>
      </c>
    </row>
    <row r="730" spans="1:8" ht="21">
      <c r="A730" s="21">
        <v>726</v>
      </c>
      <c r="B730" s="22" t="s">
        <v>3172</v>
      </c>
      <c r="C730" s="22" t="s">
        <v>3173</v>
      </c>
      <c r="D730" s="23" t="s">
        <v>1584</v>
      </c>
      <c r="E730" s="24">
        <f>[4]Summary!E729</f>
        <v>0</v>
      </c>
      <c r="F730" s="25">
        <f>[4]Summary!F729</f>
        <v>0</v>
      </c>
      <c r="G730" s="26">
        <f t="shared" si="11"/>
        <v>0</v>
      </c>
      <c r="H730" s="26" t="s">
        <v>5405</v>
      </c>
    </row>
    <row r="731" spans="1:8" ht="21">
      <c r="A731" s="16">
        <v>727</v>
      </c>
      <c r="B731" s="17" t="s">
        <v>3174</v>
      </c>
      <c r="C731" s="17" t="s">
        <v>3175</v>
      </c>
      <c r="D731" s="18" t="s">
        <v>1584</v>
      </c>
      <c r="E731" s="19">
        <f>[4]Summary!E730</f>
        <v>8.5</v>
      </c>
      <c r="F731" s="52">
        <f>[4]Summary!F730</f>
        <v>3</v>
      </c>
      <c r="G731" s="20">
        <f t="shared" si="11"/>
        <v>25.5</v>
      </c>
      <c r="H731" s="20" t="s">
        <v>5405</v>
      </c>
    </row>
    <row r="732" spans="1:8" ht="21">
      <c r="A732" s="21">
        <v>728</v>
      </c>
      <c r="B732" s="22" t="s">
        <v>3176</v>
      </c>
      <c r="C732" s="22" t="s">
        <v>3177</v>
      </c>
      <c r="D732" s="23" t="s">
        <v>1584</v>
      </c>
      <c r="E732" s="24">
        <f>[4]Summary!E731</f>
        <v>0</v>
      </c>
      <c r="F732" s="25">
        <f>[4]Summary!F731</f>
        <v>5</v>
      </c>
      <c r="G732" s="26">
        <f t="shared" si="11"/>
        <v>0</v>
      </c>
      <c r="H732" s="26" t="s">
        <v>5405</v>
      </c>
    </row>
    <row r="733" spans="1:8" ht="21">
      <c r="A733" s="16">
        <v>729</v>
      </c>
      <c r="B733" s="17" t="s">
        <v>3178</v>
      </c>
      <c r="C733" s="17" t="s">
        <v>3179</v>
      </c>
      <c r="D733" s="18" t="s">
        <v>1584</v>
      </c>
      <c r="E733" s="19">
        <f>[4]Summary!E732</f>
        <v>0</v>
      </c>
      <c r="F733" s="52">
        <f>[4]Summary!F732</f>
        <v>23</v>
      </c>
      <c r="G733" s="20">
        <f t="shared" si="11"/>
        <v>0</v>
      </c>
      <c r="H733" s="20" t="s">
        <v>5405</v>
      </c>
    </row>
    <row r="734" spans="1:8" ht="21">
      <c r="A734" s="21">
        <v>730</v>
      </c>
      <c r="B734" s="22" t="s">
        <v>3180</v>
      </c>
      <c r="C734" s="22" t="s">
        <v>3181</v>
      </c>
      <c r="D734" s="23" t="s">
        <v>1584</v>
      </c>
      <c r="E734" s="24">
        <f>[4]Summary!E733</f>
        <v>0</v>
      </c>
      <c r="F734" s="25">
        <f>[4]Summary!F733</f>
        <v>0</v>
      </c>
      <c r="G734" s="26">
        <f t="shared" si="11"/>
        <v>0</v>
      </c>
      <c r="H734" s="26" t="s">
        <v>5405</v>
      </c>
    </row>
    <row r="735" spans="1:8" ht="21">
      <c r="A735" s="16">
        <v>731</v>
      </c>
      <c r="B735" s="17" t="s">
        <v>3182</v>
      </c>
      <c r="C735" s="17" t="s">
        <v>3183</v>
      </c>
      <c r="D735" s="18" t="s">
        <v>1584</v>
      </c>
      <c r="E735" s="19">
        <f>[4]Summary!E734</f>
        <v>0</v>
      </c>
      <c r="F735" s="52">
        <f>[4]Summary!F734</f>
        <v>5</v>
      </c>
      <c r="G735" s="20">
        <f t="shared" si="11"/>
        <v>0</v>
      </c>
      <c r="H735" s="20" t="s">
        <v>5410</v>
      </c>
    </row>
    <row r="736" spans="1:8" ht="21">
      <c r="A736" s="21">
        <v>732</v>
      </c>
      <c r="B736" s="22" t="s">
        <v>3184</v>
      </c>
      <c r="C736" s="22" t="s">
        <v>3185</v>
      </c>
      <c r="D736" s="23" t="s">
        <v>1584</v>
      </c>
      <c r="E736" s="24">
        <f>[4]Summary!E735</f>
        <v>0</v>
      </c>
      <c r="F736" s="25">
        <f>[4]Summary!F735</f>
        <v>5</v>
      </c>
      <c r="G736" s="26">
        <f t="shared" si="11"/>
        <v>0</v>
      </c>
      <c r="H736" s="26" t="s">
        <v>5410</v>
      </c>
    </row>
    <row r="737" spans="1:8" ht="21">
      <c r="A737" s="16">
        <v>733</v>
      </c>
      <c r="B737" s="17" t="s">
        <v>3186</v>
      </c>
      <c r="C737" s="17" t="s">
        <v>3187</v>
      </c>
      <c r="D737" s="18" t="s">
        <v>1584</v>
      </c>
      <c r="E737" s="19">
        <f>[4]Summary!E736</f>
        <v>0</v>
      </c>
      <c r="F737" s="52">
        <f>[4]Summary!F736</f>
        <v>19</v>
      </c>
      <c r="G737" s="20">
        <f t="shared" si="11"/>
        <v>0</v>
      </c>
      <c r="H737" s="20" t="s">
        <v>5410</v>
      </c>
    </row>
    <row r="738" spans="1:8" ht="21">
      <c r="A738" s="21">
        <v>734</v>
      </c>
      <c r="B738" s="22" t="s">
        <v>3188</v>
      </c>
      <c r="C738" s="22" t="s">
        <v>3189</v>
      </c>
      <c r="D738" s="23" t="s">
        <v>1584</v>
      </c>
      <c r="E738" s="24">
        <f>[4]Summary!E737</f>
        <v>0</v>
      </c>
      <c r="F738" s="25">
        <f>[4]Summary!F737</f>
        <v>0</v>
      </c>
      <c r="G738" s="26">
        <f t="shared" si="11"/>
        <v>0</v>
      </c>
      <c r="H738" s="26" t="s">
        <v>5410</v>
      </c>
    </row>
    <row r="739" spans="1:8" ht="21">
      <c r="A739" s="16">
        <v>735</v>
      </c>
      <c r="B739" s="17" t="s">
        <v>3190</v>
      </c>
      <c r="C739" s="17" t="s">
        <v>3191</v>
      </c>
      <c r="D739" s="18" t="s">
        <v>1584</v>
      </c>
      <c r="E739" s="19">
        <f>[4]Summary!E738</f>
        <v>1.5</v>
      </c>
      <c r="F739" s="52">
        <f>[4]Summary!F738</f>
        <v>56</v>
      </c>
      <c r="G739" s="20">
        <f t="shared" si="11"/>
        <v>84</v>
      </c>
      <c r="H739" s="20" t="s">
        <v>5408</v>
      </c>
    </row>
    <row r="740" spans="1:8" ht="21">
      <c r="A740" s="21">
        <v>736</v>
      </c>
      <c r="B740" s="22" t="s">
        <v>3192</v>
      </c>
      <c r="C740" s="22" t="s">
        <v>3193</v>
      </c>
      <c r="D740" s="23" t="s">
        <v>1584</v>
      </c>
      <c r="E740" s="24">
        <f>[4]Summary!E739</f>
        <v>2.85</v>
      </c>
      <c r="F740" s="25">
        <f>[4]Summary!F739</f>
        <v>78</v>
      </c>
      <c r="G740" s="26">
        <f t="shared" si="11"/>
        <v>222.3</v>
      </c>
      <c r="H740" s="26" t="s">
        <v>5408</v>
      </c>
    </row>
    <row r="741" spans="1:8" ht="42">
      <c r="A741" s="16">
        <v>737</v>
      </c>
      <c r="B741" s="17" t="s">
        <v>3194</v>
      </c>
      <c r="C741" s="17" t="s">
        <v>3195</v>
      </c>
      <c r="D741" s="18" t="s">
        <v>1584</v>
      </c>
      <c r="E741" s="19">
        <f>[4]Summary!E740</f>
        <v>3</v>
      </c>
      <c r="F741" s="52">
        <f>[4]Summary!F740</f>
        <v>0</v>
      </c>
      <c r="G741" s="20">
        <f t="shared" si="11"/>
        <v>0</v>
      </c>
      <c r="H741" s="20" t="s">
        <v>5414</v>
      </c>
    </row>
    <row r="742" spans="1:8" ht="21">
      <c r="A742" s="21">
        <v>738</v>
      </c>
      <c r="B742" s="22" t="s">
        <v>3196</v>
      </c>
      <c r="C742" s="22" t="s">
        <v>3197</v>
      </c>
      <c r="D742" s="23" t="s">
        <v>1584</v>
      </c>
      <c r="E742" s="24">
        <f>[4]Summary!E741</f>
        <v>6.75</v>
      </c>
      <c r="F742" s="25">
        <f>[4]Summary!F741</f>
        <v>19</v>
      </c>
      <c r="G742" s="26">
        <f t="shared" si="11"/>
        <v>128.25</v>
      </c>
      <c r="H742" s="26" t="s">
        <v>5414</v>
      </c>
    </row>
    <row r="743" spans="1:8" ht="21">
      <c r="A743" s="16">
        <v>739</v>
      </c>
      <c r="B743" s="17" t="s">
        <v>3198</v>
      </c>
      <c r="C743" s="17" t="s">
        <v>3199</v>
      </c>
      <c r="D743" s="18" t="s">
        <v>1584</v>
      </c>
      <c r="E743" s="19">
        <f>[4]Summary!E742</f>
        <v>2.5</v>
      </c>
      <c r="F743" s="52">
        <f>[4]Summary!F742</f>
        <v>7</v>
      </c>
      <c r="G743" s="20">
        <f t="shared" si="11"/>
        <v>17.5</v>
      </c>
      <c r="H743" s="20" t="s">
        <v>5414</v>
      </c>
    </row>
    <row r="744" spans="1:8" ht="42">
      <c r="A744" s="21">
        <v>740</v>
      </c>
      <c r="B744" s="22" t="s">
        <v>3200</v>
      </c>
      <c r="C744" s="22" t="s">
        <v>3201</v>
      </c>
      <c r="D744" s="23" t="s">
        <v>1584</v>
      </c>
      <c r="E744" s="24">
        <f>[4]Summary!E743</f>
        <v>9.84</v>
      </c>
      <c r="F744" s="25">
        <f>[4]Summary!F743</f>
        <v>0</v>
      </c>
      <c r="G744" s="26">
        <f t="shared" si="11"/>
        <v>0</v>
      </c>
      <c r="H744" s="26" t="s">
        <v>5414</v>
      </c>
    </row>
    <row r="745" spans="1:8" ht="21">
      <c r="A745" s="16">
        <v>741</v>
      </c>
      <c r="B745" s="17" t="s">
        <v>3202</v>
      </c>
      <c r="C745" s="17" t="s">
        <v>3203</v>
      </c>
      <c r="D745" s="18" t="s">
        <v>1584</v>
      </c>
      <c r="E745" s="19">
        <f>[4]Summary!E744</f>
        <v>4</v>
      </c>
      <c r="F745" s="52">
        <f>[4]Summary!F744</f>
        <v>0</v>
      </c>
      <c r="G745" s="20">
        <f t="shared" si="11"/>
        <v>0</v>
      </c>
      <c r="H745" s="20" t="s">
        <v>5411</v>
      </c>
    </row>
    <row r="746" spans="1:8" ht="21">
      <c r="A746" s="21">
        <v>742</v>
      </c>
      <c r="B746" s="22" t="s">
        <v>3204</v>
      </c>
      <c r="C746" s="22" t="s">
        <v>3205</v>
      </c>
      <c r="D746" s="23" t="s">
        <v>1584</v>
      </c>
      <c r="E746" s="24">
        <f>[4]Summary!E745</f>
        <v>15</v>
      </c>
      <c r="F746" s="25">
        <f>[4]Summary!F745</f>
        <v>0</v>
      </c>
      <c r="G746" s="26">
        <f t="shared" si="11"/>
        <v>0</v>
      </c>
      <c r="H746" s="26" t="s">
        <v>5414</v>
      </c>
    </row>
    <row r="747" spans="1:8" ht="21">
      <c r="A747" s="16">
        <v>743</v>
      </c>
      <c r="B747" s="17" t="s">
        <v>3206</v>
      </c>
      <c r="C747" s="17" t="s">
        <v>3207</v>
      </c>
      <c r="D747" s="18" t="s">
        <v>1584</v>
      </c>
      <c r="E747" s="19">
        <f>[4]Summary!E746</f>
        <v>3</v>
      </c>
      <c r="F747" s="52">
        <f>[4]Summary!F746</f>
        <v>67</v>
      </c>
      <c r="G747" s="20">
        <f t="shared" si="11"/>
        <v>201</v>
      </c>
      <c r="H747" s="20" t="s">
        <v>5412</v>
      </c>
    </row>
    <row r="748" spans="1:8" ht="21">
      <c r="A748" s="21">
        <v>744</v>
      </c>
      <c r="B748" s="22" t="s">
        <v>3208</v>
      </c>
      <c r="C748" s="22" t="s">
        <v>3209</v>
      </c>
      <c r="D748" s="23" t="s">
        <v>1584</v>
      </c>
      <c r="E748" s="24">
        <f>[4]Summary!E747</f>
        <v>250</v>
      </c>
      <c r="F748" s="25">
        <f>[4]Summary!F747</f>
        <v>0</v>
      </c>
      <c r="G748" s="26">
        <f t="shared" si="11"/>
        <v>0</v>
      </c>
      <c r="H748" s="26" t="s">
        <v>5412</v>
      </c>
    </row>
    <row r="749" spans="1:8" ht="42">
      <c r="A749" s="16">
        <v>745</v>
      </c>
      <c r="B749" s="17" t="s">
        <v>3210</v>
      </c>
      <c r="C749" s="17" t="s">
        <v>3211</v>
      </c>
      <c r="D749" s="18" t="s">
        <v>1584</v>
      </c>
      <c r="E749" s="19">
        <f>[4]Summary!E748</f>
        <v>885</v>
      </c>
      <c r="F749" s="52">
        <f>[4]Summary!F748</f>
        <v>0</v>
      </c>
      <c r="G749" s="20">
        <f t="shared" si="11"/>
        <v>0</v>
      </c>
      <c r="H749" s="20" t="s">
        <v>5412</v>
      </c>
    </row>
    <row r="750" spans="1:8" ht="42">
      <c r="A750" s="21">
        <v>746</v>
      </c>
      <c r="B750" s="22" t="s">
        <v>3212</v>
      </c>
      <c r="C750" s="22" t="s">
        <v>3213</v>
      </c>
      <c r="D750" s="23" t="s">
        <v>1584</v>
      </c>
      <c r="E750" s="24">
        <f>[4]Summary!E749</f>
        <v>2200</v>
      </c>
      <c r="F750" s="25">
        <f>[4]Summary!F749</f>
        <v>0</v>
      </c>
      <c r="G750" s="26">
        <f t="shared" si="11"/>
        <v>0</v>
      </c>
      <c r="H750" s="26" t="s">
        <v>5412</v>
      </c>
    </row>
    <row r="751" spans="1:8" ht="63">
      <c r="A751" s="16">
        <v>747</v>
      </c>
      <c r="B751" s="17" t="s">
        <v>3214</v>
      </c>
      <c r="C751" s="17" t="s">
        <v>3215</v>
      </c>
      <c r="D751" s="18" t="s">
        <v>1584</v>
      </c>
      <c r="E751" s="19">
        <f>[4]Summary!E750</f>
        <v>1500</v>
      </c>
      <c r="F751" s="52">
        <f>[4]Summary!F750</f>
        <v>0</v>
      </c>
      <c r="G751" s="20">
        <f t="shared" si="11"/>
        <v>0</v>
      </c>
      <c r="H751" s="20" t="s">
        <v>5412</v>
      </c>
    </row>
    <row r="752" spans="1:8" ht="21">
      <c r="A752" s="21">
        <v>748</v>
      </c>
      <c r="B752" s="22" t="s">
        <v>3216</v>
      </c>
      <c r="C752" s="22" t="s">
        <v>3217</v>
      </c>
      <c r="D752" s="23" t="s">
        <v>1584</v>
      </c>
      <c r="E752" s="24">
        <f>[4]Summary!E751</f>
        <v>4</v>
      </c>
      <c r="F752" s="25">
        <f>[4]Summary!F751</f>
        <v>0</v>
      </c>
      <c r="G752" s="26">
        <f t="shared" si="11"/>
        <v>0</v>
      </c>
      <c r="H752" s="26" t="s">
        <v>5404</v>
      </c>
    </row>
    <row r="753" spans="1:8" ht="21">
      <c r="A753" s="16">
        <v>749</v>
      </c>
      <c r="B753" s="17" t="s">
        <v>3218</v>
      </c>
      <c r="C753" s="17" t="s">
        <v>3219</v>
      </c>
      <c r="D753" s="18" t="s">
        <v>1584</v>
      </c>
      <c r="E753" s="19">
        <f>[4]Summary!E752</f>
        <v>2.5</v>
      </c>
      <c r="F753" s="52">
        <f>[4]Summary!F752</f>
        <v>0</v>
      </c>
      <c r="G753" s="20">
        <f t="shared" si="11"/>
        <v>0</v>
      </c>
      <c r="H753" s="20" t="s">
        <v>5404</v>
      </c>
    </row>
    <row r="754" spans="1:8" ht="21">
      <c r="A754" s="21">
        <v>750</v>
      </c>
      <c r="B754" s="22" t="s">
        <v>3220</v>
      </c>
      <c r="C754" s="22" t="s">
        <v>3221</v>
      </c>
      <c r="D754" s="23" t="s">
        <v>1584</v>
      </c>
      <c r="E754" s="24">
        <f>[4]Summary!E753</f>
        <v>11</v>
      </c>
      <c r="F754" s="25">
        <f>[4]Summary!F753</f>
        <v>12</v>
      </c>
      <c r="G754" s="26">
        <f t="shared" si="11"/>
        <v>132</v>
      </c>
      <c r="H754" s="26" t="s">
        <v>5404</v>
      </c>
    </row>
    <row r="755" spans="1:8" ht="42">
      <c r="A755" s="16">
        <v>751</v>
      </c>
      <c r="B755" s="17" t="s">
        <v>3222</v>
      </c>
      <c r="C755" s="17" t="s">
        <v>3223</v>
      </c>
      <c r="D755" s="18" t="s">
        <v>1584</v>
      </c>
      <c r="E755" s="19">
        <f>[4]Summary!E754</f>
        <v>275</v>
      </c>
      <c r="F755" s="52">
        <f>[4]Summary!F754</f>
        <v>0</v>
      </c>
      <c r="G755" s="20">
        <f t="shared" si="11"/>
        <v>0</v>
      </c>
      <c r="H755" s="20" t="s">
        <v>5412</v>
      </c>
    </row>
    <row r="756" spans="1:8" ht="42">
      <c r="A756" s="21">
        <v>752</v>
      </c>
      <c r="B756" s="22" t="s">
        <v>3224</v>
      </c>
      <c r="C756" s="22" t="s">
        <v>3225</v>
      </c>
      <c r="D756" s="23" t="s">
        <v>1584</v>
      </c>
      <c r="E756" s="24">
        <f>[4]Summary!E755</f>
        <v>41.872</v>
      </c>
      <c r="F756" s="25">
        <f>[4]Summary!F755</f>
        <v>0</v>
      </c>
      <c r="G756" s="26">
        <f t="shared" si="11"/>
        <v>0</v>
      </c>
      <c r="H756" s="26" t="s">
        <v>5414</v>
      </c>
    </row>
    <row r="757" spans="1:8" ht="21">
      <c r="A757" s="16">
        <v>753</v>
      </c>
      <c r="B757" s="17" t="s">
        <v>3226</v>
      </c>
      <c r="C757" s="17" t="s">
        <v>3227</v>
      </c>
      <c r="D757" s="18" t="s">
        <v>1584</v>
      </c>
      <c r="E757" s="19">
        <f>[4]Summary!E756</f>
        <v>0.65</v>
      </c>
      <c r="F757" s="52">
        <f>[4]Summary!F756</f>
        <v>0</v>
      </c>
      <c r="G757" s="20">
        <f t="shared" si="11"/>
        <v>0</v>
      </c>
      <c r="H757" s="20" t="s">
        <v>5406</v>
      </c>
    </row>
    <row r="758" spans="1:8" ht="21">
      <c r="A758" s="21">
        <v>754</v>
      </c>
      <c r="B758" s="22" t="s">
        <v>3228</v>
      </c>
      <c r="C758" s="22" t="s">
        <v>3229</v>
      </c>
      <c r="D758" s="23" t="s">
        <v>1584</v>
      </c>
      <c r="E758" s="24">
        <f>[4]Summary!E757</f>
        <v>8</v>
      </c>
      <c r="F758" s="25">
        <f>[4]Summary!F757</f>
        <v>0</v>
      </c>
      <c r="G758" s="26">
        <f t="shared" si="11"/>
        <v>0</v>
      </c>
      <c r="H758" s="26" t="s">
        <v>5406</v>
      </c>
    </row>
    <row r="759" spans="1:8" ht="21">
      <c r="A759" s="16">
        <v>755</v>
      </c>
      <c r="B759" s="17" t="s">
        <v>3230</v>
      </c>
      <c r="C759" s="17" t="s">
        <v>3231</v>
      </c>
      <c r="D759" s="18" t="s">
        <v>1584</v>
      </c>
      <c r="E759" s="19">
        <f>[4]Summary!E758</f>
        <v>8</v>
      </c>
      <c r="F759" s="52">
        <f>[4]Summary!F758</f>
        <v>0</v>
      </c>
      <c r="G759" s="20">
        <f t="shared" si="11"/>
        <v>0</v>
      </c>
      <c r="H759" s="20" t="s">
        <v>5414</v>
      </c>
    </row>
    <row r="760" spans="1:8" ht="21">
      <c r="A760" s="21">
        <v>756</v>
      </c>
      <c r="B760" s="22" t="s">
        <v>3232</v>
      </c>
      <c r="C760" s="22" t="s">
        <v>3233</v>
      </c>
      <c r="D760" s="23" t="s">
        <v>1584</v>
      </c>
      <c r="E760" s="24">
        <f>[4]Summary!E759</f>
        <v>1.36</v>
      </c>
      <c r="F760" s="25">
        <f>[4]Summary!F759</f>
        <v>0</v>
      </c>
      <c r="G760" s="26">
        <f t="shared" si="11"/>
        <v>0</v>
      </c>
      <c r="H760" s="26" t="s">
        <v>5414</v>
      </c>
    </row>
    <row r="761" spans="1:8" ht="21">
      <c r="A761" s="16">
        <v>757</v>
      </c>
      <c r="B761" s="17" t="s">
        <v>3234</v>
      </c>
      <c r="C761" s="17" t="s">
        <v>3235</v>
      </c>
      <c r="D761" s="18" t="s">
        <v>1584</v>
      </c>
      <c r="E761" s="19">
        <f>[4]Summary!E760</f>
        <v>17</v>
      </c>
      <c r="F761" s="52">
        <f>[4]Summary!F760</f>
        <v>11</v>
      </c>
      <c r="G761" s="20">
        <f t="shared" si="11"/>
        <v>187</v>
      </c>
      <c r="H761" s="20" t="s">
        <v>5414</v>
      </c>
    </row>
    <row r="762" spans="1:8" ht="21">
      <c r="A762" s="21">
        <v>758</v>
      </c>
      <c r="B762" s="22" t="s">
        <v>3236</v>
      </c>
      <c r="C762" s="22" t="s">
        <v>3237</v>
      </c>
      <c r="D762" s="23" t="s">
        <v>1584</v>
      </c>
      <c r="E762" s="24">
        <f>[4]Summary!E761</f>
        <v>5.5</v>
      </c>
      <c r="F762" s="25">
        <f>[4]Summary!F761</f>
        <v>14</v>
      </c>
      <c r="G762" s="26">
        <f t="shared" si="11"/>
        <v>77</v>
      </c>
      <c r="H762" s="26" t="s">
        <v>5411</v>
      </c>
    </row>
    <row r="763" spans="1:8" ht="21">
      <c r="A763" s="16">
        <v>759</v>
      </c>
      <c r="B763" s="17" t="s">
        <v>3238</v>
      </c>
      <c r="C763" s="17" t="s">
        <v>3239</v>
      </c>
      <c r="D763" s="18" t="s">
        <v>1584</v>
      </c>
      <c r="E763" s="19">
        <f>[4]Summary!E762</f>
        <v>2</v>
      </c>
      <c r="F763" s="52">
        <f>[4]Summary!F762</f>
        <v>84</v>
      </c>
      <c r="G763" s="20">
        <f t="shared" si="11"/>
        <v>168</v>
      </c>
      <c r="H763" s="20" t="s">
        <v>5408</v>
      </c>
    </row>
    <row r="764" spans="1:8" ht="21">
      <c r="A764" s="21">
        <v>760</v>
      </c>
      <c r="B764" s="22" t="s">
        <v>3240</v>
      </c>
      <c r="C764" s="22" t="s">
        <v>3241</v>
      </c>
      <c r="D764" s="23" t="s">
        <v>1584</v>
      </c>
      <c r="E764" s="24">
        <f>[4]Summary!E763</f>
        <v>1</v>
      </c>
      <c r="F764" s="25">
        <f>[4]Summary!F763</f>
        <v>149</v>
      </c>
      <c r="G764" s="26">
        <f t="shared" si="11"/>
        <v>149</v>
      </c>
      <c r="H764" s="26" t="s">
        <v>5406</v>
      </c>
    </row>
    <row r="765" spans="1:8" ht="21">
      <c r="A765" s="16">
        <v>761</v>
      </c>
      <c r="B765" s="17" t="s">
        <v>3242</v>
      </c>
      <c r="C765" s="17" t="s">
        <v>3243</v>
      </c>
      <c r="D765" s="18" t="s">
        <v>1584</v>
      </c>
      <c r="E765" s="19">
        <f>[4]Summary!E764</f>
        <v>2.2000000000000002</v>
      </c>
      <c r="F765" s="52">
        <f>[4]Summary!F764</f>
        <v>0</v>
      </c>
      <c r="G765" s="20">
        <f t="shared" si="11"/>
        <v>0</v>
      </c>
      <c r="H765" s="20" t="s">
        <v>5405</v>
      </c>
    </row>
    <row r="766" spans="1:8" ht="21">
      <c r="A766" s="21">
        <v>762</v>
      </c>
      <c r="B766" s="22" t="s">
        <v>3244</v>
      </c>
      <c r="C766" s="22" t="s">
        <v>3245</v>
      </c>
      <c r="D766" s="23" t="s">
        <v>1584</v>
      </c>
      <c r="E766" s="24">
        <f>[4]Summary!E765</f>
        <v>0</v>
      </c>
      <c r="F766" s="25">
        <f>[4]Summary!F765</f>
        <v>7</v>
      </c>
      <c r="G766" s="26">
        <f t="shared" si="11"/>
        <v>0</v>
      </c>
      <c r="H766" s="26" t="s">
        <v>5408</v>
      </c>
    </row>
    <row r="767" spans="1:8" ht="21">
      <c r="A767" s="16">
        <v>763</v>
      </c>
      <c r="B767" s="17" t="s">
        <v>3246</v>
      </c>
      <c r="C767" s="17" t="s">
        <v>3247</v>
      </c>
      <c r="D767" s="18" t="s">
        <v>1584</v>
      </c>
      <c r="E767" s="19">
        <f>[4]Summary!E766</f>
        <v>3.5</v>
      </c>
      <c r="F767" s="52">
        <f>[4]Summary!F766</f>
        <v>4</v>
      </c>
      <c r="G767" s="20">
        <f t="shared" si="11"/>
        <v>14</v>
      </c>
      <c r="H767" s="20" t="s">
        <v>5406</v>
      </c>
    </row>
    <row r="768" spans="1:8" ht="21">
      <c r="A768" s="21">
        <v>764</v>
      </c>
      <c r="B768" s="22" t="s">
        <v>3248</v>
      </c>
      <c r="C768" s="22" t="s">
        <v>3249</v>
      </c>
      <c r="D768" s="23" t="s">
        <v>1584</v>
      </c>
      <c r="E768" s="24">
        <f>[4]Summary!E767</f>
        <v>0</v>
      </c>
      <c r="F768" s="25">
        <f>[4]Summary!F767</f>
        <v>14</v>
      </c>
      <c r="G768" s="26">
        <f t="shared" si="11"/>
        <v>0</v>
      </c>
      <c r="H768" s="26" t="s">
        <v>5405</v>
      </c>
    </row>
    <row r="769" spans="1:8" ht="21">
      <c r="A769" s="16">
        <v>765</v>
      </c>
      <c r="B769" s="17" t="s">
        <v>3250</v>
      </c>
      <c r="C769" s="17" t="s">
        <v>3251</v>
      </c>
      <c r="D769" s="18" t="s">
        <v>1584</v>
      </c>
      <c r="E769" s="19">
        <f>[4]Summary!E768</f>
        <v>4.5</v>
      </c>
      <c r="F769" s="52">
        <f>[4]Summary!F768</f>
        <v>4</v>
      </c>
      <c r="G769" s="20">
        <f t="shared" si="11"/>
        <v>18</v>
      </c>
      <c r="H769" s="20" t="s">
        <v>5406</v>
      </c>
    </row>
    <row r="770" spans="1:8" ht="21">
      <c r="A770" s="21">
        <v>766</v>
      </c>
      <c r="B770" s="22" t="s">
        <v>3252</v>
      </c>
      <c r="C770" s="22" t="s">
        <v>3253</v>
      </c>
      <c r="D770" s="23" t="s">
        <v>1584</v>
      </c>
      <c r="E770" s="24">
        <f>[4]Summary!E769</f>
        <v>0</v>
      </c>
      <c r="F770" s="25">
        <f>[4]Summary!F769</f>
        <v>4</v>
      </c>
      <c r="G770" s="26">
        <f t="shared" si="11"/>
        <v>0</v>
      </c>
      <c r="H770" s="26" t="s">
        <v>5405</v>
      </c>
    </row>
    <row r="771" spans="1:8" ht="21">
      <c r="A771" s="16">
        <v>767</v>
      </c>
      <c r="B771" s="17" t="s">
        <v>3254</v>
      </c>
      <c r="C771" s="17" t="s">
        <v>3255</v>
      </c>
      <c r="D771" s="18" t="s">
        <v>1584</v>
      </c>
      <c r="E771" s="19">
        <f>[4]Summary!E770</f>
        <v>0</v>
      </c>
      <c r="F771" s="52">
        <f>[4]Summary!F770</f>
        <v>40</v>
      </c>
      <c r="G771" s="20">
        <f t="shared" si="11"/>
        <v>0</v>
      </c>
      <c r="H771" s="20" t="s">
        <v>5408</v>
      </c>
    </row>
    <row r="772" spans="1:8" ht="21">
      <c r="A772" s="21">
        <v>768</v>
      </c>
      <c r="B772" s="22" t="s">
        <v>3254</v>
      </c>
      <c r="C772" s="22" t="s">
        <v>3256</v>
      </c>
      <c r="D772" s="23" t="s">
        <v>1584</v>
      </c>
      <c r="E772" s="24">
        <f>[4]Summary!E771</f>
        <v>0</v>
      </c>
      <c r="F772" s="25">
        <f>[4]Summary!F771</f>
        <v>7</v>
      </c>
      <c r="G772" s="26">
        <f t="shared" si="11"/>
        <v>0</v>
      </c>
      <c r="H772" s="26" t="s">
        <v>5408</v>
      </c>
    </row>
    <row r="773" spans="1:8" ht="21">
      <c r="A773" s="16">
        <v>769</v>
      </c>
      <c r="B773" s="17" t="s">
        <v>3257</v>
      </c>
      <c r="C773" s="17" t="s">
        <v>3258</v>
      </c>
      <c r="D773" s="18" t="s">
        <v>1584</v>
      </c>
      <c r="E773" s="19">
        <f>[4]Summary!E772</f>
        <v>5.5</v>
      </c>
      <c r="F773" s="52">
        <f>[4]Summary!F772</f>
        <v>9</v>
      </c>
      <c r="G773" s="20">
        <f t="shared" si="11"/>
        <v>49.5</v>
      </c>
      <c r="H773" s="20" t="s">
        <v>5408</v>
      </c>
    </row>
    <row r="774" spans="1:8" ht="21">
      <c r="A774" s="21">
        <v>770</v>
      </c>
      <c r="B774" s="22" t="s">
        <v>3259</v>
      </c>
      <c r="C774" s="22" t="s">
        <v>3260</v>
      </c>
      <c r="D774" s="23" t="s">
        <v>1584</v>
      </c>
      <c r="E774" s="24">
        <f>[4]Summary!E773</f>
        <v>5</v>
      </c>
      <c r="F774" s="25">
        <f>[4]Summary!F773</f>
        <v>0</v>
      </c>
      <c r="G774" s="26">
        <f t="shared" si="11"/>
        <v>0</v>
      </c>
      <c r="H774" s="26" t="s">
        <v>5406</v>
      </c>
    </row>
    <row r="775" spans="1:8" ht="21">
      <c r="A775" s="16">
        <v>771</v>
      </c>
      <c r="B775" s="17" t="s">
        <v>3261</v>
      </c>
      <c r="C775" s="17" t="s">
        <v>3262</v>
      </c>
      <c r="D775" s="18" t="s">
        <v>1584</v>
      </c>
      <c r="E775" s="19">
        <f>[4]Summary!E774</f>
        <v>0</v>
      </c>
      <c r="F775" s="52">
        <f>[4]Summary!F774</f>
        <v>0</v>
      </c>
      <c r="G775" s="20">
        <f t="shared" ref="G775:G822" si="12">E775*F775</f>
        <v>0</v>
      </c>
      <c r="H775" s="20" t="s">
        <v>5405</v>
      </c>
    </row>
    <row r="776" spans="1:8" ht="21">
      <c r="A776" s="21">
        <v>772</v>
      </c>
      <c r="B776" s="22" t="s">
        <v>3263</v>
      </c>
      <c r="C776" s="22" t="s">
        <v>3264</v>
      </c>
      <c r="D776" s="23" t="s">
        <v>1584</v>
      </c>
      <c r="E776" s="24">
        <f>[4]Summary!E775</f>
        <v>0</v>
      </c>
      <c r="F776" s="25">
        <f>[4]Summary!F775</f>
        <v>1</v>
      </c>
      <c r="G776" s="26">
        <f t="shared" si="12"/>
        <v>0</v>
      </c>
      <c r="H776" s="26" t="s">
        <v>5405</v>
      </c>
    </row>
    <row r="777" spans="1:8" ht="21">
      <c r="A777" s="16">
        <v>773</v>
      </c>
      <c r="B777" s="17" t="s">
        <v>3265</v>
      </c>
      <c r="C777" s="17" t="s">
        <v>3266</v>
      </c>
      <c r="D777" s="18" t="s">
        <v>1584</v>
      </c>
      <c r="E777" s="19">
        <f>[4]Summary!E776</f>
        <v>0</v>
      </c>
      <c r="F777" s="52">
        <f>[4]Summary!F776</f>
        <v>0</v>
      </c>
      <c r="G777" s="20">
        <f t="shared" si="12"/>
        <v>0</v>
      </c>
      <c r="H777" s="20" t="s">
        <v>5405</v>
      </c>
    </row>
    <row r="778" spans="1:8" ht="21">
      <c r="A778" s="21">
        <v>774</v>
      </c>
      <c r="B778" s="22" t="s">
        <v>3267</v>
      </c>
      <c r="C778" s="22" t="s">
        <v>3268</v>
      </c>
      <c r="D778" s="23" t="s">
        <v>1584</v>
      </c>
      <c r="E778" s="24">
        <f>[4]Summary!E777</f>
        <v>0</v>
      </c>
      <c r="F778" s="25">
        <f>[4]Summary!F777</f>
        <v>3</v>
      </c>
      <c r="G778" s="26">
        <f t="shared" si="12"/>
        <v>0</v>
      </c>
      <c r="H778" s="26" t="s">
        <v>5408</v>
      </c>
    </row>
    <row r="779" spans="1:8" ht="21">
      <c r="A779" s="16">
        <v>775</v>
      </c>
      <c r="B779" s="17" t="s">
        <v>3269</v>
      </c>
      <c r="C779" s="17" t="s">
        <v>3270</v>
      </c>
      <c r="D779" s="18" t="s">
        <v>1584</v>
      </c>
      <c r="E779" s="19">
        <f>[4]Summary!E778</f>
        <v>0</v>
      </c>
      <c r="F779" s="52">
        <f>[4]Summary!F778</f>
        <v>65</v>
      </c>
      <c r="G779" s="20">
        <f t="shared" si="12"/>
        <v>0</v>
      </c>
      <c r="H779" s="20" t="s">
        <v>5408</v>
      </c>
    </row>
    <row r="780" spans="1:8" ht="21">
      <c r="A780" s="21">
        <v>776</v>
      </c>
      <c r="B780" s="22" t="s">
        <v>3271</v>
      </c>
      <c r="C780" s="22" t="s">
        <v>3272</v>
      </c>
      <c r="D780" s="23" t="s">
        <v>1584</v>
      </c>
      <c r="E780" s="24">
        <f>[4]Summary!E779</f>
        <v>0.5</v>
      </c>
      <c r="F780" s="25">
        <f>[4]Summary!F779</f>
        <v>121</v>
      </c>
      <c r="G780" s="26">
        <f t="shared" si="12"/>
        <v>60.5</v>
      </c>
      <c r="H780" s="26" t="s">
        <v>5406</v>
      </c>
    </row>
    <row r="781" spans="1:8" ht="21">
      <c r="A781" s="16">
        <v>777</v>
      </c>
      <c r="B781" s="17" t="s">
        <v>3273</v>
      </c>
      <c r="C781" s="17" t="s">
        <v>3274</v>
      </c>
      <c r="D781" s="18" t="s">
        <v>1584</v>
      </c>
      <c r="E781" s="19">
        <f>[4]Summary!E780</f>
        <v>0</v>
      </c>
      <c r="F781" s="52">
        <f>[4]Summary!F780</f>
        <v>1</v>
      </c>
      <c r="G781" s="20">
        <f t="shared" si="12"/>
        <v>0</v>
      </c>
      <c r="H781" s="20" t="s">
        <v>5408</v>
      </c>
    </row>
    <row r="782" spans="1:8" ht="21">
      <c r="A782" s="21">
        <v>778</v>
      </c>
      <c r="B782" s="22" t="s">
        <v>3275</v>
      </c>
      <c r="C782" s="22" t="s">
        <v>3276</v>
      </c>
      <c r="D782" s="23" t="s">
        <v>1584</v>
      </c>
      <c r="E782" s="24">
        <f>[4]Summary!E781</f>
        <v>0</v>
      </c>
      <c r="F782" s="25">
        <f>[4]Summary!F781</f>
        <v>11</v>
      </c>
      <c r="G782" s="26">
        <f t="shared" si="12"/>
        <v>0</v>
      </c>
      <c r="H782" s="26" t="s">
        <v>5408</v>
      </c>
    </row>
    <row r="783" spans="1:8" ht="21">
      <c r="A783" s="16">
        <v>779</v>
      </c>
      <c r="B783" s="17" t="s">
        <v>3277</v>
      </c>
      <c r="C783" s="17" t="s">
        <v>3278</v>
      </c>
      <c r="D783" s="18" t="s">
        <v>1584</v>
      </c>
      <c r="E783" s="19">
        <f>[4]Summary!E782</f>
        <v>3.5</v>
      </c>
      <c r="F783" s="52">
        <f>[4]Summary!F782</f>
        <v>0</v>
      </c>
      <c r="G783" s="20">
        <f t="shared" si="12"/>
        <v>0</v>
      </c>
      <c r="H783" s="20" t="s">
        <v>5410</v>
      </c>
    </row>
    <row r="784" spans="1:8" ht="21">
      <c r="A784" s="21">
        <v>780</v>
      </c>
      <c r="B784" s="22" t="s">
        <v>3279</v>
      </c>
      <c r="C784" s="22" t="s">
        <v>3280</v>
      </c>
      <c r="D784" s="23" t="s">
        <v>1584</v>
      </c>
      <c r="E784" s="24">
        <f>[4]Summary!E783</f>
        <v>0</v>
      </c>
      <c r="F784" s="25">
        <f>[4]Summary!F783</f>
        <v>7</v>
      </c>
      <c r="G784" s="26">
        <f t="shared" si="12"/>
        <v>0</v>
      </c>
      <c r="H784" s="26" t="s">
        <v>5409</v>
      </c>
    </row>
    <row r="785" spans="1:8" ht="42">
      <c r="A785" s="16">
        <v>781</v>
      </c>
      <c r="B785" s="17" t="s">
        <v>3281</v>
      </c>
      <c r="C785" s="17" t="s">
        <v>3282</v>
      </c>
      <c r="D785" s="18" t="s">
        <v>1584</v>
      </c>
      <c r="E785" s="19">
        <f>[4]Summary!E784</f>
        <v>9</v>
      </c>
      <c r="F785" s="52">
        <f>[4]Summary!F784</f>
        <v>0</v>
      </c>
      <c r="G785" s="20">
        <f t="shared" si="12"/>
        <v>0</v>
      </c>
      <c r="H785" s="20" t="s">
        <v>5416</v>
      </c>
    </row>
    <row r="786" spans="1:8" ht="42">
      <c r="A786" s="21">
        <v>782</v>
      </c>
      <c r="B786" s="22" t="s">
        <v>3283</v>
      </c>
      <c r="C786" s="22" t="s">
        <v>3284</v>
      </c>
      <c r="D786" s="23" t="s">
        <v>1584</v>
      </c>
      <c r="E786" s="24">
        <f>[4]Summary!E785</f>
        <v>8</v>
      </c>
      <c r="F786" s="25">
        <f>[4]Summary!F785</f>
        <v>1</v>
      </c>
      <c r="G786" s="26">
        <f t="shared" si="12"/>
        <v>8</v>
      </c>
      <c r="H786" s="26" t="s">
        <v>5408</v>
      </c>
    </row>
    <row r="787" spans="1:8" ht="42">
      <c r="A787" s="16">
        <v>783</v>
      </c>
      <c r="B787" s="17" t="s">
        <v>3285</v>
      </c>
      <c r="C787" s="17" t="s">
        <v>3286</v>
      </c>
      <c r="D787" s="18" t="s">
        <v>1584</v>
      </c>
      <c r="E787" s="19">
        <f>[4]Summary!E786</f>
        <v>15.5</v>
      </c>
      <c r="F787" s="52">
        <f>[4]Summary!F786</f>
        <v>5</v>
      </c>
      <c r="G787" s="20">
        <f t="shared" si="12"/>
        <v>77.5</v>
      </c>
      <c r="H787" s="20" t="s">
        <v>5408</v>
      </c>
    </row>
    <row r="788" spans="1:8" ht="21">
      <c r="A788" s="21">
        <v>784</v>
      </c>
      <c r="B788" s="22" t="s">
        <v>3287</v>
      </c>
      <c r="C788" s="22" t="s">
        <v>3288</v>
      </c>
      <c r="D788" s="23" t="s">
        <v>1584</v>
      </c>
      <c r="E788" s="24">
        <f>[4]Summary!E787</f>
        <v>40</v>
      </c>
      <c r="F788" s="25">
        <f>[4]Summary!F787</f>
        <v>0</v>
      </c>
      <c r="G788" s="26">
        <f t="shared" si="12"/>
        <v>0</v>
      </c>
      <c r="H788" s="26" t="s">
        <v>5414</v>
      </c>
    </row>
    <row r="789" spans="1:8" ht="21">
      <c r="A789" s="16">
        <v>785</v>
      </c>
      <c r="B789" s="17" t="s">
        <v>3289</v>
      </c>
      <c r="C789" s="17" t="s">
        <v>3290</v>
      </c>
      <c r="D789" s="18" t="s">
        <v>1584</v>
      </c>
      <c r="E789" s="19">
        <f>[4]Summary!E788</f>
        <v>37</v>
      </c>
      <c r="F789" s="52">
        <f>[4]Summary!F788</f>
        <v>2</v>
      </c>
      <c r="G789" s="20">
        <f t="shared" si="12"/>
        <v>74</v>
      </c>
      <c r="H789" s="20" t="s">
        <v>5414</v>
      </c>
    </row>
    <row r="790" spans="1:8" ht="21">
      <c r="A790" s="21">
        <v>786</v>
      </c>
      <c r="B790" s="22" t="s">
        <v>3291</v>
      </c>
      <c r="C790" s="22" t="s">
        <v>3292</v>
      </c>
      <c r="D790" s="23" t="s">
        <v>1584</v>
      </c>
      <c r="E790" s="24">
        <f>[4]Summary!E789</f>
        <v>17</v>
      </c>
      <c r="F790" s="25">
        <f>[4]Summary!F789</f>
        <v>0</v>
      </c>
      <c r="G790" s="26">
        <f t="shared" si="12"/>
        <v>0</v>
      </c>
      <c r="H790" s="26" t="s">
        <v>5413</v>
      </c>
    </row>
    <row r="791" spans="1:8" ht="21">
      <c r="A791" s="16">
        <v>787</v>
      </c>
      <c r="B791" s="17" t="s">
        <v>3293</v>
      </c>
      <c r="C791" s="17" t="s">
        <v>3294</v>
      </c>
      <c r="D791" s="18" t="s">
        <v>1584</v>
      </c>
      <c r="E791" s="19">
        <f>[4]Summary!E790</f>
        <v>25</v>
      </c>
      <c r="F791" s="52">
        <f>[4]Summary!F790</f>
        <v>0</v>
      </c>
      <c r="G791" s="20">
        <f t="shared" si="12"/>
        <v>0</v>
      </c>
      <c r="H791" s="20" t="s">
        <v>5413</v>
      </c>
    </row>
    <row r="792" spans="1:8" ht="21">
      <c r="A792" s="21">
        <v>788</v>
      </c>
      <c r="B792" s="22" t="s">
        <v>3295</v>
      </c>
      <c r="C792" s="22" t="s">
        <v>3296</v>
      </c>
      <c r="D792" s="23" t="s">
        <v>1584</v>
      </c>
      <c r="E792" s="24">
        <f>[4]Summary!E791</f>
        <v>12</v>
      </c>
      <c r="F792" s="25">
        <f>[4]Summary!F791</f>
        <v>0</v>
      </c>
      <c r="G792" s="26">
        <f t="shared" si="12"/>
        <v>0</v>
      </c>
      <c r="H792" s="26" t="s">
        <v>5413</v>
      </c>
    </row>
    <row r="793" spans="1:8" ht="21">
      <c r="A793" s="16">
        <v>789</v>
      </c>
      <c r="B793" s="17" t="s">
        <v>3297</v>
      </c>
      <c r="C793" s="17" t="s">
        <v>3298</v>
      </c>
      <c r="D793" s="18" t="s">
        <v>1601</v>
      </c>
      <c r="E793" s="19">
        <f>[4]Summary!E792</f>
        <v>1.7</v>
      </c>
      <c r="F793" s="52">
        <f>[4]Summary!F792</f>
        <v>27.5</v>
      </c>
      <c r="G793" s="20">
        <f t="shared" si="12"/>
        <v>46.75</v>
      </c>
      <c r="H793" s="20" t="s">
        <v>5412</v>
      </c>
    </row>
    <row r="794" spans="1:8" ht="21">
      <c r="A794" s="21">
        <v>790</v>
      </c>
      <c r="B794" s="22" t="s">
        <v>3299</v>
      </c>
      <c r="C794" s="22" t="s">
        <v>3300</v>
      </c>
      <c r="D794" s="23" t="s">
        <v>1584</v>
      </c>
      <c r="E794" s="24">
        <f>[4]Summary!E793</f>
        <v>0.55000000000000004</v>
      </c>
      <c r="F794" s="25">
        <f>[4]Summary!F793</f>
        <v>211</v>
      </c>
      <c r="G794" s="26">
        <f t="shared" si="12"/>
        <v>116.05000000000001</v>
      </c>
      <c r="H794" s="26" t="s">
        <v>5404</v>
      </c>
    </row>
    <row r="795" spans="1:8" ht="21">
      <c r="A795" s="16">
        <v>791</v>
      </c>
      <c r="B795" s="17" t="s">
        <v>3301</v>
      </c>
      <c r="C795" s="17" t="s">
        <v>3302</v>
      </c>
      <c r="D795" s="18" t="s">
        <v>1584</v>
      </c>
      <c r="E795" s="19">
        <f>[4]Summary!E794</f>
        <v>10</v>
      </c>
      <c r="F795" s="52">
        <f>[4]Summary!F794</f>
        <v>1</v>
      </c>
      <c r="G795" s="20">
        <f t="shared" si="12"/>
        <v>10</v>
      </c>
      <c r="H795" s="20" t="s">
        <v>5408</v>
      </c>
    </row>
    <row r="796" spans="1:8" ht="21">
      <c r="A796" s="21">
        <v>792</v>
      </c>
      <c r="B796" s="22" t="s">
        <v>3303</v>
      </c>
      <c r="C796" s="22" t="s">
        <v>3304</v>
      </c>
      <c r="D796" s="23" t="s">
        <v>1584</v>
      </c>
      <c r="E796" s="24">
        <f>[4]Summary!E795</f>
        <v>1.5</v>
      </c>
      <c r="F796" s="25">
        <f>[4]Summary!F795</f>
        <v>0</v>
      </c>
      <c r="G796" s="26">
        <f t="shared" si="12"/>
        <v>0</v>
      </c>
      <c r="H796" s="26" t="s">
        <v>5404</v>
      </c>
    </row>
    <row r="797" spans="1:8" ht="21">
      <c r="A797" s="16">
        <v>793</v>
      </c>
      <c r="B797" s="17" t="s">
        <v>3305</v>
      </c>
      <c r="C797" s="17" t="s">
        <v>3306</v>
      </c>
      <c r="D797" s="18" t="s">
        <v>1584</v>
      </c>
      <c r="E797" s="19">
        <f>[4]Summary!E796</f>
        <v>1.5</v>
      </c>
      <c r="F797" s="52">
        <f>[4]Summary!F796</f>
        <v>0</v>
      </c>
      <c r="G797" s="20">
        <f t="shared" si="12"/>
        <v>0</v>
      </c>
      <c r="H797" s="20" t="s">
        <v>5404</v>
      </c>
    </row>
    <row r="798" spans="1:8" ht="21">
      <c r="A798" s="21">
        <v>794</v>
      </c>
      <c r="B798" s="22" t="s">
        <v>3307</v>
      </c>
      <c r="C798" s="22" t="s">
        <v>3308</v>
      </c>
      <c r="D798" s="23" t="s">
        <v>1584</v>
      </c>
      <c r="E798" s="24">
        <f>[4]Summary!E797</f>
        <v>1</v>
      </c>
      <c r="F798" s="25">
        <f>[4]Summary!F797</f>
        <v>0</v>
      </c>
      <c r="G798" s="26">
        <f t="shared" si="12"/>
        <v>0</v>
      </c>
      <c r="H798" s="26" t="s">
        <v>5404</v>
      </c>
    </row>
    <row r="799" spans="1:8" ht="21">
      <c r="A799" s="16">
        <v>795</v>
      </c>
      <c r="B799" s="17" t="s">
        <v>3309</v>
      </c>
      <c r="C799" s="17" t="s">
        <v>3310</v>
      </c>
      <c r="D799" s="18" t="s">
        <v>1584</v>
      </c>
      <c r="E799" s="19">
        <f>[4]Summary!E798</f>
        <v>3</v>
      </c>
      <c r="F799" s="52">
        <f>[4]Summary!F798</f>
        <v>0</v>
      </c>
      <c r="G799" s="20">
        <f t="shared" si="12"/>
        <v>0</v>
      </c>
      <c r="H799" s="20" t="s">
        <v>5404</v>
      </c>
    </row>
    <row r="800" spans="1:8" ht="21">
      <c r="A800" s="21">
        <v>796</v>
      </c>
      <c r="B800" s="22" t="s">
        <v>3311</v>
      </c>
      <c r="C800" s="22" t="s">
        <v>3312</v>
      </c>
      <c r="D800" s="23" t="s">
        <v>1584</v>
      </c>
      <c r="E800" s="24">
        <f>[4]Summary!E799</f>
        <v>5.0999999999999996</v>
      </c>
      <c r="F800" s="25">
        <f>[4]Summary!F799</f>
        <v>0</v>
      </c>
      <c r="G800" s="26">
        <f t="shared" si="12"/>
        <v>0</v>
      </c>
      <c r="H800" s="26" t="s">
        <v>5404</v>
      </c>
    </row>
    <row r="801" spans="1:8" ht="21">
      <c r="A801" s="16">
        <v>797</v>
      </c>
      <c r="B801" s="17" t="s">
        <v>3313</v>
      </c>
      <c r="C801" s="17" t="s">
        <v>3314</v>
      </c>
      <c r="D801" s="18" t="s">
        <v>1584</v>
      </c>
      <c r="E801" s="19">
        <f>[4]Summary!E800</f>
        <v>6</v>
      </c>
      <c r="F801" s="52">
        <f>[4]Summary!F800</f>
        <v>1</v>
      </c>
      <c r="G801" s="20">
        <f t="shared" si="12"/>
        <v>6</v>
      </c>
      <c r="H801" s="20" t="s">
        <v>5412</v>
      </c>
    </row>
    <row r="802" spans="1:8" ht="21">
      <c r="A802" s="21">
        <v>798</v>
      </c>
      <c r="B802" s="22" t="s">
        <v>3315</v>
      </c>
      <c r="C802" s="22" t="s">
        <v>3316</v>
      </c>
      <c r="D802" s="23" t="s">
        <v>1584</v>
      </c>
      <c r="E802" s="24">
        <f>[4]Summary!E801</f>
        <v>4.7699999999999996</v>
      </c>
      <c r="F802" s="25">
        <f>[4]Summary!F801</f>
        <v>0</v>
      </c>
      <c r="G802" s="26">
        <f t="shared" si="12"/>
        <v>0</v>
      </c>
      <c r="H802" s="26" t="s">
        <v>5416</v>
      </c>
    </row>
    <row r="803" spans="1:8" ht="42">
      <c r="A803" s="16">
        <v>799</v>
      </c>
      <c r="B803" s="17" t="s">
        <v>3317</v>
      </c>
      <c r="C803" s="17" t="s">
        <v>3318</v>
      </c>
      <c r="D803" s="18" t="s">
        <v>1584</v>
      </c>
      <c r="E803" s="19">
        <f>[4]Summary!E802</f>
        <v>0</v>
      </c>
      <c r="F803" s="52">
        <f>[4]Summary!F802</f>
        <v>21</v>
      </c>
      <c r="G803" s="20">
        <f t="shared" si="12"/>
        <v>0</v>
      </c>
      <c r="H803" s="20" t="s">
        <v>5417</v>
      </c>
    </row>
    <row r="804" spans="1:8" ht="21">
      <c r="A804" s="21">
        <v>800</v>
      </c>
      <c r="B804" s="22" t="s">
        <v>3319</v>
      </c>
      <c r="C804" s="22" t="s">
        <v>3320</v>
      </c>
      <c r="D804" s="23" t="s">
        <v>1584</v>
      </c>
      <c r="E804" s="24">
        <f>[4]Summary!E803</f>
        <v>60</v>
      </c>
      <c r="F804" s="25">
        <f>[4]Summary!F803</f>
        <v>-1</v>
      </c>
      <c r="G804" s="26">
        <f t="shared" si="12"/>
        <v>-60</v>
      </c>
      <c r="H804" s="26" t="s">
        <v>5414</v>
      </c>
    </row>
    <row r="805" spans="1:8" ht="21">
      <c r="A805" s="16">
        <v>801</v>
      </c>
      <c r="B805" s="17" t="s">
        <v>3321</v>
      </c>
      <c r="C805" s="17" t="s">
        <v>3322</v>
      </c>
      <c r="D805" s="18" t="s">
        <v>1584</v>
      </c>
      <c r="E805" s="19">
        <f>[4]Summary!E804</f>
        <v>47</v>
      </c>
      <c r="F805" s="52">
        <f>[4]Summary!F804</f>
        <v>0</v>
      </c>
      <c r="G805" s="20">
        <f t="shared" si="12"/>
        <v>0</v>
      </c>
      <c r="H805" s="20" t="s">
        <v>5414</v>
      </c>
    </row>
    <row r="806" spans="1:8" ht="42">
      <c r="A806" s="21">
        <v>802</v>
      </c>
      <c r="B806" s="22" t="s">
        <v>3323</v>
      </c>
      <c r="C806" s="22" t="s">
        <v>3324</v>
      </c>
      <c r="D806" s="23" t="s">
        <v>1584</v>
      </c>
      <c r="E806" s="24">
        <f>[4]Summary!E805</f>
        <v>1.875</v>
      </c>
      <c r="F806" s="25">
        <f>[4]Summary!F805</f>
        <v>0</v>
      </c>
      <c r="G806" s="26">
        <f t="shared" si="12"/>
        <v>0</v>
      </c>
      <c r="H806" s="26" t="s">
        <v>5412</v>
      </c>
    </row>
    <row r="807" spans="1:8" ht="21">
      <c r="A807" s="16">
        <v>803</v>
      </c>
      <c r="B807" s="17" t="s">
        <v>3325</v>
      </c>
      <c r="C807" s="17" t="s">
        <v>3326</v>
      </c>
      <c r="D807" s="18" t="s">
        <v>1584</v>
      </c>
      <c r="E807" s="19">
        <f>[4]Summary!E806</f>
        <v>3.5</v>
      </c>
      <c r="F807" s="52">
        <f>[4]Summary!F806</f>
        <v>0</v>
      </c>
      <c r="G807" s="20">
        <f t="shared" si="12"/>
        <v>0</v>
      </c>
      <c r="H807" s="20" t="s">
        <v>5412</v>
      </c>
    </row>
    <row r="808" spans="1:8" ht="59.25" customHeight="1">
      <c r="A808" s="21">
        <v>804</v>
      </c>
      <c r="B808" s="22" t="s">
        <v>5719</v>
      </c>
      <c r="C808" s="22" t="s">
        <v>5720</v>
      </c>
      <c r="D808" s="23" t="s">
        <v>1584</v>
      </c>
      <c r="E808" s="24">
        <f>[4]Summary!E807</f>
        <v>0.35</v>
      </c>
      <c r="F808" s="25">
        <f>[4]Summary!F807</f>
        <v>6</v>
      </c>
      <c r="G808" s="26">
        <f t="shared" si="12"/>
        <v>2.0999999999999996</v>
      </c>
      <c r="H808" s="26" t="s">
        <v>5406</v>
      </c>
    </row>
    <row r="809" spans="1:8" ht="59.25" customHeight="1">
      <c r="A809" s="16">
        <v>805</v>
      </c>
      <c r="B809" s="16" t="s">
        <v>5730</v>
      </c>
      <c r="C809" s="17" t="s">
        <v>5731</v>
      </c>
      <c r="D809" s="17" t="s">
        <v>1584</v>
      </c>
      <c r="E809" s="19">
        <f>[4]Summary!E808</f>
        <v>0</v>
      </c>
      <c r="F809" s="52">
        <f>[4]Summary!F808</f>
        <v>0</v>
      </c>
      <c r="G809" s="20">
        <f t="shared" si="12"/>
        <v>0</v>
      </c>
      <c r="H809" s="20" t="s">
        <v>5404</v>
      </c>
    </row>
    <row r="810" spans="1:8" ht="59.25" customHeight="1">
      <c r="A810" s="21">
        <v>806</v>
      </c>
      <c r="B810" s="22" t="s">
        <v>5732</v>
      </c>
      <c r="C810" s="22" t="s">
        <v>5733</v>
      </c>
      <c r="D810" s="21" t="s">
        <v>1584</v>
      </c>
      <c r="E810" s="24">
        <f>[4]Summary!E809</f>
        <v>0</v>
      </c>
      <c r="F810" s="25">
        <f>[4]Summary!F809</f>
        <v>0</v>
      </c>
      <c r="G810" s="26">
        <f t="shared" si="12"/>
        <v>0</v>
      </c>
      <c r="H810" s="26" t="s">
        <v>5404</v>
      </c>
    </row>
    <row r="811" spans="1:8" ht="59.25" customHeight="1">
      <c r="A811" s="16">
        <v>807</v>
      </c>
      <c r="B811" s="16" t="s">
        <v>5734</v>
      </c>
      <c r="C811" s="17" t="s">
        <v>5735</v>
      </c>
      <c r="D811" s="17" t="s">
        <v>1584</v>
      </c>
      <c r="E811" s="19">
        <f>[4]Summary!E810</f>
        <v>0</v>
      </c>
      <c r="F811" s="52">
        <f>[4]Summary!F810</f>
        <v>0</v>
      </c>
      <c r="G811" s="20">
        <f t="shared" si="12"/>
        <v>0</v>
      </c>
      <c r="H811" s="20" t="s">
        <v>5404</v>
      </c>
    </row>
    <row r="812" spans="1:8" ht="59.25" customHeight="1">
      <c r="A812" s="21">
        <v>808</v>
      </c>
      <c r="B812" s="22" t="s">
        <v>5732</v>
      </c>
      <c r="C812" s="22" t="s">
        <v>5736</v>
      </c>
      <c r="D812" s="21" t="s">
        <v>1584</v>
      </c>
      <c r="E812" s="24">
        <f>[4]Summary!E811</f>
        <v>0</v>
      </c>
      <c r="F812" s="25">
        <f>[4]Summary!F811</f>
        <v>0</v>
      </c>
      <c r="G812" s="26">
        <f t="shared" si="12"/>
        <v>0</v>
      </c>
      <c r="H812" s="26" t="s">
        <v>5404</v>
      </c>
    </row>
    <row r="813" spans="1:8" ht="59.25" customHeight="1">
      <c r="A813" s="16">
        <v>809</v>
      </c>
      <c r="B813" s="16" t="s">
        <v>5737</v>
      </c>
      <c r="C813" s="17" t="s">
        <v>5738</v>
      </c>
      <c r="D813" s="17" t="s">
        <v>1584</v>
      </c>
      <c r="E813" s="19">
        <f>[4]Summary!E812</f>
        <v>0</v>
      </c>
      <c r="F813" s="52">
        <f>[4]Summary!F812</f>
        <v>0</v>
      </c>
      <c r="G813" s="20">
        <f t="shared" si="12"/>
        <v>0</v>
      </c>
      <c r="H813" s="20" t="s">
        <v>5404</v>
      </c>
    </row>
    <row r="814" spans="1:8" ht="59.25" customHeight="1">
      <c r="A814" s="21">
        <v>810</v>
      </c>
      <c r="B814" s="22" t="s">
        <v>5739</v>
      </c>
      <c r="C814" s="22" t="s">
        <v>5740</v>
      </c>
      <c r="D814" s="21" t="s">
        <v>1584</v>
      </c>
      <c r="E814" s="24">
        <f>[4]Summary!E813</f>
        <v>0</v>
      </c>
      <c r="F814" s="25">
        <f>[4]Summary!F813</f>
        <v>0</v>
      </c>
      <c r="G814" s="26">
        <f t="shared" si="12"/>
        <v>0</v>
      </c>
      <c r="H814" s="26" t="s">
        <v>5404</v>
      </c>
    </row>
    <row r="815" spans="1:8" ht="59.25" customHeight="1">
      <c r="A815" s="16">
        <v>811</v>
      </c>
      <c r="B815" s="16" t="s">
        <v>5741</v>
      </c>
      <c r="C815" s="17" t="s">
        <v>5742</v>
      </c>
      <c r="D815" s="17" t="s">
        <v>1584</v>
      </c>
      <c r="E815" s="19">
        <f>[4]Summary!E814</f>
        <v>0</v>
      </c>
      <c r="F815" s="52">
        <f>[4]Summary!F814</f>
        <v>0</v>
      </c>
      <c r="G815" s="20">
        <f t="shared" si="12"/>
        <v>0</v>
      </c>
      <c r="H815" s="20" t="s">
        <v>5404</v>
      </c>
    </row>
    <row r="816" spans="1:8" ht="59.25" customHeight="1">
      <c r="A816" s="21">
        <v>812</v>
      </c>
      <c r="B816" s="22" t="s">
        <v>5743</v>
      </c>
      <c r="C816" s="22" t="s">
        <v>5744</v>
      </c>
      <c r="D816" s="21" t="s">
        <v>1584</v>
      </c>
      <c r="E816" s="24">
        <f>[4]Summary!E815</f>
        <v>0</v>
      </c>
      <c r="F816" s="25">
        <f>[4]Summary!F815</f>
        <v>0</v>
      </c>
      <c r="G816" s="26">
        <f t="shared" si="12"/>
        <v>0</v>
      </c>
      <c r="H816" s="26" t="s">
        <v>5404</v>
      </c>
    </row>
    <row r="817" spans="1:8" ht="59.25" customHeight="1">
      <c r="A817" s="16">
        <v>813</v>
      </c>
      <c r="B817" s="16" t="s">
        <v>5745</v>
      </c>
      <c r="C817" s="17" t="s">
        <v>5746</v>
      </c>
      <c r="D817" s="17" t="s">
        <v>1584</v>
      </c>
      <c r="E817" s="19">
        <f>[4]Summary!E816</f>
        <v>0</v>
      </c>
      <c r="F817" s="52">
        <f>[4]Summary!F816</f>
        <v>0</v>
      </c>
      <c r="G817" s="20">
        <f t="shared" si="12"/>
        <v>0</v>
      </c>
      <c r="H817" s="20" t="s">
        <v>5404</v>
      </c>
    </row>
    <row r="818" spans="1:8" ht="59.25" customHeight="1">
      <c r="A818" s="21">
        <v>814</v>
      </c>
      <c r="B818" s="22" t="s">
        <v>5747</v>
      </c>
      <c r="C818" s="22" t="s">
        <v>5748</v>
      </c>
      <c r="D818" s="21" t="s">
        <v>1584</v>
      </c>
      <c r="E818" s="24">
        <f>[4]Summary!E817</f>
        <v>0</v>
      </c>
      <c r="F818" s="25">
        <f>[4]Summary!F817</f>
        <v>0</v>
      </c>
      <c r="G818" s="26">
        <f t="shared" si="12"/>
        <v>0</v>
      </c>
      <c r="H818" s="26" t="s">
        <v>5404</v>
      </c>
    </row>
    <row r="819" spans="1:8" ht="59.25" customHeight="1">
      <c r="A819" s="16">
        <v>815</v>
      </c>
      <c r="B819" s="16" t="s">
        <v>5797</v>
      </c>
      <c r="C819" s="17" t="s">
        <v>5798</v>
      </c>
      <c r="D819" s="17" t="s">
        <v>1584</v>
      </c>
      <c r="E819" s="19">
        <f>[4]Summary!E818</f>
        <v>1</v>
      </c>
      <c r="F819" s="52">
        <f>[4]Summary!F818</f>
        <v>3</v>
      </c>
      <c r="G819" s="20">
        <f t="shared" si="12"/>
        <v>3</v>
      </c>
      <c r="H819" s="20" t="s">
        <v>5406</v>
      </c>
    </row>
    <row r="820" spans="1:8" ht="59.25" customHeight="1">
      <c r="A820" s="21">
        <v>816</v>
      </c>
      <c r="B820" s="22" t="s">
        <v>5799</v>
      </c>
      <c r="C820" s="22" t="s">
        <v>5800</v>
      </c>
      <c r="D820" s="21" t="s">
        <v>1584</v>
      </c>
      <c r="E820" s="24">
        <f>[4]Summary!E819</f>
        <v>5</v>
      </c>
      <c r="F820" s="25">
        <f>[4]Summary!F819</f>
        <v>26</v>
      </c>
      <c r="G820" s="26">
        <f t="shared" si="12"/>
        <v>130</v>
      </c>
      <c r="H820" s="26" t="s">
        <v>5406</v>
      </c>
    </row>
    <row r="821" spans="1:8" ht="59.25" customHeight="1">
      <c r="A821" s="16">
        <v>817</v>
      </c>
      <c r="B821" s="16" t="s">
        <v>5801</v>
      </c>
      <c r="C821" s="17" t="s">
        <v>5802</v>
      </c>
      <c r="D821" s="17" t="s">
        <v>1584</v>
      </c>
      <c r="E821" s="19">
        <f>[4]Summary!E820</f>
        <v>10</v>
      </c>
      <c r="F821" s="52">
        <f>[4]Summary!F820</f>
        <v>3</v>
      </c>
      <c r="G821" s="20">
        <f t="shared" si="12"/>
        <v>30</v>
      </c>
      <c r="H821" s="20" t="s">
        <v>5406</v>
      </c>
    </row>
    <row r="822" spans="1:8" ht="59.25" customHeight="1">
      <c r="A822" s="21">
        <v>818</v>
      </c>
      <c r="B822" s="22" t="s">
        <v>5851</v>
      </c>
      <c r="C822" s="22" t="s">
        <v>5852</v>
      </c>
      <c r="D822" s="21" t="s">
        <v>1584</v>
      </c>
      <c r="E822" s="24">
        <f>[4]Summary!E821</f>
        <v>300</v>
      </c>
      <c r="F822" s="25">
        <f>[4]Summary!F821</f>
        <v>0</v>
      </c>
      <c r="G822" s="26">
        <f t="shared" si="12"/>
        <v>0</v>
      </c>
      <c r="H822" s="26" t="s">
        <v>5407</v>
      </c>
    </row>
    <row r="823" spans="1:8" ht="59.25" customHeight="1">
      <c r="A823" s="16">
        <v>819</v>
      </c>
      <c r="B823" s="16" t="s">
        <v>5880</v>
      </c>
      <c r="C823" s="17" t="s">
        <v>5881</v>
      </c>
      <c r="D823" s="17" t="s">
        <v>1584</v>
      </c>
      <c r="E823" s="19">
        <f>[4]Summary!E822</f>
        <v>2</v>
      </c>
      <c r="F823" s="52">
        <f>[4]Summary!F822</f>
        <v>5</v>
      </c>
      <c r="G823" s="20">
        <f>E823*F823</f>
        <v>10</v>
      </c>
      <c r="H823" s="20" t="s">
        <v>5408</v>
      </c>
    </row>
    <row r="824" spans="1:8" ht="31.15" customHeight="1">
      <c r="A824" s="21">
        <v>820</v>
      </c>
      <c r="B824" s="22" t="s">
        <v>5923</v>
      </c>
      <c r="C824" s="22" t="s">
        <v>5924</v>
      </c>
      <c r="D824" s="21" t="s">
        <v>1584</v>
      </c>
      <c r="E824" s="24">
        <f>[4]Summary!E823</f>
        <v>14</v>
      </c>
      <c r="F824" s="25">
        <f>[4]Summary!F823</f>
        <v>5</v>
      </c>
      <c r="G824" s="26">
        <f>E824*F824</f>
        <v>70</v>
      </c>
      <c r="H824" s="26"/>
    </row>
    <row r="825" spans="1:8" ht="59.25" customHeight="1">
      <c r="A825" s="16">
        <v>821</v>
      </c>
      <c r="B825" s="16" t="s">
        <v>5880</v>
      </c>
      <c r="C825" s="17" t="s">
        <v>5925</v>
      </c>
      <c r="D825" s="17" t="s">
        <v>1584</v>
      </c>
      <c r="E825" s="19">
        <f>[4]Summary!E824</f>
        <v>28</v>
      </c>
      <c r="F825" s="52">
        <f>[4]Summary!F824</f>
        <v>1</v>
      </c>
      <c r="G825" s="20">
        <f>E825*F825</f>
        <v>28</v>
      </c>
      <c r="H825" s="20"/>
    </row>
    <row r="826" spans="1:8" ht="31.15" customHeight="1">
      <c r="A826" s="21">
        <v>822</v>
      </c>
      <c r="B826" s="22" t="s">
        <v>5926</v>
      </c>
      <c r="C826" s="22" t="s">
        <v>5927</v>
      </c>
      <c r="D826" s="21" t="s">
        <v>1584</v>
      </c>
      <c r="E826" s="24">
        <f>[4]Summary!E825</f>
        <v>2.5</v>
      </c>
      <c r="F826" s="25">
        <f>[4]Summary!F825</f>
        <v>15</v>
      </c>
      <c r="G826" s="26">
        <f t="shared" ref="G826" si="13">E826*F826</f>
        <v>37.5</v>
      </c>
      <c r="H826" s="26"/>
    </row>
    <row r="827" spans="1:8" ht="23.25">
      <c r="A827" s="8"/>
      <c r="B827" s="8"/>
      <c r="C827" s="8"/>
      <c r="D827" s="8"/>
      <c r="E827" s="8"/>
      <c r="F827" s="8"/>
      <c r="G827" s="8"/>
      <c r="H827" s="215"/>
    </row>
    <row r="828" spans="1:8" ht="35.25" customHeight="1">
      <c r="A828" s="283" t="s">
        <v>7</v>
      </c>
      <c r="B828" s="283"/>
      <c r="C828" s="283"/>
      <c r="D828" s="283"/>
      <c r="E828" s="283"/>
      <c r="F828" s="229">
        <f>SUM(F5:F826)</f>
        <v>22142.703000000001</v>
      </c>
      <c r="G828" s="198">
        <f>SUM(G5:G826)</f>
        <v>43779.061999999991</v>
      </c>
      <c r="H828" s="215"/>
    </row>
    <row r="829" spans="1:8" ht="21">
      <c r="H829" s="215"/>
    </row>
    <row r="830" spans="1:8" ht="21">
      <c r="H830" s="215"/>
    </row>
    <row r="831" spans="1:8" ht="21">
      <c r="H831" s="215"/>
    </row>
    <row r="832" spans="1:8" ht="21">
      <c r="H832" s="215"/>
    </row>
    <row r="833" spans="8:8" ht="21">
      <c r="H833" s="215"/>
    </row>
    <row r="834" spans="8:8" ht="21">
      <c r="H834" s="215"/>
    </row>
    <row r="835" spans="8:8" ht="21">
      <c r="H835" s="215"/>
    </row>
    <row r="836" spans="8:8" ht="21">
      <c r="H836" s="215"/>
    </row>
  </sheetData>
  <autoFilter ref="A4:H821" xr:uid="{DD11615D-7334-4B7C-8E8B-6607CFAFC0D9}"/>
  <mergeCells count="3">
    <mergeCell ref="A3:H3"/>
    <mergeCell ref="A828:E828"/>
    <mergeCell ref="A2:H2"/>
  </mergeCells>
  <pageMargins left="0.31" right="0.21" top="0.19" bottom="0.28000000000000003" header="0.3" footer="0.3"/>
  <pageSetup paperSize="9" scale="51"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63B10-8825-414D-9CEB-4850A36BDBE5}">
  <sheetPr codeName="Sheet4">
    <pageSetUpPr fitToPage="1"/>
  </sheetPr>
  <dimension ref="A1:H113"/>
  <sheetViews>
    <sheetView zoomScale="71" zoomScaleNormal="71" workbookViewId="0">
      <selection activeCell="I1" sqref="I1:I1048576"/>
    </sheetView>
  </sheetViews>
  <sheetFormatPr defaultRowHeight="15"/>
  <cols>
    <col min="1" max="1" width="9.140625" style="35"/>
    <col min="2" max="2" width="41.140625" style="32" customWidth="1"/>
    <col min="3" max="3" width="50.85546875" style="32" customWidth="1"/>
    <col min="4" max="4" width="11.7109375" style="68" customWidth="1"/>
    <col min="5" max="5" width="16.28515625" customWidth="1"/>
    <col min="6" max="6" width="18.140625" customWidth="1"/>
    <col min="7" max="7" width="20.5703125" customWidth="1"/>
    <col min="8" max="8" width="22.5703125" customWidth="1"/>
  </cols>
  <sheetData>
    <row r="1" spans="1:8" ht="125.25" customHeight="1"/>
    <row r="2" spans="1:8" ht="43.5" customHeight="1">
      <c r="A2" s="269">
        <f ca="1">TODAY()</f>
        <v>46123</v>
      </c>
      <c r="B2" s="269"/>
      <c r="C2" s="269"/>
      <c r="D2" s="269"/>
      <c r="E2" s="269"/>
      <c r="F2" s="269"/>
      <c r="G2" s="269"/>
      <c r="H2" s="269"/>
    </row>
    <row r="3" spans="1:8" ht="30.75" customHeight="1">
      <c r="A3" s="284" t="s">
        <v>1384</v>
      </c>
      <c r="B3" s="284"/>
      <c r="C3" s="284"/>
      <c r="D3" s="284"/>
      <c r="E3" s="284"/>
      <c r="F3" s="284"/>
      <c r="G3" s="284"/>
      <c r="H3" s="284"/>
    </row>
    <row r="4" spans="1:8" ht="75" customHeight="1">
      <c r="A4" s="53" t="s">
        <v>0</v>
      </c>
      <c r="B4" s="54" t="s">
        <v>9</v>
      </c>
      <c r="C4" s="55" t="s">
        <v>10</v>
      </c>
      <c r="D4" s="56" t="s">
        <v>129</v>
      </c>
      <c r="E4" s="57" t="s">
        <v>4412</v>
      </c>
      <c r="F4" s="58" t="s">
        <v>130</v>
      </c>
      <c r="G4" s="59" t="s">
        <v>14</v>
      </c>
      <c r="H4" s="59" t="s">
        <v>1551</v>
      </c>
    </row>
    <row r="5" spans="1:8" ht="46.5">
      <c r="A5" s="60">
        <v>1</v>
      </c>
      <c r="B5" s="1" t="s">
        <v>1385</v>
      </c>
      <c r="C5" s="1" t="s">
        <v>4413</v>
      </c>
      <c r="D5" s="61" t="s">
        <v>5256</v>
      </c>
      <c r="E5" s="62">
        <f>[5]Summary!E4</f>
        <v>0</v>
      </c>
      <c r="F5" s="213">
        <f>[5]Summary!F4</f>
        <v>15</v>
      </c>
      <c r="G5" s="63">
        <f t="shared" ref="G5:G36" si="0">E5*F5</f>
        <v>0</v>
      </c>
      <c r="H5" s="1"/>
    </row>
    <row r="6" spans="1:8" ht="23.25">
      <c r="A6" s="180">
        <v>2</v>
      </c>
      <c r="B6" s="181" t="s">
        <v>1386</v>
      </c>
      <c r="C6" s="181" t="s">
        <v>1387</v>
      </c>
      <c r="D6" s="64" t="s">
        <v>5256</v>
      </c>
      <c r="E6" s="65">
        <f>[5]Summary!E5</f>
        <v>10.9476</v>
      </c>
      <c r="F6" s="214">
        <f>[5]Summary!F5</f>
        <v>24</v>
      </c>
      <c r="G6" s="66">
        <f t="shared" si="0"/>
        <v>262.74239999999998</v>
      </c>
      <c r="H6" s="67"/>
    </row>
    <row r="7" spans="1:8" ht="23.25">
      <c r="A7" s="60">
        <v>3</v>
      </c>
      <c r="B7" s="1" t="s">
        <v>1388</v>
      </c>
      <c r="C7" s="1" t="s">
        <v>1389</v>
      </c>
      <c r="D7" s="61" t="s">
        <v>5256</v>
      </c>
      <c r="E7" s="62">
        <f>[5]Summary!E6</f>
        <v>15</v>
      </c>
      <c r="F7" s="213">
        <f>[5]Summary!F6</f>
        <v>10.41</v>
      </c>
      <c r="G7" s="63">
        <f t="shared" si="0"/>
        <v>156.15</v>
      </c>
      <c r="H7" s="1"/>
    </row>
    <row r="8" spans="1:8" ht="23.25">
      <c r="A8" s="180">
        <v>4</v>
      </c>
      <c r="B8" s="181" t="s">
        <v>1390</v>
      </c>
      <c r="C8" s="181" t="s">
        <v>1391</v>
      </c>
      <c r="D8" s="64" t="s">
        <v>5256</v>
      </c>
      <c r="E8" s="65">
        <f>[5]Summary!E7</f>
        <v>1.95</v>
      </c>
      <c r="F8" s="214">
        <f>[5]Summary!F7</f>
        <v>0</v>
      </c>
      <c r="G8" s="66">
        <f t="shared" si="0"/>
        <v>0</v>
      </c>
      <c r="H8" s="67"/>
    </row>
    <row r="9" spans="1:8" ht="23.25">
      <c r="A9" s="60">
        <v>5</v>
      </c>
      <c r="B9" s="1" t="s">
        <v>1392</v>
      </c>
      <c r="C9" s="1" t="s">
        <v>1393</v>
      </c>
      <c r="D9" s="61" t="s">
        <v>5256</v>
      </c>
      <c r="E9" s="62">
        <f>[5]Summary!E8</f>
        <v>7.0000000000000007E-2</v>
      </c>
      <c r="F9" s="213">
        <f>[5]Summary!F8</f>
        <v>90</v>
      </c>
      <c r="G9" s="63">
        <f t="shared" si="0"/>
        <v>6.3000000000000007</v>
      </c>
      <c r="H9" s="1"/>
    </row>
    <row r="10" spans="1:8" ht="46.5">
      <c r="A10" s="180">
        <v>6</v>
      </c>
      <c r="B10" s="181" t="s">
        <v>1394</v>
      </c>
      <c r="C10" s="181" t="s">
        <v>1395</v>
      </c>
      <c r="D10" s="64" t="s">
        <v>5256</v>
      </c>
      <c r="E10" s="65">
        <f>[5]Summary!E9</f>
        <v>0</v>
      </c>
      <c r="F10" s="214">
        <f>[5]Summary!F9</f>
        <v>34</v>
      </c>
      <c r="G10" s="66">
        <f t="shared" si="0"/>
        <v>0</v>
      </c>
      <c r="H10" s="67"/>
    </row>
    <row r="11" spans="1:8" ht="23.25">
      <c r="A11" s="60">
        <v>7</v>
      </c>
      <c r="B11" s="1" t="s">
        <v>1396</v>
      </c>
      <c r="C11" s="1" t="s">
        <v>4414</v>
      </c>
      <c r="D11" s="61" t="s">
        <v>5256</v>
      </c>
      <c r="E11" s="62">
        <f>[5]Summary!E10</f>
        <v>0.45</v>
      </c>
      <c r="F11" s="213">
        <f>[5]Summary!F10</f>
        <v>2</v>
      </c>
      <c r="G11" s="63">
        <f t="shared" si="0"/>
        <v>0.9</v>
      </c>
      <c r="H11" s="1"/>
    </row>
    <row r="12" spans="1:8" ht="23.25">
      <c r="A12" s="180">
        <v>8</v>
      </c>
      <c r="B12" s="181" t="s">
        <v>1397</v>
      </c>
      <c r="C12" s="181" t="s">
        <v>1398</v>
      </c>
      <c r="D12" s="64" t="s">
        <v>131</v>
      </c>
      <c r="E12" s="65">
        <f>[5]Summary!E11</f>
        <v>8</v>
      </c>
      <c r="F12" s="214">
        <f>[5]Summary!F11</f>
        <v>1.5499999999999998</v>
      </c>
      <c r="G12" s="66">
        <f t="shared" si="0"/>
        <v>12.399999999999999</v>
      </c>
      <c r="H12" s="67"/>
    </row>
    <row r="13" spans="1:8" ht="23.25">
      <c r="A13" s="60">
        <v>9</v>
      </c>
      <c r="B13" s="1" t="s">
        <v>1399</v>
      </c>
      <c r="C13" s="1" t="s">
        <v>1400</v>
      </c>
      <c r="D13" s="61" t="s">
        <v>5256</v>
      </c>
      <c r="E13" s="62">
        <f>[5]Summary!E12</f>
        <v>19</v>
      </c>
      <c r="F13" s="213">
        <f>[5]Summary!F12</f>
        <v>35</v>
      </c>
      <c r="G13" s="63">
        <f t="shared" si="0"/>
        <v>665</v>
      </c>
      <c r="H13" s="1"/>
    </row>
    <row r="14" spans="1:8" ht="23.25">
      <c r="A14" s="180">
        <v>10</v>
      </c>
      <c r="B14" s="181" t="s">
        <v>1401</v>
      </c>
      <c r="C14" s="181" t="s">
        <v>1402</v>
      </c>
      <c r="D14" s="64" t="s">
        <v>5256</v>
      </c>
      <c r="E14" s="65">
        <f>[5]Summary!E13</f>
        <v>1.5</v>
      </c>
      <c r="F14" s="214">
        <f>[5]Summary!F13</f>
        <v>93</v>
      </c>
      <c r="G14" s="66">
        <f t="shared" si="0"/>
        <v>139.5</v>
      </c>
      <c r="H14" s="67"/>
    </row>
    <row r="15" spans="1:8" ht="46.5">
      <c r="A15" s="60">
        <v>11</v>
      </c>
      <c r="B15" s="1" t="s">
        <v>1403</v>
      </c>
      <c r="C15" s="1" t="s">
        <v>1404</v>
      </c>
      <c r="D15" s="61" t="s">
        <v>5256</v>
      </c>
      <c r="E15" s="62">
        <f>[5]Summary!E14</f>
        <v>3</v>
      </c>
      <c r="F15" s="213">
        <f>[5]Summary!F14</f>
        <v>47</v>
      </c>
      <c r="G15" s="63">
        <f t="shared" si="0"/>
        <v>141</v>
      </c>
      <c r="H15" s="1"/>
    </row>
    <row r="16" spans="1:8" ht="46.5">
      <c r="A16" s="180">
        <v>12</v>
      </c>
      <c r="B16" s="181" t="s">
        <v>1405</v>
      </c>
      <c r="C16" s="181" t="s">
        <v>1406</v>
      </c>
      <c r="D16" s="64" t="s">
        <v>5256</v>
      </c>
      <c r="E16" s="65">
        <f>[5]Summary!E15</f>
        <v>3</v>
      </c>
      <c r="F16" s="214">
        <f>[5]Summary!F15</f>
        <v>14</v>
      </c>
      <c r="G16" s="66">
        <f t="shared" si="0"/>
        <v>42</v>
      </c>
      <c r="H16" s="67"/>
    </row>
    <row r="17" spans="1:8" ht="46.5">
      <c r="A17" s="60">
        <v>13</v>
      </c>
      <c r="B17" s="1" t="s">
        <v>1407</v>
      </c>
      <c r="C17" s="1" t="s">
        <v>1408</v>
      </c>
      <c r="D17" s="61" t="s">
        <v>5256</v>
      </c>
      <c r="E17" s="62">
        <f>[5]Summary!E16</f>
        <v>0.5</v>
      </c>
      <c r="F17" s="213">
        <f>[5]Summary!F16</f>
        <v>85</v>
      </c>
      <c r="G17" s="63">
        <f t="shared" si="0"/>
        <v>42.5</v>
      </c>
      <c r="H17" s="1"/>
    </row>
    <row r="18" spans="1:8" ht="46.5">
      <c r="A18" s="180">
        <v>14</v>
      </c>
      <c r="B18" s="181" t="s">
        <v>1409</v>
      </c>
      <c r="C18" s="181" t="s">
        <v>1410</v>
      </c>
      <c r="D18" s="64" t="s">
        <v>5256</v>
      </c>
      <c r="E18" s="65">
        <f>[5]Summary!E17</f>
        <v>0.35</v>
      </c>
      <c r="F18" s="214">
        <f>[5]Summary!F17</f>
        <v>72</v>
      </c>
      <c r="G18" s="66">
        <f t="shared" si="0"/>
        <v>25.2</v>
      </c>
      <c r="H18" s="67"/>
    </row>
    <row r="19" spans="1:8" ht="46.5">
      <c r="A19" s="60">
        <v>15</v>
      </c>
      <c r="B19" s="1" t="s">
        <v>1411</v>
      </c>
      <c r="C19" s="1" t="s">
        <v>1412</v>
      </c>
      <c r="D19" s="61" t="s">
        <v>5256</v>
      </c>
      <c r="E19" s="62">
        <f>[5]Summary!E18</f>
        <v>0.75</v>
      </c>
      <c r="F19" s="213">
        <f>[5]Summary!F18</f>
        <v>11</v>
      </c>
      <c r="G19" s="63">
        <f t="shared" si="0"/>
        <v>8.25</v>
      </c>
      <c r="H19" s="1"/>
    </row>
    <row r="20" spans="1:8" ht="23.25">
      <c r="A20" s="180">
        <v>16</v>
      </c>
      <c r="B20" s="181" t="s">
        <v>1413</v>
      </c>
      <c r="C20" s="181" t="s">
        <v>1414</v>
      </c>
      <c r="D20" s="64" t="s">
        <v>5256</v>
      </c>
      <c r="E20" s="65">
        <f>[5]Summary!E19</f>
        <v>3</v>
      </c>
      <c r="F20" s="214">
        <f>[5]Summary!F19</f>
        <v>36</v>
      </c>
      <c r="G20" s="66">
        <f t="shared" si="0"/>
        <v>108</v>
      </c>
      <c r="H20" s="67"/>
    </row>
    <row r="21" spans="1:8" ht="23.25">
      <c r="A21" s="60">
        <v>17</v>
      </c>
      <c r="B21" s="1" t="s">
        <v>1415</v>
      </c>
      <c r="C21" s="1" t="s">
        <v>1416</v>
      </c>
      <c r="D21" s="61" t="s">
        <v>5256</v>
      </c>
      <c r="E21" s="62">
        <f>[5]Summary!E20</f>
        <v>2.25</v>
      </c>
      <c r="F21" s="213">
        <f>[5]Summary!F20</f>
        <v>24</v>
      </c>
      <c r="G21" s="63">
        <f t="shared" si="0"/>
        <v>54</v>
      </c>
      <c r="H21" s="1"/>
    </row>
    <row r="22" spans="1:8" ht="23.25">
      <c r="A22" s="180">
        <v>18</v>
      </c>
      <c r="B22" s="181" t="s">
        <v>1417</v>
      </c>
      <c r="C22" s="181" t="s">
        <v>1418</v>
      </c>
      <c r="D22" s="64" t="s">
        <v>5256</v>
      </c>
      <c r="E22" s="65">
        <f>[5]Summary!E21</f>
        <v>2.25</v>
      </c>
      <c r="F22" s="214">
        <f>[5]Summary!F21</f>
        <v>64</v>
      </c>
      <c r="G22" s="66">
        <f t="shared" si="0"/>
        <v>144</v>
      </c>
      <c r="H22" s="67"/>
    </row>
    <row r="23" spans="1:8" ht="46.5">
      <c r="A23" s="60">
        <v>19</v>
      </c>
      <c r="B23" s="1" t="s">
        <v>1419</v>
      </c>
      <c r="C23" s="1" t="s">
        <v>1420</v>
      </c>
      <c r="D23" s="61" t="s">
        <v>5256</v>
      </c>
      <c r="E23" s="62">
        <f>[5]Summary!E22</f>
        <v>6.5</v>
      </c>
      <c r="F23" s="213">
        <f>[5]Summary!F22</f>
        <v>0</v>
      </c>
      <c r="G23" s="63">
        <f t="shared" si="0"/>
        <v>0</v>
      </c>
      <c r="H23" s="1"/>
    </row>
    <row r="24" spans="1:8" ht="23.25">
      <c r="A24" s="180">
        <v>20</v>
      </c>
      <c r="B24" s="181" t="s">
        <v>1421</v>
      </c>
      <c r="C24" s="181" t="s">
        <v>1422</v>
      </c>
      <c r="D24" s="64" t="s">
        <v>5256</v>
      </c>
      <c r="E24" s="65">
        <f>[5]Summary!E23</f>
        <v>3.5</v>
      </c>
      <c r="F24" s="214">
        <f>[5]Summary!F23</f>
        <v>0</v>
      </c>
      <c r="G24" s="66">
        <f t="shared" si="0"/>
        <v>0</v>
      </c>
      <c r="H24" s="67"/>
    </row>
    <row r="25" spans="1:8" ht="23.25">
      <c r="A25" s="60">
        <v>21</v>
      </c>
      <c r="B25" s="1" t="s">
        <v>1423</v>
      </c>
      <c r="C25" s="1" t="s">
        <v>1424</v>
      </c>
      <c r="D25" s="61" t="s">
        <v>5256</v>
      </c>
      <c r="E25" s="62">
        <f>[5]Summary!E24</f>
        <v>2</v>
      </c>
      <c r="F25" s="213">
        <f>[5]Summary!F24</f>
        <v>6</v>
      </c>
      <c r="G25" s="63">
        <f t="shared" si="0"/>
        <v>12</v>
      </c>
      <c r="H25" s="1"/>
    </row>
    <row r="26" spans="1:8" ht="23.25">
      <c r="A26" s="180">
        <v>22</v>
      </c>
      <c r="B26" s="181" t="s">
        <v>1425</v>
      </c>
      <c r="C26" s="181" t="s">
        <v>1426</v>
      </c>
      <c r="D26" s="64" t="s">
        <v>5256</v>
      </c>
      <c r="E26" s="65">
        <f>[5]Summary!E25</f>
        <v>0.85</v>
      </c>
      <c r="F26" s="214">
        <f>[5]Summary!F25</f>
        <v>16</v>
      </c>
      <c r="G26" s="66">
        <f t="shared" si="0"/>
        <v>13.6</v>
      </c>
      <c r="H26" s="67"/>
    </row>
    <row r="27" spans="1:8" ht="23.25">
      <c r="A27" s="60">
        <v>23</v>
      </c>
      <c r="B27" s="1" t="s">
        <v>1427</v>
      </c>
      <c r="C27" s="1" t="s">
        <v>1428</v>
      </c>
      <c r="D27" s="61" t="s">
        <v>5256</v>
      </c>
      <c r="E27" s="62">
        <f>[5]Summary!E26</f>
        <v>0.8</v>
      </c>
      <c r="F27" s="213">
        <f>[5]Summary!F26</f>
        <v>0</v>
      </c>
      <c r="G27" s="63">
        <f t="shared" si="0"/>
        <v>0</v>
      </c>
      <c r="H27" s="1"/>
    </row>
    <row r="28" spans="1:8" ht="23.25">
      <c r="A28" s="180">
        <v>24</v>
      </c>
      <c r="B28" s="181" t="s">
        <v>1429</v>
      </c>
      <c r="C28" s="181" t="s">
        <v>1430</v>
      </c>
      <c r="D28" s="64" t="s">
        <v>5256</v>
      </c>
      <c r="E28" s="65">
        <f>[5]Summary!E27</f>
        <v>0.85</v>
      </c>
      <c r="F28" s="214">
        <f>[5]Summary!F27</f>
        <v>0</v>
      </c>
      <c r="G28" s="66">
        <f t="shared" si="0"/>
        <v>0</v>
      </c>
      <c r="H28" s="67"/>
    </row>
    <row r="29" spans="1:8" ht="46.5">
      <c r="A29" s="60">
        <v>25</v>
      </c>
      <c r="B29" s="1" t="s">
        <v>1431</v>
      </c>
      <c r="C29" s="1" t="s">
        <v>1432</v>
      </c>
      <c r="D29" s="61" t="s">
        <v>5256</v>
      </c>
      <c r="E29" s="62">
        <f>[5]Summary!E28</f>
        <v>3</v>
      </c>
      <c r="F29" s="213">
        <f>[5]Summary!F28</f>
        <v>0</v>
      </c>
      <c r="G29" s="63">
        <f t="shared" si="0"/>
        <v>0</v>
      </c>
      <c r="H29" s="1"/>
    </row>
    <row r="30" spans="1:8" ht="23.25">
      <c r="A30" s="180">
        <v>26</v>
      </c>
      <c r="B30" s="181" t="s">
        <v>1433</v>
      </c>
      <c r="C30" s="181" t="s">
        <v>1434</v>
      </c>
      <c r="D30" s="64" t="s">
        <v>5256</v>
      </c>
      <c r="E30" s="65">
        <f>[5]Summary!E29</f>
        <v>2</v>
      </c>
      <c r="F30" s="214">
        <f>[5]Summary!F29</f>
        <v>22</v>
      </c>
      <c r="G30" s="66">
        <f t="shared" si="0"/>
        <v>44</v>
      </c>
      <c r="H30" s="67"/>
    </row>
    <row r="31" spans="1:8" ht="23.25">
      <c r="A31" s="60">
        <v>27</v>
      </c>
      <c r="B31" s="1" t="s">
        <v>1435</v>
      </c>
      <c r="C31" s="1" t="s">
        <v>1436</v>
      </c>
      <c r="D31" s="61" t="s">
        <v>5256</v>
      </c>
      <c r="E31" s="62">
        <f>[5]Summary!E30</f>
        <v>2</v>
      </c>
      <c r="F31" s="213">
        <f>[5]Summary!F30</f>
        <v>27</v>
      </c>
      <c r="G31" s="63">
        <f t="shared" si="0"/>
        <v>54</v>
      </c>
      <c r="H31" s="1"/>
    </row>
    <row r="32" spans="1:8" ht="23.25">
      <c r="A32" s="180">
        <v>28</v>
      </c>
      <c r="B32" s="181" t="s">
        <v>1437</v>
      </c>
      <c r="C32" s="181" t="s">
        <v>1438</v>
      </c>
      <c r="D32" s="64" t="s">
        <v>5256</v>
      </c>
      <c r="E32" s="65">
        <f>[5]Summary!E31</f>
        <v>2</v>
      </c>
      <c r="F32" s="214">
        <f>[5]Summary!F31</f>
        <v>22</v>
      </c>
      <c r="G32" s="66">
        <f t="shared" si="0"/>
        <v>44</v>
      </c>
      <c r="H32" s="67"/>
    </row>
    <row r="33" spans="1:8" ht="23.25">
      <c r="A33" s="60">
        <v>29</v>
      </c>
      <c r="B33" s="1" t="s">
        <v>1439</v>
      </c>
      <c r="C33" s="1" t="s">
        <v>1440</v>
      </c>
      <c r="D33" s="61" t="s">
        <v>5256</v>
      </c>
      <c r="E33" s="62">
        <f>[5]Summary!E32</f>
        <v>2</v>
      </c>
      <c r="F33" s="213">
        <f>[5]Summary!F32</f>
        <v>25</v>
      </c>
      <c r="G33" s="63">
        <f t="shared" si="0"/>
        <v>50</v>
      </c>
      <c r="H33" s="1"/>
    </row>
    <row r="34" spans="1:8" ht="23.25">
      <c r="A34" s="180">
        <v>30</v>
      </c>
      <c r="B34" s="181" t="s">
        <v>1441</v>
      </c>
      <c r="C34" s="181" t="s">
        <v>1442</v>
      </c>
      <c r="D34" s="64" t="s">
        <v>5256</v>
      </c>
      <c r="E34" s="65">
        <f>[5]Summary!E33</f>
        <v>3.75</v>
      </c>
      <c r="F34" s="214">
        <f>[5]Summary!F33</f>
        <v>25.4</v>
      </c>
      <c r="G34" s="66">
        <f t="shared" si="0"/>
        <v>95.25</v>
      </c>
      <c r="H34" s="67"/>
    </row>
    <row r="35" spans="1:8" ht="23.25">
      <c r="A35" s="60">
        <v>31</v>
      </c>
      <c r="B35" s="1" t="s">
        <v>1443</v>
      </c>
      <c r="C35" s="1" t="s">
        <v>1444</v>
      </c>
      <c r="D35" s="61" t="s">
        <v>5256</v>
      </c>
      <c r="E35" s="62">
        <f>[5]Summary!E34</f>
        <v>0.62</v>
      </c>
      <c r="F35" s="213">
        <f>[5]Summary!F34</f>
        <v>0</v>
      </c>
      <c r="G35" s="63">
        <f t="shared" si="0"/>
        <v>0</v>
      </c>
      <c r="H35" s="1"/>
    </row>
    <row r="36" spans="1:8" ht="23.25">
      <c r="A36" s="180">
        <v>32</v>
      </c>
      <c r="B36" s="181" t="s">
        <v>1445</v>
      </c>
      <c r="C36" s="181" t="s">
        <v>1446</v>
      </c>
      <c r="D36" s="64" t="s">
        <v>5256</v>
      </c>
      <c r="E36" s="65">
        <f>[5]Summary!E35</f>
        <v>0.6</v>
      </c>
      <c r="F36" s="214">
        <f>[5]Summary!F35</f>
        <v>23</v>
      </c>
      <c r="G36" s="66">
        <f t="shared" si="0"/>
        <v>13.799999999999999</v>
      </c>
      <c r="H36" s="67"/>
    </row>
    <row r="37" spans="1:8" ht="23.25">
      <c r="A37" s="60">
        <v>33</v>
      </c>
      <c r="B37" s="1" t="s">
        <v>1447</v>
      </c>
      <c r="C37" s="1" t="s">
        <v>1448</v>
      </c>
      <c r="D37" s="61" t="s">
        <v>5256</v>
      </c>
      <c r="E37" s="62">
        <f>[5]Summary!E36</f>
        <v>0.28000000000000003</v>
      </c>
      <c r="F37" s="213">
        <f>[5]Summary!F36</f>
        <v>0</v>
      </c>
      <c r="G37" s="63">
        <f t="shared" ref="G37:G68" si="1">E37*F37</f>
        <v>0</v>
      </c>
      <c r="H37" s="1"/>
    </row>
    <row r="38" spans="1:8" ht="23.25">
      <c r="A38" s="180">
        <v>34</v>
      </c>
      <c r="B38" s="181" t="s">
        <v>1449</v>
      </c>
      <c r="C38" s="181" t="s">
        <v>1450</v>
      </c>
      <c r="D38" s="64" t="s">
        <v>5256</v>
      </c>
      <c r="E38" s="65">
        <f>[5]Summary!E37</f>
        <v>3.7</v>
      </c>
      <c r="F38" s="214">
        <f>[5]Summary!F37</f>
        <v>0</v>
      </c>
      <c r="G38" s="66">
        <f t="shared" si="1"/>
        <v>0</v>
      </c>
      <c r="H38" s="67"/>
    </row>
    <row r="39" spans="1:8" ht="23.25">
      <c r="A39" s="60">
        <v>35</v>
      </c>
      <c r="B39" s="1" t="s">
        <v>1451</v>
      </c>
      <c r="C39" s="1" t="s">
        <v>1452</v>
      </c>
      <c r="D39" s="61" t="s">
        <v>5256</v>
      </c>
      <c r="E39" s="62">
        <f>[5]Summary!E38</f>
        <v>2.5</v>
      </c>
      <c r="F39" s="213">
        <f>[5]Summary!F38</f>
        <v>0</v>
      </c>
      <c r="G39" s="63">
        <f t="shared" si="1"/>
        <v>0</v>
      </c>
      <c r="H39" s="1"/>
    </row>
    <row r="40" spans="1:8" ht="23.25">
      <c r="A40" s="180">
        <v>36</v>
      </c>
      <c r="B40" s="181" t="s">
        <v>1453</v>
      </c>
      <c r="C40" s="181" t="s">
        <v>1454</v>
      </c>
      <c r="D40" s="64" t="s">
        <v>5256</v>
      </c>
      <c r="E40" s="65">
        <f>[5]Summary!E39</f>
        <v>0</v>
      </c>
      <c r="F40" s="214">
        <f>[5]Summary!F39</f>
        <v>14</v>
      </c>
      <c r="G40" s="66">
        <f t="shared" si="1"/>
        <v>0</v>
      </c>
      <c r="H40" s="67"/>
    </row>
    <row r="41" spans="1:8" ht="23.25">
      <c r="A41" s="60">
        <v>37</v>
      </c>
      <c r="B41" s="1" t="s">
        <v>1455</v>
      </c>
      <c r="C41" s="1" t="s">
        <v>1456</v>
      </c>
      <c r="D41" s="61" t="s">
        <v>5256</v>
      </c>
      <c r="E41" s="62">
        <f>[5]Summary!E40</f>
        <v>6</v>
      </c>
      <c r="F41" s="213">
        <f>[5]Summary!F40</f>
        <v>8</v>
      </c>
      <c r="G41" s="63">
        <f t="shared" si="1"/>
        <v>48</v>
      </c>
      <c r="H41" s="1"/>
    </row>
    <row r="42" spans="1:8" ht="23.25">
      <c r="A42" s="180">
        <v>38</v>
      </c>
      <c r="B42" s="181" t="s">
        <v>1457</v>
      </c>
      <c r="C42" s="181" t="s">
        <v>1458</v>
      </c>
      <c r="D42" s="64" t="s">
        <v>5256</v>
      </c>
      <c r="E42" s="65">
        <f>[5]Summary!E41</f>
        <v>24</v>
      </c>
      <c r="F42" s="214">
        <f>[5]Summary!F41</f>
        <v>19</v>
      </c>
      <c r="G42" s="66">
        <f t="shared" si="1"/>
        <v>456</v>
      </c>
      <c r="H42" s="67"/>
    </row>
    <row r="43" spans="1:8" ht="23.25">
      <c r="A43" s="60">
        <v>39</v>
      </c>
      <c r="B43" s="1" t="s">
        <v>1459</v>
      </c>
      <c r="C43" s="1" t="s">
        <v>4415</v>
      </c>
      <c r="D43" s="61" t="s">
        <v>5256</v>
      </c>
      <c r="E43" s="62">
        <f>[5]Summary!E42</f>
        <v>4</v>
      </c>
      <c r="F43" s="213">
        <f>[5]Summary!F42</f>
        <v>3</v>
      </c>
      <c r="G43" s="63">
        <f t="shared" si="1"/>
        <v>12</v>
      </c>
      <c r="H43" s="1"/>
    </row>
    <row r="44" spans="1:8" ht="23.25">
      <c r="A44" s="180">
        <v>40</v>
      </c>
      <c r="B44" s="181" t="s">
        <v>1460</v>
      </c>
      <c r="C44" s="181" t="s">
        <v>1461</v>
      </c>
      <c r="D44" s="64" t="s">
        <v>5256</v>
      </c>
      <c r="E44" s="65">
        <f>[5]Summary!E43</f>
        <v>12.28</v>
      </c>
      <c r="F44" s="214">
        <f>[5]Summary!F43</f>
        <v>0</v>
      </c>
      <c r="G44" s="66">
        <f t="shared" si="1"/>
        <v>0</v>
      </c>
      <c r="H44" s="67"/>
    </row>
    <row r="45" spans="1:8" ht="23.25">
      <c r="A45" s="60">
        <v>41</v>
      </c>
      <c r="B45" s="1" t="s">
        <v>1462</v>
      </c>
      <c r="C45" s="1" t="s">
        <v>1463</v>
      </c>
      <c r="D45" s="61" t="s">
        <v>5256</v>
      </c>
      <c r="E45" s="62">
        <f>[5]Summary!E44</f>
        <v>0</v>
      </c>
      <c r="F45" s="213">
        <f>[5]Summary!F44</f>
        <v>2</v>
      </c>
      <c r="G45" s="63">
        <f t="shared" si="1"/>
        <v>0</v>
      </c>
      <c r="H45" s="1"/>
    </row>
    <row r="46" spans="1:8" ht="23.25">
      <c r="A46" s="180">
        <v>42</v>
      </c>
      <c r="B46" s="181" t="s">
        <v>1464</v>
      </c>
      <c r="C46" s="181" t="s">
        <v>1465</v>
      </c>
      <c r="D46" s="64" t="s">
        <v>5256</v>
      </c>
      <c r="E46" s="65">
        <f>[5]Summary!E45</f>
        <v>0</v>
      </c>
      <c r="F46" s="214">
        <f>[5]Summary!F45</f>
        <v>85</v>
      </c>
      <c r="G46" s="66">
        <f t="shared" si="1"/>
        <v>0</v>
      </c>
      <c r="H46" s="67"/>
    </row>
    <row r="47" spans="1:8" ht="23.25">
      <c r="A47" s="60">
        <v>43</v>
      </c>
      <c r="B47" s="1" t="s">
        <v>1466</v>
      </c>
      <c r="C47" s="1" t="s">
        <v>1467</v>
      </c>
      <c r="D47" s="61" t="s">
        <v>5256</v>
      </c>
      <c r="E47" s="62">
        <f>[5]Summary!E46</f>
        <v>0.4</v>
      </c>
      <c r="F47" s="213">
        <f>[5]Summary!F46</f>
        <v>43</v>
      </c>
      <c r="G47" s="63">
        <f t="shared" si="1"/>
        <v>17.2</v>
      </c>
      <c r="H47" s="1"/>
    </row>
    <row r="48" spans="1:8" ht="23.25">
      <c r="A48" s="180">
        <v>44</v>
      </c>
      <c r="B48" s="181" t="s">
        <v>4416</v>
      </c>
      <c r="C48" s="181" t="s">
        <v>4417</v>
      </c>
      <c r="D48" s="64" t="s">
        <v>5256</v>
      </c>
      <c r="E48" s="65">
        <f>[5]Summary!E47</f>
        <v>0.4</v>
      </c>
      <c r="F48" s="214">
        <f>[5]Summary!F47</f>
        <v>1323.84</v>
      </c>
      <c r="G48" s="66">
        <f t="shared" si="1"/>
        <v>529.53599999999994</v>
      </c>
      <c r="H48" s="67"/>
    </row>
    <row r="49" spans="1:8" ht="23.25">
      <c r="A49" s="60">
        <v>45</v>
      </c>
      <c r="B49" s="1" t="s">
        <v>1468</v>
      </c>
      <c r="C49" s="1" t="s">
        <v>1469</v>
      </c>
      <c r="D49" s="61" t="s">
        <v>5256</v>
      </c>
      <c r="E49" s="62">
        <f>[5]Summary!E48</f>
        <v>14</v>
      </c>
      <c r="F49" s="213">
        <f>[5]Summary!F48</f>
        <v>0</v>
      </c>
      <c r="G49" s="63">
        <f t="shared" si="1"/>
        <v>0</v>
      </c>
      <c r="H49" s="1"/>
    </row>
    <row r="50" spans="1:8" ht="23.25">
      <c r="A50" s="180">
        <v>46</v>
      </c>
      <c r="B50" s="181" t="s">
        <v>1470</v>
      </c>
      <c r="C50" s="181" t="s">
        <v>1471</v>
      </c>
      <c r="D50" s="64" t="s">
        <v>5256</v>
      </c>
      <c r="E50" s="65">
        <f>[5]Summary!E49</f>
        <v>35</v>
      </c>
      <c r="F50" s="214">
        <f>[5]Summary!F49</f>
        <v>1.1799999999999997</v>
      </c>
      <c r="G50" s="66">
        <f t="shared" si="1"/>
        <v>41.29999999999999</v>
      </c>
      <c r="H50" s="67"/>
    </row>
    <row r="51" spans="1:8" ht="23.25">
      <c r="A51" s="60">
        <v>47</v>
      </c>
      <c r="B51" s="1" t="s">
        <v>1472</v>
      </c>
      <c r="C51" s="1" t="s">
        <v>1473</v>
      </c>
      <c r="D51" s="61" t="s">
        <v>131</v>
      </c>
      <c r="E51" s="62">
        <f>[5]Summary!E50</f>
        <v>1</v>
      </c>
      <c r="F51" s="213">
        <f>[5]Summary!F50</f>
        <v>1</v>
      </c>
      <c r="G51" s="63">
        <f t="shared" si="1"/>
        <v>1</v>
      </c>
      <c r="H51" s="1"/>
    </row>
    <row r="52" spans="1:8" ht="23.25">
      <c r="A52" s="180">
        <v>48</v>
      </c>
      <c r="B52" s="181" t="s">
        <v>1474</v>
      </c>
      <c r="C52" s="181" t="s">
        <v>1475</v>
      </c>
      <c r="D52" s="64" t="s">
        <v>5256</v>
      </c>
      <c r="E52" s="65">
        <f>[5]Summary!E51</f>
        <v>3</v>
      </c>
      <c r="F52" s="214">
        <f>[5]Summary!F51</f>
        <v>50</v>
      </c>
      <c r="G52" s="66">
        <f t="shared" si="1"/>
        <v>150</v>
      </c>
      <c r="H52" s="67"/>
    </row>
    <row r="53" spans="1:8" ht="23.25">
      <c r="A53" s="60">
        <v>49</v>
      </c>
      <c r="B53" s="1" t="s">
        <v>1476</v>
      </c>
      <c r="C53" s="1" t="s">
        <v>1477</v>
      </c>
      <c r="D53" s="61" t="s">
        <v>5256</v>
      </c>
      <c r="E53" s="62">
        <f>[5]Summary!E52</f>
        <v>0</v>
      </c>
      <c r="F53" s="213">
        <f>[5]Summary!F52</f>
        <v>1</v>
      </c>
      <c r="G53" s="63">
        <f t="shared" si="1"/>
        <v>0</v>
      </c>
      <c r="H53" s="1"/>
    </row>
    <row r="54" spans="1:8" ht="23.25">
      <c r="A54" s="180">
        <v>50</v>
      </c>
      <c r="B54" s="181" t="s">
        <v>1478</v>
      </c>
      <c r="C54" s="181" t="s">
        <v>1479</v>
      </c>
      <c r="D54" s="64" t="s">
        <v>5256</v>
      </c>
      <c r="E54" s="65">
        <f>[5]Summary!E53</f>
        <v>0</v>
      </c>
      <c r="F54" s="214">
        <f>[5]Summary!F53</f>
        <v>20</v>
      </c>
      <c r="G54" s="66">
        <f t="shared" si="1"/>
        <v>0</v>
      </c>
      <c r="H54" s="67"/>
    </row>
    <row r="55" spans="1:8" ht="23.25">
      <c r="A55" s="60">
        <v>51</v>
      </c>
      <c r="B55" s="1" t="s">
        <v>1480</v>
      </c>
      <c r="C55" s="1" t="s">
        <v>1481</v>
      </c>
      <c r="D55" s="61" t="s">
        <v>5256</v>
      </c>
      <c r="E55" s="62">
        <f>[5]Summary!E54</f>
        <v>1</v>
      </c>
      <c r="F55" s="213">
        <f>[5]Summary!F54</f>
        <v>85</v>
      </c>
      <c r="G55" s="63">
        <f t="shared" si="1"/>
        <v>85</v>
      </c>
      <c r="H55" s="1"/>
    </row>
    <row r="56" spans="1:8" ht="23.25">
      <c r="A56" s="180">
        <v>52</v>
      </c>
      <c r="B56" s="181" t="s">
        <v>1482</v>
      </c>
      <c r="C56" s="181" t="s">
        <v>1483</v>
      </c>
      <c r="D56" s="64" t="s">
        <v>5256</v>
      </c>
      <c r="E56" s="65">
        <f>[5]Summary!E55</f>
        <v>0</v>
      </c>
      <c r="F56" s="214">
        <f>[5]Summary!F55</f>
        <v>4</v>
      </c>
      <c r="G56" s="66">
        <f t="shared" si="1"/>
        <v>0</v>
      </c>
      <c r="H56" s="67"/>
    </row>
    <row r="57" spans="1:8" ht="23.25">
      <c r="A57" s="60">
        <v>53</v>
      </c>
      <c r="B57" s="1" t="s">
        <v>1484</v>
      </c>
      <c r="C57" s="1" t="s">
        <v>1485</v>
      </c>
      <c r="D57" s="61" t="s">
        <v>5256</v>
      </c>
      <c r="E57" s="62">
        <f>[5]Summary!E56</f>
        <v>1</v>
      </c>
      <c r="F57" s="213">
        <f>[5]Summary!F56</f>
        <v>2</v>
      </c>
      <c r="G57" s="63">
        <f t="shared" si="1"/>
        <v>2</v>
      </c>
      <c r="H57" s="1"/>
    </row>
    <row r="58" spans="1:8" ht="23.25">
      <c r="A58" s="180">
        <v>54</v>
      </c>
      <c r="B58" s="181" t="s">
        <v>1486</v>
      </c>
      <c r="C58" s="181" t="s">
        <v>1487</v>
      </c>
      <c r="D58" s="64" t="s">
        <v>5256</v>
      </c>
      <c r="E58" s="65">
        <f>[5]Summary!E57</f>
        <v>0</v>
      </c>
      <c r="F58" s="214">
        <f>[5]Summary!F57</f>
        <v>33</v>
      </c>
      <c r="G58" s="66">
        <f t="shared" si="1"/>
        <v>0</v>
      </c>
      <c r="H58" s="67"/>
    </row>
    <row r="59" spans="1:8" ht="23.25">
      <c r="A59" s="60">
        <v>55</v>
      </c>
      <c r="B59" s="1" t="s">
        <v>1488</v>
      </c>
      <c r="C59" s="1" t="s">
        <v>1489</v>
      </c>
      <c r="D59" s="61" t="s">
        <v>5256</v>
      </c>
      <c r="E59" s="62">
        <f>[5]Summary!E58</f>
        <v>15.99</v>
      </c>
      <c r="F59" s="213">
        <f>[5]Summary!F58</f>
        <v>10.503</v>
      </c>
      <c r="G59" s="63">
        <f t="shared" si="1"/>
        <v>167.94297</v>
      </c>
      <c r="H59" s="1"/>
    </row>
    <row r="60" spans="1:8" ht="23.25">
      <c r="A60" s="180">
        <v>56</v>
      </c>
      <c r="B60" s="181" t="s">
        <v>1490</v>
      </c>
      <c r="C60" s="181" t="s">
        <v>1491</v>
      </c>
      <c r="D60" s="64" t="s">
        <v>5256</v>
      </c>
      <c r="E60" s="65">
        <f>[5]Summary!E59</f>
        <v>10.95</v>
      </c>
      <c r="F60" s="214">
        <f>[5]Summary!F59</f>
        <v>14.332999999999998</v>
      </c>
      <c r="G60" s="66">
        <f t="shared" si="1"/>
        <v>156.94634999999997</v>
      </c>
      <c r="H60" s="67"/>
    </row>
    <row r="61" spans="1:8" ht="23.25">
      <c r="A61" s="60">
        <v>57</v>
      </c>
      <c r="B61" s="1" t="s">
        <v>1492</v>
      </c>
      <c r="C61" s="1" t="s">
        <v>1493</v>
      </c>
      <c r="D61" s="61" t="s">
        <v>5256</v>
      </c>
      <c r="E61" s="62">
        <f>[5]Summary!E60</f>
        <v>2.5</v>
      </c>
      <c r="F61" s="213">
        <f>[5]Summary!F60</f>
        <v>6</v>
      </c>
      <c r="G61" s="63">
        <f t="shared" si="1"/>
        <v>15</v>
      </c>
      <c r="H61" s="1"/>
    </row>
    <row r="62" spans="1:8" ht="23.25">
      <c r="A62" s="180">
        <v>58</v>
      </c>
      <c r="B62" s="181" t="s">
        <v>1494</v>
      </c>
      <c r="C62" s="181" t="s">
        <v>1495</v>
      </c>
      <c r="D62" s="64" t="s">
        <v>5256</v>
      </c>
      <c r="E62" s="65">
        <f>[5]Summary!E61</f>
        <v>0</v>
      </c>
      <c r="F62" s="214">
        <f>[5]Summary!F61</f>
        <v>44</v>
      </c>
      <c r="G62" s="66">
        <f t="shared" si="1"/>
        <v>0</v>
      </c>
      <c r="H62" s="67"/>
    </row>
    <row r="63" spans="1:8" ht="23.25">
      <c r="A63" s="60">
        <v>59</v>
      </c>
      <c r="B63" s="1" t="s">
        <v>1496</v>
      </c>
      <c r="C63" s="1" t="s">
        <v>1497</v>
      </c>
      <c r="D63" s="61" t="s">
        <v>5256</v>
      </c>
      <c r="E63" s="62">
        <f>[5]Summary!E62</f>
        <v>4.774</v>
      </c>
      <c r="F63" s="213">
        <f>[5]Summary!F62</f>
        <v>35</v>
      </c>
      <c r="G63" s="63">
        <f t="shared" si="1"/>
        <v>167.09</v>
      </c>
      <c r="H63" s="1"/>
    </row>
    <row r="64" spans="1:8" ht="46.5">
      <c r="A64" s="180">
        <v>60</v>
      </c>
      <c r="B64" s="181" t="s">
        <v>1498</v>
      </c>
      <c r="C64" s="181" t="s">
        <v>1499</v>
      </c>
      <c r="D64" s="64" t="s">
        <v>5256</v>
      </c>
      <c r="E64" s="65">
        <f>[5]Summary!E63</f>
        <v>2</v>
      </c>
      <c r="F64" s="214">
        <f>[5]Summary!F63</f>
        <v>0</v>
      </c>
      <c r="G64" s="66">
        <f t="shared" si="1"/>
        <v>0</v>
      </c>
      <c r="H64" s="67"/>
    </row>
    <row r="65" spans="1:8" ht="46.5">
      <c r="A65" s="60">
        <v>61</v>
      </c>
      <c r="B65" s="1" t="s">
        <v>1500</v>
      </c>
      <c r="C65" s="1" t="s">
        <v>1501</v>
      </c>
      <c r="D65" s="61" t="s">
        <v>5256</v>
      </c>
      <c r="E65" s="62">
        <f>[5]Summary!E64</f>
        <v>6</v>
      </c>
      <c r="F65" s="213">
        <f>[5]Summary!F64</f>
        <v>0</v>
      </c>
      <c r="G65" s="63">
        <f t="shared" si="1"/>
        <v>0</v>
      </c>
      <c r="H65" s="1"/>
    </row>
    <row r="66" spans="1:8" ht="46.5">
      <c r="A66" s="180">
        <v>62</v>
      </c>
      <c r="B66" s="181" t="s">
        <v>1502</v>
      </c>
      <c r="C66" s="181" t="s">
        <v>1503</v>
      </c>
      <c r="D66" s="64" t="s">
        <v>5256</v>
      </c>
      <c r="E66" s="65">
        <f>[5]Summary!E65</f>
        <v>7</v>
      </c>
      <c r="F66" s="214">
        <f>[5]Summary!F65</f>
        <v>1</v>
      </c>
      <c r="G66" s="66">
        <f t="shared" si="1"/>
        <v>7</v>
      </c>
      <c r="H66" s="67"/>
    </row>
    <row r="67" spans="1:8" ht="46.5">
      <c r="A67" s="60">
        <v>63</v>
      </c>
      <c r="B67" s="1" t="s">
        <v>1504</v>
      </c>
      <c r="C67" s="1" t="s">
        <v>1505</v>
      </c>
      <c r="D67" s="61" t="s">
        <v>5256</v>
      </c>
      <c r="E67" s="62">
        <f>[5]Summary!E66</f>
        <v>12</v>
      </c>
      <c r="F67" s="213">
        <f>[5]Summary!F66</f>
        <v>-2</v>
      </c>
      <c r="G67" s="63">
        <f t="shared" si="1"/>
        <v>-24</v>
      </c>
      <c r="H67" s="1"/>
    </row>
    <row r="68" spans="1:8" ht="46.5">
      <c r="A68" s="180">
        <v>64</v>
      </c>
      <c r="B68" s="181" t="s">
        <v>1506</v>
      </c>
      <c r="C68" s="181" t="s">
        <v>1507</v>
      </c>
      <c r="D68" s="64" t="s">
        <v>5256</v>
      </c>
      <c r="E68" s="65">
        <f>[5]Summary!E67</f>
        <v>12</v>
      </c>
      <c r="F68" s="214">
        <f>[5]Summary!F67</f>
        <v>4</v>
      </c>
      <c r="G68" s="66">
        <f t="shared" si="1"/>
        <v>48</v>
      </c>
      <c r="H68" s="67"/>
    </row>
    <row r="69" spans="1:8" ht="23.25">
      <c r="A69" s="60">
        <v>65</v>
      </c>
      <c r="B69" s="1" t="s">
        <v>1508</v>
      </c>
      <c r="C69" s="1" t="s">
        <v>1509</v>
      </c>
      <c r="D69" s="61" t="s">
        <v>5256</v>
      </c>
      <c r="E69" s="62">
        <f>[5]Summary!E68</f>
        <v>12</v>
      </c>
      <c r="F69" s="213">
        <f>[5]Summary!F68</f>
        <v>0</v>
      </c>
      <c r="G69" s="63">
        <f t="shared" ref="G69:G98" si="2">E69*F69</f>
        <v>0</v>
      </c>
      <c r="H69" s="1"/>
    </row>
    <row r="70" spans="1:8" ht="23.25">
      <c r="A70" s="180">
        <v>66</v>
      </c>
      <c r="B70" s="181" t="s">
        <v>1510</v>
      </c>
      <c r="C70" s="181" t="s">
        <v>1511</v>
      </c>
      <c r="D70" s="64" t="s">
        <v>5256</v>
      </c>
      <c r="E70" s="65">
        <f>[5]Summary!E69</f>
        <v>10</v>
      </c>
      <c r="F70" s="214">
        <f>[5]Summary!F69</f>
        <v>0</v>
      </c>
      <c r="G70" s="66">
        <f t="shared" si="2"/>
        <v>0</v>
      </c>
      <c r="H70" s="67"/>
    </row>
    <row r="71" spans="1:8" ht="46.5">
      <c r="A71" s="60">
        <v>67</v>
      </c>
      <c r="B71" s="1" t="s">
        <v>1512</v>
      </c>
      <c r="C71" s="1" t="s">
        <v>1513</v>
      </c>
      <c r="D71" s="61" t="s">
        <v>5256</v>
      </c>
      <c r="E71" s="62">
        <f>[5]Summary!E70</f>
        <v>2</v>
      </c>
      <c r="F71" s="213">
        <f>[5]Summary!F70</f>
        <v>0</v>
      </c>
      <c r="G71" s="63">
        <f t="shared" si="2"/>
        <v>0</v>
      </c>
      <c r="H71" s="1"/>
    </row>
    <row r="72" spans="1:8" ht="46.5">
      <c r="A72" s="180">
        <v>68</v>
      </c>
      <c r="B72" s="181" t="s">
        <v>1514</v>
      </c>
      <c r="C72" s="181" t="s">
        <v>1515</v>
      </c>
      <c r="D72" s="64" t="s">
        <v>5256</v>
      </c>
      <c r="E72" s="65">
        <f>[5]Summary!E71</f>
        <v>0.75</v>
      </c>
      <c r="F72" s="214">
        <f>[5]Summary!F71</f>
        <v>14</v>
      </c>
      <c r="G72" s="66">
        <f t="shared" si="2"/>
        <v>10.5</v>
      </c>
      <c r="H72" s="67"/>
    </row>
    <row r="73" spans="1:8" ht="23.25">
      <c r="A73" s="60">
        <v>69</v>
      </c>
      <c r="B73" s="1" t="s">
        <v>1516</v>
      </c>
      <c r="C73" s="1" t="s">
        <v>1517</v>
      </c>
      <c r="D73" s="61" t="s">
        <v>5256</v>
      </c>
      <c r="E73" s="62">
        <f>[5]Summary!E72</f>
        <v>1</v>
      </c>
      <c r="F73" s="213">
        <f>[5]Summary!F72</f>
        <v>0</v>
      </c>
      <c r="G73" s="63">
        <f t="shared" si="2"/>
        <v>0</v>
      </c>
      <c r="H73" s="1"/>
    </row>
    <row r="74" spans="1:8" ht="23.25">
      <c r="A74" s="180">
        <v>70</v>
      </c>
      <c r="B74" s="181" t="s">
        <v>1518</v>
      </c>
      <c r="C74" s="181" t="s">
        <v>1519</v>
      </c>
      <c r="D74" s="64" t="s">
        <v>5256</v>
      </c>
      <c r="E74" s="65">
        <f>[5]Summary!E73</f>
        <v>1</v>
      </c>
      <c r="F74" s="214">
        <f>[5]Summary!F73</f>
        <v>1</v>
      </c>
      <c r="G74" s="66">
        <f t="shared" si="2"/>
        <v>1</v>
      </c>
      <c r="H74" s="67"/>
    </row>
    <row r="75" spans="1:8" ht="23.25">
      <c r="A75" s="60">
        <v>71</v>
      </c>
      <c r="B75" s="1" t="s">
        <v>1520</v>
      </c>
      <c r="C75" s="1" t="s">
        <v>1521</v>
      </c>
      <c r="D75" s="61" t="s">
        <v>5256</v>
      </c>
      <c r="E75" s="62">
        <f>[5]Summary!E74</f>
        <v>12</v>
      </c>
      <c r="F75" s="213">
        <f>[5]Summary!F74</f>
        <v>8</v>
      </c>
      <c r="G75" s="63">
        <f t="shared" si="2"/>
        <v>96</v>
      </c>
      <c r="H75" s="1"/>
    </row>
    <row r="76" spans="1:8" ht="23.25">
      <c r="A76" s="180">
        <v>72</v>
      </c>
      <c r="B76" s="181" t="s">
        <v>3327</v>
      </c>
      <c r="C76" s="181" t="s">
        <v>1522</v>
      </c>
      <c r="D76" s="64" t="s">
        <v>5256</v>
      </c>
      <c r="E76" s="65">
        <f>[5]Summary!E75</f>
        <v>0.05</v>
      </c>
      <c r="F76" s="214">
        <f>[5]Summary!F75</f>
        <v>883</v>
      </c>
      <c r="G76" s="66">
        <f t="shared" si="2"/>
        <v>44.150000000000006</v>
      </c>
      <c r="H76" s="67"/>
    </row>
    <row r="77" spans="1:8" ht="23.25">
      <c r="A77" s="60">
        <v>73</v>
      </c>
      <c r="B77" s="1" t="s">
        <v>1523</v>
      </c>
      <c r="C77" s="1" t="s">
        <v>1524</v>
      </c>
      <c r="D77" s="61" t="s">
        <v>5256</v>
      </c>
      <c r="E77" s="62">
        <f>[5]Summary!E76</f>
        <v>2.95</v>
      </c>
      <c r="F77" s="213">
        <f>[5]Summary!F76</f>
        <v>21</v>
      </c>
      <c r="G77" s="63">
        <f t="shared" si="2"/>
        <v>61.95</v>
      </c>
      <c r="H77" s="1"/>
    </row>
    <row r="78" spans="1:8" ht="46.5">
      <c r="A78" s="180">
        <v>74</v>
      </c>
      <c r="B78" s="181" t="s">
        <v>1525</v>
      </c>
      <c r="C78" s="181" t="s">
        <v>1526</v>
      </c>
      <c r="D78" s="64" t="s">
        <v>5256</v>
      </c>
      <c r="E78" s="65">
        <f>[5]Summary!E77</f>
        <v>0.48</v>
      </c>
      <c r="F78" s="214">
        <f>[5]Summary!F77</f>
        <v>95</v>
      </c>
      <c r="G78" s="66">
        <f t="shared" si="2"/>
        <v>45.6</v>
      </c>
      <c r="H78" s="67"/>
    </row>
    <row r="79" spans="1:8" ht="23.25">
      <c r="A79" s="60">
        <v>75</v>
      </c>
      <c r="B79" s="1" t="s">
        <v>1527</v>
      </c>
      <c r="C79" s="1" t="s">
        <v>1528</v>
      </c>
      <c r="D79" s="61" t="s">
        <v>5256</v>
      </c>
      <c r="E79" s="62">
        <f>[5]Summary!E78</f>
        <v>7</v>
      </c>
      <c r="F79" s="213">
        <f>[5]Summary!F78</f>
        <v>2.9599999999999991</v>
      </c>
      <c r="G79" s="63">
        <f t="shared" si="2"/>
        <v>20.719999999999992</v>
      </c>
      <c r="H79" s="1"/>
    </row>
    <row r="80" spans="1:8" ht="46.5">
      <c r="A80" s="180">
        <v>76</v>
      </c>
      <c r="B80" s="181" t="s">
        <v>1529</v>
      </c>
      <c r="C80" s="181" t="s">
        <v>1530</v>
      </c>
      <c r="D80" s="64" t="s">
        <v>131</v>
      </c>
      <c r="E80" s="65">
        <f>[5]Summary!E79</f>
        <v>5.7</v>
      </c>
      <c r="F80" s="214">
        <f>[5]Summary!F79</f>
        <v>10.82</v>
      </c>
      <c r="G80" s="66">
        <f t="shared" si="2"/>
        <v>61.674000000000007</v>
      </c>
      <c r="H80" s="67"/>
    </row>
    <row r="81" spans="1:8" ht="23.25">
      <c r="A81" s="60">
        <v>77</v>
      </c>
      <c r="B81" s="1" t="s">
        <v>4411</v>
      </c>
      <c r="C81" s="1" t="s">
        <v>1531</v>
      </c>
      <c r="D81" s="61" t="s">
        <v>131</v>
      </c>
      <c r="E81" s="62">
        <f>[5]Summary!E80</f>
        <v>35</v>
      </c>
      <c r="F81" s="213">
        <f>[5]Summary!F80</f>
        <v>0</v>
      </c>
      <c r="G81" s="63">
        <f t="shared" si="2"/>
        <v>0</v>
      </c>
      <c r="H81" s="1"/>
    </row>
    <row r="82" spans="1:8" ht="46.5">
      <c r="A82" s="180">
        <v>78</v>
      </c>
      <c r="B82" s="181" t="s">
        <v>1532</v>
      </c>
      <c r="C82" s="181" t="s">
        <v>1533</v>
      </c>
      <c r="D82" s="64" t="s">
        <v>5256</v>
      </c>
      <c r="E82" s="65">
        <f>[5]Summary!E81</f>
        <v>0.45</v>
      </c>
      <c r="F82" s="214">
        <f>[5]Summary!F81</f>
        <v>187</v>
      </c>
      <c r="G82" s="66">
        <f t="shared" si="2"/>
        <v>84.15</v>
      </c>
      <c r="H82" s="67"/>
    </row>
    <row r="83" spans="1:8" ht="46.5">
      <c r="A83" s="60">
        <v>79</v>
      </c>
      <c r="B83" s="1" t="s">
        <v>1534</v>
      </c>
      <c r="C83" s="1" t="s">
        <v>1535</v>
      </c>
      <c r="D83" s="61" t="s">
        <v>5256</v>
      </c>
      <c r="E83" s="62">
        <f>[5]Summary!E82</f>
        <v>0.25</v>
      </c>
      <c r="F83" s="213">
        <f>[5]Summary!F82</f>
        <v>303</v>
      </c>
      <c r="G83" s="63">
        <f t="shared" si="2"/>
        <v>75.75</v>
      </c>
      <c r="H83" s="1"/>
    </row>
    <row r="84" spans="1:8" ht="23.25">
      <c r="A84" s="180">
        <v>80</v>
      </c>
      <c r="B84" s="181" t="s">
        <v>1536</v>
      </c>
      <c r="C84" s="181" t="s">
        <v>1537</v>
      </c>
      <c r="D84" s="64" t="s">
        <v>5256</v>
      </c>
      <c r="E84" s="65">
        <f>[5]Summary!E83</f>
        <v>4.0170000000000003</v>
      </c>
      <c r="F84" s="214">
        <f>[5]Summary!F83</f>
        <v>71</v>
      </c>
      <c r="G84" s="66">
        <f t="shared" si="2"/>
        <v>285.20700000000005</v>
      </c>
      <c r="H84" s="67"/>
    </row>
    <row r="85" spans="1:8" ht="23.25">
      <c r="A85" s="60">
        <v>81</v>
      </c>
      <c r="B85" s="1" t="s">
        <v>1538</v>
      </c>
      <c r="C85" s="1" t="s">
        <v>1539</v>
      </c>
      <c r="D85" s="61" t="s">
        <v>5256</v>
      </c>
      <c r="E85" s="62">
        <f>[5]Summary!E84</f>
        <v>3</v>
      </c>
      <c r="F85" s="213">
        <f>[5]Summary!F84</f>
        <v>8</v>
      </c>
      <c r="G85" s="63">
        <f t="shared" si="2"/>
        <v>24</v>
      </c>
      <c r="H85" s="1"/>
    </row>
    <row r="86" spans="1:8" ht="23.25">
      <c r="A86" s="180">
        <v>82</v>
      </c>
      <c r="B86" s="181" t="s">
        <v>1540</v>
      </c>
      <c r="C86" s="181" t="s">
        <v>1541</v>
      </c>
      <c r="D86" s="64" t="s">
        <v>5256</v>
      </c>
      <c r="E86" s="65">
        <f>[5]Summary!E85</f>
        <v>15.88</v>
      </c>
      <c r="F86" s="214">
        <f>[5]Summary!F85</f>
        <v>40</v>
      </c>
      <c r="G86" s="66">
        <f t="shared" si="2"/>
        <v>635.20000000000005</v>
      </c>
      <c r="H86" s="67"/>
    </row>
    <row r="87" spans="1:8" ht="23.25">
      <c r="A87" s="60">
        <v>83</v>
      </c>
      <c r="B87" s="1" t="s">
        <v>1542</v>
      </c>
      <c r="C87" s="1" t="s">
        <v>1543</v>
      </c>
      <c r="D87" s="61" t="s">
        <v>5256</v>
      </c>
      <c r="E87" s="62">
        <f>[5]Summary!E86</f>
        <v>13.5</v>
      </c>
      <c r="F87" s="213">
        <f>[5]Summary!F86</f>
        <v>11</v>
      </c>
      <c r="G87" s="63">
        <f t="shared" si="2"/>
        <v>148.5</v>
      </c>
      <c r="H87" s="1"/>
    </row>
    <row r="88" spans="1:8" ht="23.25">
      <c r="A88" s="180">
        <v>84</v>
      </c>
      <c r="B88" s="181" t="s">
        <v>1544</v>
      </c>
      <c r="C88" s="181" t="s">
        <v>1545</v>
      </c>
      <c r="D88" s="64" t="s">
        <v>5256</v>
      </c>
      <c r="E88" s="65">
        <f>[5]Summary!E87</f>
        <v>10.95</v>
      </c>
      <c r="F88" s="214">
        <f>[5]Summary!F87</f>
        <v>17</v>
      </c>
      <c r="G88" s="66">
        <f t="shared" si="2"/>
        <v>186.14999999999998</v>
      </c>
      <c r="H88" s="67"/>
    </row>
    <row r="89" spans="1:8" ht="23.25">
      <c r="A89" s="60">
        <v>85</v>
      </c>
      <c r="B89" s="1" t="s">
        <v>4409</v>
      </c>
      <c r="C89" s="1" t="s">
        <v>4410</v>
      </c>
      <c r="D89" s="61" t="s">
        <v>5256</v>
      </c>
      <c r="E89" s="62">
        <f>[5]Summary!E88</f>
        <v>0.35</v>
      </c>
      <c r="F89" s="213">
        <f>[5]Summary!F88</f>
        <v>0</v>
      </c>
      <c r="G89" s="63">
        <f t="shared" si="2"/>
        <v>0</v>
      </c>
      <c r="H89" s="1"/>
    </row>
    <row r="90" spans="1:8" ht="46.5">
      <c r="A90" s="180">
        <v>86</v>
      </c>
      <c r="B90" s="181" t="s">
        <v>5694</v>
      </c>
      <c r="C90" s="181" t="s">
        <v>5695</v>
      </c>
      <c r="D90" s="64" t="s">
        <v>5256</v>
      </c>
      <c r="E90" s="65">
        <f>[5]Summary!E89</f>
        <v>135</v>
      </c>
      <c r="F90" s="214">
        <f>[5]Summary!F89</f>
        <v>1</v>
      </c>
      <c r="G90" s="66">
        <f t="shared" si="2"/>
        <v>135</v>
      </c>
      <c r="H90" s="67"/>
    </row>
    <row r="91" spans="1:8" ht="23.25" customHeight="1">
      <c r="A91" s="60">
        <v>87</v>
      </c>
      <c r="B91" s="1" t="s">
        <v>5696</v>
      </c>
      <c r="C91" s="1" t="s">
        <v>5697</v>
      </c>
      <c r="D91" s="61" t="s">
        <v>5256</v>
      </c>
      <c r="E91" s="62">
        <f>[5]Summary!E90</f>
        <v>70</v>
      </c>
      <c r="F91" s="213">
        <f>[5]Summary!F90</f>
        <v>1</v>
      </c>
      <c r="G91" s="63">
        <f t="shared" si="2"/>
        <v>70</v>
      </c>
      <c r="H91" s="1"/>
    </row>
    <row r="92" spans="1:8" ht="46.5">
      <c r="A92" s="180">
        <v>88</v>
      </c>
      <c r="B92" s="181" t="s">
        <v>5698</v>
      </c>
      <c r="C92" s="181" t="s">
        <v>5699</v>
      </c>
      <c r="D92" s="64" t="s">
        <v>5256</v>
      </c>
      <c r="E92" s="65">
        <f>[5]Summary!E91</f>
        <v>75</v>
      </c>
      <c r="F92" s="214">
        <f>[5]Summary!F91</f>
        <v>2</v>
      </c>
      <c r="G92" s="66">
        <f t="shared" si="2"/>
        <v>150</v>
      </c>
      <c r="H92" s="67"/>
    </row>
    <row r="93" spans="1:8" ht="46.5">
      <c r="A93" s="60">
        <v>89</v>
      </c>
      <c r="B93" s="1" t="s">
        <v>5700</v>
      </c>
      <c r="C93" s="1" t="s">
        <v>5701</v>
      </c>
      <c r="D93" s="61" t="s">
        <v>5256</v>
      </c>
      <c r="E93" s="62">
        <f>[5]Summary!E92</f>
        <v>75</v>
      </c>
      <c r="F93" s="213">
        <f>[5]Summary!F92</f>
        <v>9</v>
      </c>
      <c r="G93" s="63">
        <f t="shared" si="2"/>
        <v>675</v>
      </c>
      <c r="H93" s="1"/>
    </row>
    <row r="94" spans="1:8" ht="46.5">
      <c r="A94" s="180">
        <v>90</v>
      </c>
      <c r="B94" s="181" t="s">
        <v>5702</v>
      </c>
      <c r="C94" s="181" t="s">
        <v>5703</v>
      </c>
      <c r="D94" s="64" t="s">
        <v>5704</v>
      </c>
      <c r="E94" s="65">
        <f>[5]Summary!E93</f>
        <v>5</v>
      </c>
      <c r="F94" s="214">
        <f>[5]Summary!F93</f>
        <v>0</v>
      </c>
      <c r="G94" s="66">
        <f t="shared" si="2"/>
        <v>0</v>
      </c>
      <c r="H94" s="67"/>
    </row>
    <row r="95" spans="1:8" ht="33" customHeight="1">
      <c r="A95" s="60">
        <v>91</v>
      </c>
      <c r="B95" s="1" t="s">
        <v>5803</v>
      </c>
      <c r="C95" s="1" t="s">
        <v>5804</v>
      </c>
      <c r="D95" s="61" t="s">
        <v>5805</v>
      </c>
      <c r="E95" s="62">
        <f>[5]Summary!E94</f>
        <v>8</v>
      </c>
      <c r="F95" s="213">
        <f>[5]Summary!F94</f>
        <v>0</v>
      </c>
      <c r="G95" s="63">
        <f t="shared" si="2"/>
        <v>0</v>
      </c>
      <c r="H95" s="1"/>
    </row>
    <row r="96" spans="1:8" ht="23.25">
      <c r="A96" s="180">
        <v>92</v>
      </c>
      <c r="B96" s="181" t="s">
        <v>3617</v>
      </c>
      <c r="C96" s="181" t="s">
        <v>3618</v>
      </c>
      <c r="D96" s="64" t="s">
        <v>1584</v>
      </c>
      <c r="E96" s="65">
        <f>[5]Summary!E95</f>
        <v>509</v>
      </c>
      <c r="F96" s="214">
        <f>[5]Summary!F95</f>
        <v>5</v>
      </c>
      <c r="G96" s="66">
        <f t="shared" si="2"/>
        <v>2545</v>
      </c>
      <c r="H96" s="67"/>
    </row>
    <row r="97" spans="1:8" ht="46.5">
      <c r="A97" s="60">
        <v>93</v>
      </c>
      <c r="B97" s="1" t="s">
        <v>3619</v>
      </c>
      <c r="C97" s="1" t="s">
        <v>3620</v>
      </c>
      <c r="D97" s="61" t="s">
        <v>1584</v>
      </c>
      <c r="E97" s="62">
        <f>[5]Summary!E96</f>
        <v>440</v>
      </c>
      <c r="F97" s="213">
        <f>[5]Summary!F96</f>
        <v>0</v>
      </c>
      <c r="G97" s="63">
        <f t="shared" si="2"/>
        <v>0</v>
      </c>
      <c r="H97" s="1"/>
    </row>
    <row r="98" spans="1:8" ht="29.25" customHeight="1">
      <c r="A98" s="180">
        <v>94</v>
      </c>
      <c r="B98" s="181" t="s">
        <v>3625</v>
      </c>
      <c r="C98" s="181" t="s">
        <v>3626</v>
      </c>
      <c r="D98" s="64" t="s">
        <v>1584</v>
      </c>
      <c r="E98" s="65">
        <f>[5]Summary!E97</f>
        <v>100</v>
      </c>
      <c r="F98" s="214">
        <f>[5]Summary!F97</f>
        <v>12</v>
      </c>
      <c r="G98" s="66">
        <f t="shared" si="2"/>
        <v>1200</v>
      </c>
      <c r="H98" s="67"/>
    </row>
    <row r="99" spans="1:8" s="112" customFormat="1" ht="46.5">
      <c r="A99" s="60">
        <v>95</v>
      </c>
      <c r="B99" s="1" t="s">
        <v>3782</v>
      </c>
      <c r="C99" s="1" t="s">
        <v>3783</v>
      </c>
      <c r="D99" s="61" t="s">
        <v>5256</v>
      </c>
      <c r="E99" s="251">
        <f>[5]Summary!E98</f>
        <v>155</v>
      </c>
      <c r="F99" s="213">
        <f>[5]Summary!F98</f>
        <v>0</v>
      </c>
      <c r="G99" s="63">
        <f t="shared" ref="G99:G107" si="3">F99*E99</f>
        <v>0</v>
      </c>
      <c r="H99" s="1"/>
    </row>
    <row r="100" spans="1:8" s="112" customFormat="1" ht="23.25">
      <c r="A100" s="180">
        <v>96</v>
      </c>
      <c r="B100" s="181" t="s">
        <v>3784</v>
      </c>
      <c r="C100" s="181" t="s">
        <v>3785</v>
      </c>
      <c r="D100" s="64" t="s">
        <v>5256</v>
      </c>
      <c r="E100" s="252">
        <f>[5]Summary!E99</f>
        <v>29</v>
      </c>
      <c r="F100" s="214">
        <f>[5]Summary!F99</f>
        <v>29</v>
      </c>
      <c r="G100" s="66">
        <f t="shared" si="3"/>
        <v>841</v>
      </c>
      <c r="H100" s="67"/>
    </row>
    <row r="101" spans="1:8" s="112" customFormat="1" ht="51" customHeight="1">
      <c r="A101" s="60">
        <v>97</v>
      </c>
      <c r="B101" s="1" t="s">
        <v>3786</v>
      </c>
      <c r="C101" s="1" t="s">
        <v>3787</v>
      </c>
      <c r="D101" s="61" t="s">
        <v>5256</v>
      </c>
      <c r="E101" s="251">
        <f>[5]Summary!E100</f>
        <v>10</v>
      </c>
      <c r="F101" s="213">
        <f>[5]Summary!F100</f>
        <v>0</v>
      </c>
      <c r="G101" s="63">
        <f t="shared" si="3"/>
        <v>0</v>
      </c>
      <c r="H101" s="1"/>
    </row>
    <row r="102" spans="1:8" s="112" customFormat="1" ht="23.25">
      <c r="A102" s="180">
        <v>98</v>
      </c>
      <c r="B102" s="181" t="s">
        <v>3788</v>
      </c>
      <c r="C102" s="181" t="s">
        <v>3789</v>
      </c>
      <c r="D102" s="64" t="s">
        <v>5256</v>
      </c>
      <c r="E102" s="252">
        <f>[5]Summary!E101</f>
        <v>45</v>
      </c>
      <c r="F102" s="214">
        <f>[5]Summary!F101</f>
        <v>0</v>
      </c>
      <c r="G102" s="66">
        <f t="shared" si="3"/>
        <v>0</v>
      </c>
      <c r="H102" s="67"/>
    </row>
    <row r="103" spans="1:8" s="112" customFormat="1" ht="23.25">
      <c r="A103" s="60">
        <v>99</v>
      </c>
      <c r="B103" s="1" t="s">
        <v>3790</v>
      </c>
      <c r="C103" s="1" t="s">
        <v>3791</v>
      </c>
      <c r="D103" s="61" t="s">
        <v>5256</v>
      </c>
      <c r="E103" s="251">
        <f>[5]Summary!E102</f>
        <v>60</v>
      </c>
      <c r="F103" s="213">
        <f>[5]Summary!F102</f>
        <v>0</v>
      </c>
      <c r="G103" s="63">
        <f t="shared" si="3"/>
        <v>0</v>
      </c>
      <c r="H103" s="1"/>
    </row>
    <row r="104" spans="1:8" s="112" customFormat="1" ht="46.5">
      <c r="A104" s="180">
        <v>100</v>
      </c>
      <c r="B104" s="181" t="s">
        <v>3792</v>
      </c>
      <c r="C104" s="181" t="s">
        <v>3793</v>
      </c>
      <c r="D104" s="64" t="s">
        <v>5256</v>
      </c>
      <c r="E104" s="252">
        <f>[5]Summary!E103</f>
        <v>60</v>
      </c>
      <c r="F104" s="214">
        <f>[5]Summary!F103</f>
        <v>0</v>
      </c>
      <c r="G104" s="66">
        <f t="shared" si="3"/>
        <v>0</v>
      </c>
      <c r="H104" s="67"/>
    </row>
    <row r="105" spans="1:8" s="112" customFormat="1" ht="46.5">
      <c r="A105" s="60">
        <v>101</v>
      </c>
      <c r="B105" s="1" t="s">
        <v>3794</v>
      </c>
      <c r="C105" s="1" t="s">
        <v>3795</v>
      </c>
      <c r="D105" s="61" t="s">
        <v>5256</v>
      </c>
      <c r="E105" s="251">
        <f>[5]Summary!E104</f>
        <v>60</v>
      </c>
      <c r="F105" s="213">
        <f>[5]Summary!F104</f>
        <v>0</v>
      </c>
      <c r="G105" s="63">
        <f t="shared" si="3"/>
        <v>0</v>
      </c>
      <c r="H105" s="1"/>
    </row>
    <row r="106" spans="1:8" s="112" customFormat="1" ht="23.25">
      <c r="A106" s="180">
        <v>102</v>
      </c>
      <c r="B106" s="181" t="s">
        <v>3796</v>
      </c>
      <c r="C106" s="181" t="s">
        <v>3797</v>
      </c>
      <c r="D106" s="64" t="s">
        <v>5256</v>
      </c>
      <c r="E106" s="252">
        <f>[5]Summary!E105</f>
        <v>50</v>
      </c>
      <c r="F106" s="214">
        <f>[5]Summary!F105</f>
        <v>0</v>
      </c>
      <c r="G106" s="66">
        <f t="shared" si="3"/>
        <v>0</v>
      </c>
      <c r="H106" s="67"/>
    </row>
    <row r="107" spans="1:8" s="112" customFormat="1" ht="46.5">
      <c r="A107" s="60">
        <v>103</v>
      </c>
      <c r="B107" s="1" t="s">
        <v>5837</v>
      </c>
      <c r="C107" s="1" t="s">
        <v>5838</v>
      </c>
      <c r="D107" s="61" t="s">
        <v>5256</v>
      </c>
      <c r="E107" s="62">
        <f>[5]Summary!E106</f>
        <v>24</v>
      </c>
      <c r="F107" s="213">
        <f>[5]Summary!F106</f>
        <v>0</v>
      </c>
      <c r="G107" s="203">
        <f t="shared" si="3"/>
        <v>0</v>
      </c>
      <c r="H107" s="1"/>
    </row>
    <row r="108" spans="1:8" ht="23.25">
      <c r="A108" s="180">
        <v>104</v>
      </c>
      <c r="B108" s="181" t="s">
        <v>5839</v>
      </c>
      <c r="C108" s="181" t="s">
        <v>5840</v>
      </c>
      <c r="D108" s="64" t="s">
        <v>1584</v>
      </c>
      <c r="E108" s="252">
        <f>[5]Summary!E107</f>
        <v>10.95</v>
      </c>
      <c r="F108" s="214">
        <f>[5]Summary!F107</f>
        <v>89</v>
      </c>
      <c r="G108" s="66">
        <f>E108*F108</f>
        <v>974.55</v>
      </c>
      <c r="H108" s="67"/>
    </row>
    <row r="109" spans="1:8" s="112" customFormat="1" ht="28.5" customHeight="1">
      <c r="A109" s="60">
        <v>105</v>
      </c>
      <c r="B109" s="1" t="s">
        <v>5845</v>
      </c>
      <c r="C109" s="1" t="s">
        <v>5846</v>
      </c>
      <c r="D109" s="61" t="s">
        <v>5256</v>
      </c>
      <c r="E109" s="62">
        <f>[5]Summary!E108</f>
        <v>1.5</v>
      </c>
      <c r="F109" s="213">
        <f>[5]Summary!F108</f>
        <v>0</v>
      </c>
      <c r="G109" s="63">
        <f>F109*E109</f>
        <v>0</v>
      </c>
      <c r="H109" s="1"/>
    </row>
    <row r="110" spans="1:8" ht="46.5">
      <c r="A110" s="180">
        <v>106</v>
      </c>
      <c r="B110" s="181" t="s">
        <v>5882</v>
      </c>
      <c r="C110" s="181" t="s">
        <v>5883</v>
      </c>
      <c r="D110" s="64" t="s">
        <v>131</v>
      </c>
      <c r="E110" s="65">
        <f>[5]Summary!E109</f>
        <v>0.25</v>
      </c>
      <c r="F110" s="214">
        <f>[5]Summary!F109</f>
        <v>152</v>
      </c>
      <c r="G110" s="66">
        <f>E110*F110</f>
        <v>38</v>
      </c>
      <c r="H110" s="1"/>
    </row>
    <row r="113" spans="1:7" ht="26.25">
      <c r="A113" s="285" t="s">
        <v>7</v>
      </c>
      <c r="B113" s="286"/>
      <c r="C113" s="286"/>
      <c r="D113" s="286"/>
      <c r="E113" s="287"/>
      <c r="F113" s="241">
        <f>SUM(F5:F110)</f>
        <v>4604.9960000000001</v>
      </c>
      <c r="G113" s="182">
        <f>SUM(G5:G110)</f>
        <v>12423.708719999999</v>
      </c>
    </row>
  </sheetData>
  <autoFilter ref="A4:H4" xr:uid="{D3C63B10-8825-414D-9CEB-4850A36BDBE5}"/>
  <mergeCells count="3">
    <mergeCell ref="A3:H3"/>
    <mergeCell ref="A113:E113"/>
    <mergeCell ref="A2:H2"/>
  </mergeCells>
  <conditionalFormatting sqref="A5:E110">
    <cfRule type="expression" dxfId="12" priority="1">
      <formula>AND(#REF!&lt;&gt;"",OR(ISNUMBER(SEARCH(#REF!,$A5:$D5,1))))</formula>
    </cfRule>
  </conditionalFormatting>
  <conditionalFormatting sqref="G5:H110">
    <cfRule type="expression" dxfId="11" priority="2">
      <formula>AND(#REF!&lt;&gt;"",OR(ISNUMBER(SEARCH(#REF!,$A5:$D5,1))))</formula>
    </cfRule>
  </conditionalFormatting>
  <pageMargins left="0.16" right="0.26" top="0.41" bottom="0.32" header="0.31" footer="0.25"/>
  <pageSetup paperSize="9" scale="52"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2FAD4-79E9-453C-9E54-B131A0F49493}">
  <sheetPr>
    <pageSetUpPr fitToPage="1"/>
  </sheetPr>
  <dimension ref="A1:H140"/>
  <sheetViews>
    <sheetView zoomScale="60" zoomScaleNormal="60" workbookViewId="0">
      <selection activeCell="I1" sqref="I1:I1048576"/>
    </sheetView>
  </sheetViews>
  <sheetFormatPr defaultColWidth="9.140625" defaultRowHeight="15"/>
  <cols>
    <col min="1" max="1" width="9.28515625" style="49" customWidth="1"/>
    <col min="2" max="2" width="36.85546875" style="49" customWidth="1"/>
    <col min="3" max="3" width="49" style="49" customWidth="1"/>
    <col min="4" max="4" width="22.28515625" style="49" customWidth="1"/>
    <col min="5" max="5" width="26.140625" style="49" customWidth="1"/>
    <col min="6" max="6" width="24.85546875" style="49" customWidth="1"/>
    <col min="7" max="7" width="30" style="49" customWidth="1"/>
    <col min="8" max="8" width="26.140625" style="49" customWidth="1"/>
    <col min="9" max="16384" width="9.140625" style="49"/>
  </cols>
  <sheetData>
    <row r="1" spans="1:8" customFormat="1" ht="121.5" customHeight="1">
      <c r="A1" s="31"/>
      <c r="B1" s="32"/>
      <c r="C1" s="32"/>
      <c r="D1" s="32"/>
      <c r="E1" s="33"/>
      <c r="F1" s="34"/>
      <c r="G1" s="35"/>
    </row>
    <row r="2" spans="1:8" ht="33.75">
      <c r="A2" s="269">
        <f ca="1">TODAY()</f>
        <v>46123</v>
      </c>
      <c r="B2" s="269"/>
      <c r="C2" s="269"/>
      <c r="D2" s="269"/>
      <c r="E2" s="269"/>
      <c r="F2" s="269"/>
      <c r="G2" s="269"/>
      <c r="H2" s="269"/>
    </row>
    <row r="3" spans="1:8" ht="48.75" customHeight="1">
      <c r="A3" s="288" t="s">
        <v>1383</v>
      </c>
      <c r="B3" s="289"/>
      <c r="C3" s="289"/>
      <c r="D3" s="289"/>
      <c r="E3" s="289"/>
      <c r="F3" s="289"/>
      <c r="G3" s="289"/>
      <c r="H3" s="289"/>
    </row>
    <row r="4" spans="1:8" ht="87" customHeight="1">
      <c r="A4" s="148" t="s">
        <v>0</v>
      </c>
      <c r="B4" s="149" t="s">
        <v>9</v>
      </c>
      <c r="C4" s="150" t="s">
        <v>10</v>
      </c>
      <c r="D4" s="151" t="s">
        <v>11</v>
      </c>
      <c r="E4" s="152" t="s">
        <v>1763</v>
      </c>
      <c r="F4" s="153" t="s">
        <v>13</v>
      </c>
      <c r="G4" s="153" t="s">
        <v>4372</v>
      </c>
      <c r="H4" s="153" t="s">
        <v>1766</v>
      </c>
    </row>
    <row r="5" spans="1:8" ht="23.25">
      <c r="A5" s="81">
        <v>1</v>
      </c>
      <c r="B5" s="1" t="s">
        <v>3328</v>
      </c>
      <c r="C5" s="1" t="s">
        <v>3329</v>
      </c>
      <c r="D5" s="46" t="s">
        <v>3330</v>
      </c>
      <c r="E5" s="47">
        <f>[6]Summary!E4</f>
        <v>26.41</v>
      </c>
      <c r="F5" s="253">
        <f>[6]Summary!F4</f>
        <v>187.5</v>
      </c>
      <c r="G5" s="48">
        <f t="shared" ref="G5:G36" si="0">F5*E5</f>
        <v>4951.875</v>
      </c>
      <c r="H5" s="46"/>
    </row>
    <row r="6" spans="1:8" ht="23.25">
      <c r="A6" s="166">
        <v>2</v>
      </c>
      <c r="B6" s="70" t="s">
        <v>3331</v>
      </c>
      <c r="C6" s="70" t="str">
        <f>'[6]Adhesive Vinyl Irani 3kg'!$K$3</f>
        <v>Adhesive Vinyl Irani 3kg</v>
      </c>
      <c r="D6" s="71" t="s">
        <v>3330</v>
      </c>
      <c r="E6" s="72">
        <f>[6]Summary!E5</f>
        <v>10</v>
      </c>
      <c r="F6" s="254">
        <f>[6]Summary!F5</f>
        <v>2</v>
      </c>
      <c r="G6" s="74">
        <f t="shared" si="0"/>
        <v>20</v>
      </c>
      <c r="H6" s="71"/>
    </row>
    <row r="7" spans="1:8" ht="23.25">
      <c r="A7" s="81">
        <v>3</v>
      </c>
      <c r="B7" s="1" t="s">
        <v>3332</v>
      </c>
      <c r="C7" s="1" t="s">
        <v>3333</v>
      </c>
      <c r="D7" s="46" t="s">
        <v>3330</v>
      </c>
      <c r="E7" s="47">
        <f>[6]Summary!E6</f>
        <v>9</v>
      </c>
      <c r="F7" s="253">
        <f>[6]Summary!F6</f>
        <v>2.85</v>
      </c>
      <c r="G7" s="48">
        <f t="shared" si="0"/>
        <v>25.650000000000002</v>
      </c>
      <c r="H7" s="46"/>
    </row>
    <row r="8" spans="1:8" ht="23.25">
      <c r="A8" s="166">
        <v>4</v>
      </c>
      <c r="B8" s="70" t="s">
        <v>3334</v>
      </c>
      <c r="C8" s="70" t="s">
        <v>3335</v>
      </c>
      <c r="D8" s="71" t="s">
        <v>135</v>
      </c>
      <c r="E8" s="72">
        <f>[6]Summary!E7</f>
        <v>2.85</v>
      </c>
      <c r="F8" s="254">
        <f>[6]Summary!F7</f>
        <v>7</v>
      </c>
      <c r="G8" s="74">
        <f t="shared" si="0"/>
        <v>19.95</v>
      </c>
      <c r="H8" s="71"/>
    </row>
    <row r="9" spans="1:8" ht="23.25">
      <c r="A9" s="81">
        <v>5</v>
      </c>
      <c r="B9" s="1" t="s">
        <v>3336</v>
      </c>
      <c r="C9" s="1" t="s">
        <v>3337</v>
      </c>
      <c r="D9" s="46" t="s">
        <v>135</v>
      </c>
      <c r="E9" s="47">
        <f>[6]Summary!E8</f>
        <v>0.45839999999999997</v>
      </c>
      <c r="F9" s="253">
        <f>[6]Summary!F8</f>
        <v>15</v>
      </c>
      <c r="G9" s="48">
        <f t="shared" si="0"/>
        <v>6.8759999999999994</v>
      </c>
      <c r="H9" s="46"/>
    </row>
    <row r="10" spans="1:8" ht="23.25">
      <c r="A10" s="166">
        <v>6</v>
      </c>
      <c r="B10" s="70" t="s">
        <v>3338</v>
      </c>
      <c r="C10" s="70" t="s">
        <v>3339</v>
      </c>
      <c r="D10" s="71" t="s">
        <v>135</v>
      </c>
      <c r="E10" s="72">
        <f>[6]Summary!E9</f>
        <v>0.52100000000000002</v>
      </c>
      <c r="F10" s="254">
        <f>[6]Summary!F9</f>
        <v>80</v>
      </c>
      <c r="G10" s="74">
        <f t="shared" si="0"/>
        <v>41.68</v>
      </c>
      <c r="H10" s="71"/>
    </row>
    <row r="11" spans="1:8" ht="23.25">
      <c r="A11" s="81">
        <v>7</v>
      </c>
      <c r="B11" s="1" t="s">
        <v>3340</v>
      </c>
      <c r="C11" s="1" t="s">
        <v>3341</v>
      </c>
      <c r="D11" s="46" t="s">
        <v>3342</v>
      </c>
      <c r="E11" s="47">
        <f>[6]Summary!E10</f>
        <v>1.73</v>
      </c>
      <c r="F11" s="253">
        <f>[6]Summary!F10</f>
        <v>0</v>
      </c>
      <c r="G11" s="48">
        <f t="shared" si="0"/>
        <v>0</v>
      </c>
      <c r="H11" s="46"/>
    </row>
    <row r="12" spans="1:8" ht="23.25">
      <c r="A12" s="166">
        <v>8</v>
      </c>
      <c r="B12" s="70" t="s">
        <v>3343</v>
      </c>
      <c r="C12" s="70" t="s">
        <v>3344</v>
      </c>
      <c r="D12" s="71" t="s">
        <v>135</v>
      </c>
      <c r="E12" s="72">
        <f>[6]Summary!E11</f>
        <v>1.25</v>
      </c>
      <c r="F12" s="254">
        <f>[6]Summary!F11</f>
        <v>0</v>
      </c>
      <c r="G12" s="74">
        <f t="shared" si="0"/>
        <v>0</v>
      </c>
      <c r="H12" s="71"/>
    </row>
    <row r="13" spans="1:8" ht="23.25">
      <c r="A13" s="81">
        <v>9</v>
      </c>
      <c r="B13" s="1" t="s">
        <v>3345</v>
      </c>
      <c r="C13" s="1" t="s">
        <v>3346</v>
      </c>
      <c r="D13" s="46" t="s">
        <v>135</v>
      </c>
      <c r="E13" s="47">
        <f>[6]Summary!E12</f>
        <v>33</v>
      </c>
      <c r="F13" s="253">
        <f>[6]Summary!F12</f>
        <v>0</v>
      </c>
      <c r="G13" s="48">
        <f t="shared" si="0"/>
        <v>0</v>
      </c>
      <c r="H13" s="46"/>
    </row>
    <row r="14" spans="1:8" ht="23.25">
      <c r="A14" s="166">
        <v>10</v>
      </c>
      <c r="B14" s="70" t="s">
        <v>3345</v>
      </c>
      <c r="C14" s="70" t="s">
        <v>3347</v>
      </c>
      <c r="D14" s="71" t="s">
        <v>135</v>
      </c>
      <c r="E14" s="72">
        <f>[6]Summary!E13</f>
        <v>32</v>
      </c>
      <c r="F14" s="254">
        <f>[6]Summary!F13</f>
        <v>0</v>
      </c>
      <c r="G14" s="74">
        <f t="shared" si="0"/>
        <v>0</v>
      </c>
      <c r="H14" s="71"/>
    </row>
    <row r="15" spans="1:8" ht="23.25">
      <c r="A15" s="81">
        <v>11</v>
      </c>
      <c r="B15" s="1" t="s">
        <v>3345</v>
      </c>
      <c r="C15" s="1" t="s">
        <v>3348</v>
      </c>
      <c r="D15" s="46" t="s">
        <v>135</v>
      </c>
      <c r="E15" s="47">
        <f>[6]Summary!E14</f>
        <v>5</v>
      </c>
      <c r="F15" s="253">
        <f>[6]Summary!F14</f>
        <v>3</v>
      </c>
      <c r="G15" s="48">
        <f t="shared" si="0"/>
        <v>15</v>
      </c>
      <c r="H15" s="46"/>
    </row>
    <row r="16" spans="1:8" ht="23.25">
      <c r="A16" s="166">
        <v>12</v>
      </c>
      <c r="B16" s="70" t="s">
        <v>3349</v>
      </c>
      <c r="C16" s="70" t="s">
        <v>3350</v>
      </c>
      <c r="D16" s="71" t="s">
        <v>135</v>
      </c>
      <c r="E16" s="72">
        <f>[6]Summary!E15</f>
        <v>1.83</v>
      </c>
      <c r="F16" s="254">
        <f>[6]Summary!F15</f>
        <v>18</v>
      </c>
      <c r="G16" s="74">
        <f t="shared" si="0"/>
        <v>32.94</v>
      </c>
      <c r="H16" s="71"/>
    </row>
    <row r="17" spans="1:8" ht="23.25">
      <c r="A17" s="81">
        <v>13</v>
      </c>
      <c r="B17" s="1" t="s">
        <v>3351</v>
      </c>
      <c r="C17" s="1" t="s">
        <v>3352</v>
      </c>
      <c r="D17" s="46" t="s">
        <v>135</v>
      </c>
      <c r="E17" s="47">
        <f>[6]Summary!E16</f>
        <v>1</v>
      </c>
      <c r="F17" s="253">
        <f>[6]Summary!F16</f>
        <v>1</v>
      </c>
      <c r="G17" s="48">
        <f t="shared" si="0"/>
        <v>1</v>
      </c>
      <c r="H17" s="46"/>
    </row>
    <row r="18" spans="1:8" ht="23.25">
      <c r="A18" s="166">
        <v>14</v>
      </c>
      <c r="B18" s="70" t="s">
        <v>3353</v>
      </c>
      <c r="C18" s="70" t="s">
        <v>3354</v>
      </c>
      <c r="D18" s="71" t="s">
        <v>135</v>
      </c>
      <c r="E18" s="72">
        <f>[6]Summary!E17</f>
        <v>6.5</v>
      </c>
      <c r="F18" s="254">
        <f>[6]Summary!F17</f>
        <v>0</v>
      </c>
      <c r="G18" s="74">
        <f t="shared" si="0"/>
        <v>0</v>
      </c>
      <c r="H18" s="71"/>
    </row>
    <row r="19" spans="1:8" ht="23.25">
      <c r="A19" s="81">
        <v>15</v>
      </c>
      <c r="B19" s="1" t="s">
        <v>3355</v>
      </c>
      <c r="C19" s="1" t="s">
        <v>3356</v>
      </c>
      <c r="D19" s="46" t="s">
        <v>3357</v>
      </c>
      <c r="E19" s="47">
        <f>[6]Summary!E18</f>
        <v>0.49</v>
      </c>
      <c r="F19" s="253">
        <f>[6]Summary!F18</f>
        <v>0</v>
      </c>
      <c r="G19" s="48">
        <f t="shared" si="0"/>
        <v>0</v>
      </c>
      <c r="H19" s="46"/>
    </row>
    <row r="20" spans="1:8" ht="23.25">
      <c r="A20" s="166">
        <v>16</v>
      </c>
      <c r="B20" s="70" t="s">
        <v>3358</v>
      </c>
      <c r="C20" s="70" t="s">
        <v>3359</v>
      </c>
      <c r="D20" s="71" t="s">
        <v>135</v>
      </c>
      <c r="E20" s="72">
        <f>[6]Summary!E19</f>
        <v>3.282</v>
      </c>
      <c r="F20" s="254">
        <f>[6]Summary!F19</f>
        <v>0</v>
      </c>
      <c r="G20" s="74">
        <f t="shared" si="0"/>
        <v>0</v>
      </c>
      <c r="H20" s="71"/>
    </row>
    <row r="21" spans="1:8" ht="23.25">
      <c r="A21" s="81">
        <v>17</v>
      </c>
      <c r="B21" s="1" t="s">
        <v>3360</v>
      </c>
      <c r="C21" s="1" t="s">
        <v>3361</v>
      </c>
      <c r="D21" s="46" t="s">
        <v>3330</v>
      </c>
      <c r="E21" s="47">
        <f>[6]Summary!E20</f>
        <v>45</v>
      </c>
      <c r="F21" s="253">
        <f>[6]Summary!F20</f>
        <v>4.2749999999999995</v>
      </c>
      <c r="G21" s="48">
        <f t="shared" si="0"/>
        <v>192.37499999999997</v>
      </c>
      <c r="H21" s="46"/>
    </row>
    <row r="22" spans="1:8" ht="23.25">
      <c r="A22" s="166">
        <v>18</v>
      </c>
      <c r="B22" s="70" t="s">
        <v>3362</v>
      </c>
      <c r="C22" s="70" t="s">
        <v>3363</v>
      </c>
      <c r="D22" s="71" t="s">
        <v>3330</v>
      </c>
      <c r="E22" s="72">
        <f>[6]Summary!E21</f>
        <v>14500</v>
      </c>
      <c r="F22" s="254">
        <f>[6]Summary!F21</f>
        <v>7.07</v>
      </c>
      <c r="G22" s="74">
        <f t="shared" si="0"/>
        <v>102515</v>
      </c>
      <c r="H22" s="71"/>
    </row>
    <row r="23" spans="1:8" ht="46.5">
      <c r="A23" s="81">
        <v>19</v>
      </c>
      <c r="B23" s="1" t="s">
        <v>3364</v>
      </c>
      <c r="C23" s="1" t="s">
        <v>3365</v>
      </c>
      <c r="D23" s="46" t="s">
        <v>135</v>
      </c>
      <c r="E23" s="47">
        <f>[6]Summary!E22</f>
        <v>2.5</v>
      </c>
      <c r="F23" s="253">
        <f>[6]Summary!F22</f>
        <v>12</v>
      </c>
      <c r="G23" s="48">
        <f t="shared" si="0"/>
        <v>30</v>
      </c>
      <c r="H23" s="46"/>
    </row>
    <row r="24" spans="1:8" ht="46.5">
      <c r="A24" s="166">
        <v>20</v>
      </c>
      <c r="B24" s="70" t="s">
        <v>3366</v>
      </c>
      <c r="C24" s="70" t="s">
        <v>3367</v>
      </c>
      <c r="D24" s="71" t="s">
        <v>135</v>
      </c>
      <c r="E24" s="72">
        <f>[6]Summary!E23</f>
        <v>0.85</v>
      </c>
      <c r="F24" s="254">
        <f>[6]Summary!F23</f>
        <v>25</v>
      </c>
      <c r="G24" s="74">
        <f t="shared" si="0"/>
        <v>21.25</v>
      </c>
      <c r="H24" s="71"/>
    </row>
    <row r="25" spans="1:8" ht="23.25">
      <c r="A25" s="81">
        <v>21</v>
      </c>
      <c r="B25" s="1" t="s">
        <v>3368</v>
      </c>
      <c r="C25" s="1" t="s">
        <v>3369</v>
      </c>
      <c r="D25" s="46" t="s">
        <v>135</v>
      </c>
      <c r="E25" s="47">
        <f>[6]Summary!E24</f>
        <v>3.11</v>
      </c>
      <c r="F25" s="253">
        <f>[6]Summary!F24</f>
        <v>13</v>
      </c>
      <c r="G25" s="48">
        <f t="shared" si="0"/>
        <v>40.43</v>
      </c>
      <c r="H25" s="46"/>
    </row>
    <row r="26" spans="1:8" ht="46.5">
      <c r="A26" s="166">
        <v>22</v>
      </c>
      <c r="B26" s="70" t="str">
        <f>'[6]Gypsum Board Smoothing Sponge'!$N$4</f>
        <v xml:space="preserve">اسفنج تنعيم جبسم بورد </v>
      </c>
      <c r="C26" s="70" t="s">
        <v>3370</v>
      </c>
      <c r="D26" s="71" t="s">
        <v>135</v>
      </c>
      <c r="E26" s="72">
        <f>[6]Summary!E25</f>
        <v>0.5</v>
      </c>
      <c r="F26" s="254">
        <f>[6]Summary!F25</f>
        <v>1</v>
      </c>
      <c r="G26" s="74">
        <f t="shared" si="0"/>
        <v>0.5</v>
      </c>
      <c r="H26" s="71"/>
    </row>
    <row r="27" spans="1:8" ht="23.25">
      <c r="A27" s="81">
        <v>23</v>
      </c>
      <c r="B27" s="1" t="s">
        <v>3371</v>
      </c>
      <c r="C27" s="1" t="s">
        <v>3372</v>
      </c>
      <c r="D27" s="46" t="s">
        <v>3373</v>
      </c>
      <c r="E27" s="47">
        <f>[6]Summary!E26</f>
        <v>95</v>
      </c>
      <c r="F27" s="253">
        <f>[6]Summary!F26</f>
        <v>0</v>
      </c>
      <c r="G27" s="48">
        <f t="shared" si="0"/>
        <v>0</v>
      </c>
      <c r="H27" s="46"/>
    </row>
    <row r="28" spans="1:8" ht="23.25">
      <c r="A28" s="166">
        <v>24</v>
      </c>
      <c r="B28" s="70" t="s">
        <v>3374</v>
      </c>
      <c r="C28" s="70" t="s">
        <v>3375</v>
      </c>
      <c r="D28" s="71" t="s">
        <v>3330</v>
      </c>
      <c r="E28" s="72">
        <f>[6]Summary!E27</f>
        <v>95</v>
      </c>
      <c r="F28" s="254">
        <f>[6]Summary!F27</f>
        <v>0</v>
      </c>
      <c r="G28" s="74">
        <f t="shared" si="0"/>
        <v>0</v>
      </c>
      <c r="H28" s="71"/>
    </row>
    <row r="29" spans="1:8" ht="23.25">
      <c r="A29" s="81">
        <v>25</v>
      </c>
      <c r="B29" s="1" t="s">
        <v>3374</v>
      </c>
      <c r="C29" s="1" t="s">
        <v>3376</v>
      </c>
      <c r="D29" s="46" t="s">
        <v>3330</v>
      </c>
      <c r="E29" s="47">
        <f>[6]Summary!E28</f>
        <v>72</v>
      </c>
      <c r="F29" s="253">
        <f>[6]Summary!F28</f>
        <v>0</v>
      </c>
      <c r="G29" s="48">
        <f t="shared" si="0"/>
        <v>0</v>
      </c>
      <c r="H29" s="46"/>
    </row>
    <row r="30" spans="1:8" ht="23.25">
      <c r="A30" s="166">
        <v>26</v>
      </c>
      <c r="B30" s="70" t="s">
        <v>3374</v>
      </c>
      <c r="C30" s="70" t="s">
        <v>3377</v>
      </c>
      <c r="D30" s="71" t="s">
        <v>3330</v>
      </c>
      <c r="E30" s="72">
        <f>[6]Summary!E29</f>
        <v>19</v>
      </c>
      <c r="F30" s="254">
        <f>[6]Summary!F29</f>
        <v>0</v>
      </c>
      <c r="G30" s="74">
        <f t="shared" si="0"/>
        <v>0</v>
      </c>
      <c r="H30" s="71"/>
    </row>
    <row r="31" spans="1:8" ht="23.25">
      <c r="A31" s="81">
        <v>27</v>
      </c>
      <c r="B31" s="1" t="s">
        <v>3374</v>
      </c>
      <c r="C31" s="1" t="s">
        <v>3378</v>
      </c>
      <c r="D31" s="46" t="s">
        <v>3330</v>
      </c>
      <c r="E31" s="47">
        <f>[6]Summary!E30</f>
        <v>19</v>
      </c>
      <c r="F31" s="253">
        <f>[6]Summary!F30</f>
        <v>0</v>
      </c>
      <c r="G31" s="48">
        <f t="shared" si="0"/>
        <v>0</v>
      </c>
      <c r="H31" s="46"/>
    </row>
    <row r="32" spans="1:8" ht="23.25">
      <c r="A32" s="166">
        <v>28</v>
      </c>
      <c r="B32" s="70" t="s">
        <v>3374</v>
      </c>
      <c r="C32" s="70" t="s">
        <v>3379</v>
      </c>
      <c r="D32" s="71" t="s">
        <v>3330</v>
      </c>
      <c r="E32" s="72">
        <f>[6]Summary!E31</f>
        <v>24</v>
      </c>
      <c r="F32" s="254">
        <f>[6]Summary!F31</f>
        <v>0</v>
      </c>
      <c r="G32" s="74">
        <f t="shared" si="0"/>
        <v>0</v>
      </c>
      <c r="H32" s="71"/>
    </row>
    <row r="33" spans="1:8" ht="23.25">
      <c r="A33" s="81">
        <v>29</v>
      </c>
      <c r="B33" s="1" t="s">
        <v>3374</v>
      </c>
      <c r="C33" s="1" t="s">
        <v>3380</v>
      </c>
      <c r="D33" s="46" t="s">
        <v>3330</v>
      </c>
      <c r="E33" s="47">
        <f>[6]Summary!E32</f>
        <v>60</v>
      </c>
      <c r="F33" s="253">
        <f>[6]Summary!F32</f>
        <v>0</v>
      </c>
      <c r="G33" s="48">
        <f t="shared" si="0"/>
        <v>0</v>
      </c>
      <c r="H33" s="46"/>
    </row>
    <row r="34" spans="1:8" ht="23.25">
      <c r="A34" s="166">
        <v>30</v>
      </c>
      <c r="B34" s="70" t="s">
        <v>3374</v>
      </c>
      <c r="C34" s="70" t="s">
        <v>3381</v>
      </c>
      <c r="D34" s="71" t="s">
        <v>3330</v>
      </c>
      <c r="E34" s="72">
        <f>[6]Summary!E33</f>
        <v>23</v>
      </c>
      <c r="F34" s="254">
        <f>[6]Summary!F33</f>
        <v>0</v>
      </c>
      <c r="G34" s="74">
        <f t="shared" si="0"/>
        <v>0</v>
      </c>
      <c r="H34" s="71"/>
    </row>
    <row r="35" spans="1:8" ht="23.25">
      <c r="A35" s="81">
        <v>31</v>
      </c>
      <c r="B35" s="1" t="s">
        <v>3374</v>
      </c>
      <c r="C35" s="1" t="s">
        <v>3382</v>
      </c>
      <c r="D35" s="46" t="s">
        <v>3330</v>
      </c>
      <c r="E35" s="47">
        <f>[6]Summary!E34</f>
        <v>60</v>
      </c>
      <c r="F35" s="253">
        <f>[6]Summary!F34</f>
        <v>0</v>
      </c>
      <c r="G35" s="48">
        <f t="shared" si="0"/>
        <v>0</v>
      </c>
      <c r="H35" s="46"/>
    </row>
    <row r="36" spans="1:8" ht="46.5">
      <c r="A36" s="166">
        <v>32</v>
      </c>
      <c r="B36" s="70" t="s">
        <v>3383</v>
      </c>
      <c r="C36" s="70" t="s">
        <v>3384</v>
      </c>
      <c r="D36" s="71" t="s">
        <v>3330</v>
      </c>
      <c r="E36" s="72">
        <f>[6]Summary!E35</f>
        <v>30</v>
      </c>
      <c r="F36" s="254">
        <f>[6]Summary!F35</f>
        <v>0</v>
      </c>
      <c r="G36" s="74">
        <f t="shared" si="0"/>
        <v>0</v>
      </c>
      <c r="H36" s="71"/>
    </row>
    <row r="37" spans="1:8" ht="23.25">
      <c r="A37" s="81">
        <v>33</v>
      </c>
      <c r="B37" s="1" t="s">
        <v>3385</v>
      </c>
      <c r="C37" s="1" t="s">
        <v>3386</v>
      </c>
      <c r="D37" s="46" t="s">
        <v>3330</v>
      </c>
      <c r="E37" s="47">
        <f>[6]Summary!E36</f>
        <v>23</v>
      </c>
      <c r="F37" s="253">
        <f>[6]Summary!F36</f>
        <v>6.5</v>
      </c>
      <c r="G37" s="48">
        <f t="shared" ref="G37:G68" si="1">F37*E37</f>
        <v>149.5</v>
      </c>
      <c r="H37" s="46"/>
    </row>
    <row r="38" spans="1:8" ht="23.25">
      <c r="A38" s="166">
        <v>34</v>
      </c>
      <c r="B38" s="70" t="s">
        <v>3387</v>
      </c>
      <c r="C38" s="70" t="s">
        <v>3388</v>
      </c>
      <c r="D38" s="71" t="s">
        <v>3389</v>
      </c>
      <c r="E38" s="72">
        <f>[6]Summary!E37</f>
        <v>14</v>
      </c>
      <c r="F38" s="254">
        <f>[6]Summary!F37</f>
        <v>0</v>
      </c>
      <c r="G38" s="74">
        <f t="shared" si="1"/>
        <v>0</v>
      </c>
      <c r="H38" s="71"/>
    </row>
    <row r="39" spans="1:8" ht="23.25">
      <c r="A39" s="81">
        <v>35</v>
      </c>
      <c r="B39" s="1" t="s">
        <v>3390</v>
      </c>
      <c r="C39" s="1" t="s">
        <v>3391</v>
      </c>
      <c r="D39" s="46" t="s">
        <v>3330</v>
      </c>
      <c r="E39" s="47">
        <f>[6]Summary!E38</f>
        <v>10.199999999999999</v>
      </c>
      <c r="F39" s="253">
        <f>[6]Summary!F38</f>
        <v>5.85</v>
      </c>
      <c r="G39" s="48">
        <f t="shared" si="1"/>
        <v>59.669999999999995</v>
      </c>
      <c r="H39" s="46"/>
    </row>
    <row r="40" spans="1:8" ht="23.25">
      <c r="A40" s="166">
        <v>36</v>
      </c>
      <c r="B40" s="70" t="s">
        <v>3392</v>
      </c>
      <c r="C40" s="70" t="s">
        <v>3393</v>
      </c>
      <c r="D40" s="71" t="s">
        <v>3330</v>
      </c>
      <c r="E40" s="72">
        <f>[6]Summary!E39</f>
        <v>27.75</v>
      </c>
      <c r="F40" s="254">
        <f>[6]Summary!F39</f>
        <v>0.25</v>
      </c>
      <c r="G40" s="74">
        <f t="shared" si="1"/>
        <v>6.9375</v>
      </c>
      <c r="H40" s="71"/>
    </row>
    <row r="41" spans="1:8" ht="23.25">
      <c r="A41" s="81">
        <v>37</v>
      </c>
      <c r="B41" s="1" t="str">
        <f>'[6]Original Wood Glue 3.78lt'!$L$4</f>
        <v xml:space="preserve">صمغ خشب 3.78لتر </v>
      </c>
      <c r="C41" s="1" t="s">
        <v>3394</v>
      </c>
      <c r="D41" s="46" t="s">
        <v>3330</v>
      </c>
      <c r="E41" s="47">
        <f>[6]Summary!E40</f>
        <v>35</v>
      </c>
      <c r="F41" s="253">
        <f>[6]Summary!F40</f>
        <v>0</v>
      </c>
      <c r="G41" s="48">
        <f t="shared" si="1"/>
        <v>0</v>
      </c>
      <c r="H41" s="46"/>
    </row>
    <row r="42" spans="1:8" ht="23.25">
      <c r="A42" s="166">
        <v>38</v>
      </c>
      <c r="B42" s="70" t="s">
        <v>3395</v>
      </c>
      <c r="C42" s="70" t="s">
        <v>3396</v>
      </c>
      <c r="D42" s="71" t="s">
        <v>3330</v>
      </c>
      <c r="E42" s="72">
        <f>[6]Summary!E41</f>
        <v>9.5500000000000007</v>
      </c>
      <c r="F42" s="254">
        <f>[6]Summary!F41</f>
        <v>2.9379999999999979</v>
      </c>
      <c r="G42" s="74">
        <f t="shared" si="1"/>
        <v>28.057899999999982</v>
      </c>
      <c r="H42" s="71"/>
    </row>
    <row r="43" spans="1:8" ht="23.25">
      <c r="A43" s="81">
        <v>39</v>
      </c>
      <c r="B43" s="1" t="s">
        <v>3397</v>
      </c>
      <c r="C43" s="1" t="s">
        <v>3398</v>
      </c>
      <c r="D43" s="46" t="s">
        <v>135</v>
      </c>
      <c r="E43" s="47">
        <f>[6]Summary!E42</f>
        <v>0.19170000000000001</v>
      </c>
      <c r="F43" s="253">
        <f>[6]Summary!F42</f>
        <v>54</v>
      </c>
      <c r="G43" s="48">
        <f t="shared" si="1"/>
        <v>10.351800000000001</v>
      </c>
      <c r="H43" s="46"/>
    </row>
    <row r="44" spans="1:8" ht="23.25">
      <c r="A44" s="166">
        <v>40</v>
      </c>
      <c r="B44" s="70" t="s">
        <v>3399</v>
      </c>
      <c r="C44" s="70" t="s">
        <v>3400</v>
      </c>
      <c r="D44" s="71" t="s">
        <v>135</v>
      </c>
      <c r="E44" s="72">
        <f>[6]Summary!E43</f>
        <v>0.54</v>
      </c>
      <c r="F44" s="254">
        <f>[6]Summary!F43</f>
        <v>9</v>
      </c>
      <c r="G44" s="74">
        <f t="shared" si="1"/>
        <v>4.8600000000000003</v>
      </c>
      <c r="H44" s="71"/>
    </row>
    <row r="45" spans="1:8" ht="23.25">
      <c r="A45" s="81">
        <v>41</v>
      </c>
      <c r="B45" s="1" t="s">
        <v>3401</v>
      </c>
      <c r="C45" s="1" t="s">
        <v>3402</v>
      </c>
      <c r="D45" s="46" t="s">
        <v>135</v>
      </c>
      <c r="E45" s="47">
        <f>[6]Summary!E44</f>
        <v>0.17</v>
      </c>
      <c r="F45" s="253">
        <f>[6]Summary!F44</f>
        <v>0</v>
      </c>
      <c r="G45" s="48">
        <f t="shared" si="1"/>
        <v>0</v>
      </c>
      <c r="H45" s="46"/>
    </row>
    <row r="46" spans="1:8" ht="23.25">
      <c r="A46" s="166">
        <v>42</v>
      </c>
      <c r="B46" s="70" t="s">
        <v>3403</v>
      </c>
      <c r="C46" s="70" t="s">
        <v>3404</v>
      </c>
      <c r="D46" s="71" t="s">
        <v>135</v>
      </c>
      <c r="E46" s="72">
        <f>[6]Summary!E45</f>
        <v>1.034</v>
      </c>
      <c r="F46" s="254">
        <f>[6]Summary!F45</f>
        <v>0</v>
      </c>
      <c r="G46" s="74">
        <f t="shared" si="1"/>
        <v>0</v>
      </c>
      <c r="H46" s="71"/>
    </row>
    <row r="47" spans="1:8" ht="23.25">
      <c r="A47" s="81">
        <v>43</v>
      </c>
      <c r="B47" s="1" t="s">
        <v>3405</v>
      </c>
      <c r="C47" s="1" t="s">
        <v>3406</v>
      </c>
      <c r="D47" s="46" t="s">
        <v>135</v>
      </c>
      <c r="E47" s="47">
        <f>[6]Summary!E46</f>
        <v>1.54</v>
      </c>
      <c r="F47" s="253">
        <f>[6]Summary!F46</f>
        <v>0</v>
      </c>
      <c r="G47" s="48">
        <f t="shared" si="1"/>
        <v>0</v>
      </c>
      <c r="H47" s="46"/>
    </row>
    <row r="48" spans="1:8" ht="23.25">
      <c r="A48" s="166">
        <v>44</v>
      </c>
      <c r="B48" s="70" t="s">
        <v>3407</v>
      </c>
      <c r="C48" s="70" t="s">
        <v>3408</v>
      </c>
      <c r="D48" s="71" t="s">
        <v>135</v>
      </c>
      <c r="E48" s="72">
        <f>[6]Summary!E47</f>
        <v>2.0499999999999998</v>
      </c>
      <c r="F48" s="254">
        <f>[6]Summary!F47</f>
        <v>0</v>
      </c>
      <c r="G48" s="74">
        <f t="shared" si="1"/>
        <v>0</v>
      </c>
      <c r="H48" s="71"/>
    </row>
    <row r="49" spans="1:8" ht="23.25">
      <c r="A49" s="81">
        <v>45</v>
      </c>
      <c r="B49" s="1" t="s">
        <v>3409</v>
      </c>
      <c r="C49" s="1" t="s">
        <v>3410</v>
      </c>
      <c r="D49" s="46" t="s">
        <v>135</v>
      </c>
      <c r="E49" s="47">
        <f>[6]Summary!E48</f>
        <v>2.5</v>
      </c>
      <c r="F49" s="253">
        <f>[6]Summary!F48</f>
        <v>0</v>
      </c>
      <c r="G49" s="48">
        <f t="shared" si="1"/>
        <v>0</v>
      </c>
      <c r="H49" s="46"/>
    </row>
    <row r="50" spans="1:8" ht="23.25">
      <c r="A50" s="166">
        <v>46</v>
      </c>
      <c r="B50" s="70" t="s">
        <v>3411</v>
      </c>
      <c r="C50" s="70" t="s">
        <v>3412</v>
      </c>
      <c r="D50" s="71" t="s">
        <v>3330</v>
      </c>
      <c r="E50" s="72">
        <f>[6]Summary!E49</f>
        <v>5.5</v>
      </c>
      <c r="F50" s="254">
        <f>[6]Summary!F49</f>
        <v>34.731999999999999</v>
      </c>
      <c r="G50" s="74">
        <f t="shared" si="1"/>
        <v>191.02600000000001</v>
      </c>
      <c r="H50" s="71"/>
    </row>
    <row r="51" spans="1:8" ht="46.5">
      <c r="A51" s="81">
        <v>47</v>
      </c>
      <c r="B51" s="1" t="s">
        <v>3413</v>
      </c>
      <c r="C51" s="1" t="s">
        <v>3414</v>
      </c>
      <c r="D51" s="46" t="s">
        <v>3330</v>
      </c>
      <c r="E51" s="47">
        <f>[6]Summary!E50</f>
        <v>39</v>
      </c>
      <c r="F51" s="253">
        <f>[6]Summary!F50</f>
        <v>9.9999999999999992E-2</v>
      </c>
      <c r="G51" s="48">
        <f t="shared" si="1"/>
        <v>3.8999999999999995</v>
      </c>
      <c r="H51" s="46"/>
    </row>
    <row r="52" spans="1:8" ht="46.5">
      <c r="A52" s="166">
        <v>48</v>
      </c>
      <c r="B52" s="70" t="s">
        <v>3415</v>
      </c>
      <c r="C52" s="70" t="s">
        <v>3416</v>
      </c>
      <c r="D52" s="71" t="s">
        <v>3330</v>
      </c>
      <c r="E52" s="72">
        <f>[6]Summary!E51</f>
        <v>210</v>
      </c>
      <c r="F52" s="254">
        <f>[6]Summary!F51</f>
        <v>0</v>
      </c>
      <c r="G52" s="74">
        <f t="shared" si="1"/>
        <v>0</v>
      </c>
      <c r="H52" s="71"/>
    </row>
    <row r="53" spans="1:8" ht="46.5">
      <c r="A53" s="81">
        <v>49</v>
      </c>
      <c r="B53" s="1" t="s">
        <v>3417</v>
      </c>
      <c r="C53" s="1" t="s">
        <v>3418</v>
      </c>
      <c r="D53" s="46" t="s">
        <v>3330</v>
      </c>
      <c r="E53" s="47">
        <f>[6]Summary!E52</f>
        <v>157</v>
      </c>
      <c r="F53" s="253">
        <f>[6]Summary!F52</f>
        <v>1</v>
      </c>
      <c r="G53" s="48">
        <f t="shared" si="1"/>
        <v>157</v>
      </c>
      <c r="H53" s="46"/>
    </row>
    <row r="54" spans="1:8" ht="46.5">
      <c r="A54" s="166">
        <v>50</v>
      </c>
      <c r="B54" s="70" t="s">
        <v>3419</v>
      </c>
      <c r="C54" s="70" t="s">
        <v>3420</v>
      </c>
      <c r="D54" s="71" t="s">
        <v>3330</v>
      </c>
      <c r="E54" s="72">
        <f>[6]Summary!E53</f>
        <v>173</v>
      </c>
      <c r="F54" s="254">
        <f>[6]Summary!F53</f>
        <v>0.33499999999999996</v>
      </c>
      <c r="G54" s="74">
        <f t="shared" si="1"/>
        <v>57.954999999999991</v>
      </c>
      <c r="H54" s="71"/>
    </row>
    <row r="55" spans="1:8" ht="23.25">
      <c r="A55" s="81">
        <v>51</v>
      </c>
      <c r="B55" s="1" t="s">
        <v>3421</v>
      </c>
      <c r="C55" s="1" t="s">
        <v>3422</v>
      </c>
      <c r="D55" s="46" t="s">
        <v>3330</v>
      </c>
      <c r="E55" s="47">
        <f>[6]Summary!E54</f>
        <v>36</v>
      </c>
      <c r="F55" s="253">
        <f>[6]Summary!F54</f>
        <v>0</v>
      </c>
      <c r="G55" s="48">
        <f t="shared" si="1"/>
        <v>0</v>
      </c>
      <c r="H55" s="46"/>
    </row>
    <row r="56" spans="1:8" ht="23.25">
      <c r="A56" s="166">
        <v>52</v>
      </c>
      <c r="B56" s="70" t="s">
        <v>3423</v>
      </c>
      <c r="C56" s="70" t="s">
        <v>3424</v>
      </c>
      <c r="D56" s="71" t="s">
        <v>135</v>
      </c>
      <c r="E56" s="72">
        <f>[6]Summary!E55</f>
        <v>0.8</v>
      </c>
      <c r="F56" s="254">
        <f>[6]Summary!F55</f>
        <v>0</v>
      </c>
      <c r="G56" s="74">
        <f t="shared" si="1"/>
        <v>0</v>
      </c>
      <c r="H56" s="71"/>
    </row>
    <row r="57" spans="1:8" ht="23.25">
      <c r="A57" s="81">
        <v>53</v>
      </c>
      <c r="B57" s="1" t="s">
        <v>3425</v>
      </c>
      <c r="C57" s="1" t="s">
        <v>3426</v>
      </c>
      <c r="D57" s="46" t="s">
        <v>135</v>
      </c>
      <c r="E57" s="47">
        <f>[6]Summary!E56</f>
        <v>0.8</v>
      </c>
      <c r="F57" s="253">
        <f>[6]Summary!F56</f>
        <v>92</v>
      </c>
      <c r="G57" s="48">
        <f t="shared" si="1"/>
        <v>73.600000000000009</v>
      </c>
      <c r="H57" s="46"/>
    </row>
    <row r="58" spans="1:8" ht="23.25">
      <c r="A58" s="166">
        <v>54</v>
      </c>
      <c r="B58" s="70" t="s">
        <v>3427</v>
      </c>
      <c r="C58" s="70" t="s">
        <v>3428</v>
      </c>
      <c r="D58" s="71" t="s">
        <v>135</v>
      </c>
      <c r="E58" s="72">
        <f>[6]Summary!E57</f>
        <v>2.48</v>
      </c>
      <c r="F58" s="254">
        <f>[6]Summary!F57</f>
        <v>5.5</v>
      </c>
      <c r="G58" s="74">
        <f t="shared" si="1"/>
        <v>13.64</v>
      </c>
      <c r="H58" s="71"/>
    </row>
    <row r="59" spans="1:8" ht="23.25">
      <c r="A59" s="81">
        <v>55</v>
      </c>
      <c r="B59" s="1" t="s">
        <v>3429</v>
      </c>
      <c r="C59" s="1" t="s">
        <v>3430</v>
      </c>
      <c r="D59" s="46" t="s">
        <v>135</v>
      </c>
      <c r="E59" s="47">
        <f>[6]Summary!E58</f>
        <v>0.74</v>
      </c>
      <c r="F59" s="253">
        <f>[6]Summary!F58</f>
        <v>92.28</v>
      </c>
      <c r="G59" s="48">
        <f t="shared" si="1"/>
        <v>68.287199999999999</v>
      </c>
      <c r="H59" s="46"/>
    </row>
    <row r="60" spans="1:8" ht="23.25">
      <c r="A60" s="166">
        <v>56</v>
      </c>
      <c r="B60" s="70" t="s">
        <v>3431</v>
      </c>
      <c r="C60" s="70" t="s">
        <v>3432</v>
      </c>
      <c r="D60" s="71" t="s">
        <v>135</v>
      </c>
      <c r="E60" s="72">
        <f>[6]Summary!E59</f>
        <v>1.25</v>
      </c>
      <c r="F60" s="254">
        <f>[6]Summary!F59</f>
        <v>0</v>
      </c>
      <c r="G60" s="74">
        <f t="shared" si="1"/>
        <v>0</v>
      </c>
      <c r="H60" s="71"/>
    </row>
    <row r="61" spans="1:8" ht="23.25">
      <c r="A61" s="81">
        <v>57</v>
      </c>
      <c r="B61" s="1" t="s">
        <v>3433</v>
      </c>
      <c r="C61" s="1" t="s">
        <v>3434</v>
      </c>
      <c r="D61" s="46" t="s">
        <v>135</v>
      </c>
      <c r="E61" s="47">
        <f>[6]Summary!E60</f>
        <v>0.33</v>
      </c>
      <c r="F61" s="253">
        <f>[6]Summary!F60</f>
        <v>370</v>
      </c>
      <c r="G61" s="48">
        <f t="shared" si="1"/>
        <v>122.10000000000001</v>
      </c>
      <c r="H61" s="46"/>
    </row>
    <row r="62" spans="1:8" ht="23.25">
      <c r="A62" s="166">
        <v>58</v>
      </c>
      <c r="B62" s="70" t="s">
        <v>3435</v>
      </c>
      <c r="C62" s="70" t="s">
        <v>3436</v>
      </c>
      <c r="D62" s="71" t="s">
        <v>3437</v>
      </c>
      <c r="E62" s="72">
        <f>[6]Summary!E61</f>
        <v>5.5</v>
      </c>
      <c r="F62" s="254">
        <f>[6]Summary!F61</f>
        <v>11</v>
      </c>
      <c r="G62" s="74">
        <f t="shared" si="1"/>
        <v>60.5</v>
      </c>
      <c r="H62" s="71"/>
    </row>
    <row r="63" spans="1:8" ht="23.25">
      <c r="A63" s="81">
        <v>59</v>
      </c>
      <c r="B63" s="1" t="s">
        <v>3438</v>
      </c>
      <c r="C63" s="1" t="s">
        <v>3439</v>
      </c>
      <c r="D63" s="46" t="s">
        <v>135</v>
      </c>
      <c r="E63" s="47">
        <f>[6]Summary!E62</f>
        <v>1</v>
      </c>
      <c r="F63" s="253">
        <f>[6]Summary!F62</f>
        <v>7</v>
      </c>
      <c r="G63" s="48">
        <f t="shared" si="1"/>
        <v>7</v>
      </c>
      <c r="H63" s="46"/>
    </row>
    <row r="64" spans="1:8" ht="23.25">
      <c r="A64" s="166">
        <v>60</v>
      </c>
      <c r="B64" s="70" t="s">
        <v>3440</v>
      </c>
      <c r="C64" s="70" t="s">
        <v>3441</v>
      </c>
      <c r="D64" s="71" t="s">
        <v>3330</v>
      </c>
      <c r="E64" s="72">
        <f>[6]Summary!E63</f>
        <v>90</v>
      </c>
      <c r="F64" s="254">
        <f>[6]Summary!F63</f>
        <v>0</v>
      </c>
      <c r="G64" s="74">
        <f t="shared" si="1"/>
        <v>0</v>
      </c>
      <c r="H64" s="71"/>
    </row>
    <row r="65" spans="1:8" ht="23.25">
      <c r="A65" s="81">
        <v>61</v>
      </c>
      <c r="B65" s="1" t="s">
        <v>3442</v>
      </c>
      <c r="C65" s="1" t="s">
        <v>3443</v>
      </c>
      <c r="D65" s="46" t="s">
        <v>3330</v>
      </c>
      <c r="E65" s="47">
        <f>[6]Summary!E64</f>
        <v>35</v>
      </c>
      <c r="F65" s="253">
        <f>[6]Summary!F64</f>
        <v>0</v>
      </c>
      <c r="G65" s="48">
        <f t="shared" si="1"/>
        <v>0</v>
      </c>
      <c r="H65" s="46"/>
    </row>
    <row r="66" spans="1:8" ht="23.25">
      <c r="A66" s="166">
        <v>62</v>
      </c>
      <c r="B66" s="70" t="s">
        <v>3444</v>
      </c>
      <c r="C66" s="70" t="s">
        <v>3445</v>
      </c>
      <c r="D66" s="71" t="s">
        <v>135</v>
      </c>
      <c r="E66" s="72">
        <f>[6]Summary!E65</f>
        <v>18</v>
      </c>
      <c r="F66" s="254">
        <f>[6]Summary!F65</f>
        <v>0</v>
      </c>
      <c r="G66" s="74">
        <f t="shared" si="1"/>
        <v>0</v>
      </c>
      <c r="H66" s="71"/>
    </row>
    <row r="67" spans="1:8" ht="23.25">
      <c r="A67" s="81">
        <v>63</v>
      </c>
      <c r="B67" s="1" t="s">
        <v>3446</v>
      </c>
      <c r="C67" s="1" t="s">
        <v>3447</v>
      </c>
      <c r="D67" s="46" t="s">
        <v>3330</v>
      </c>
      <c r="E67" s="47">
        <f>[6]Summary!E66</f>
        <v>13</v>
      </c>
      <c r="F67" s="253">
        <f>[6]Summary!F66</f>
        <v>1.5</v>
      </c>
      <c r="G67" s="48">
        <f t="shared" si="1"/>
        <v>19.5</v>
      </c>
      <c r="H67" s="46"/>
    </row>
    <row r="68" spans="1:8" ht="46.5">
      <c r="A68" s="166">
        <v>64</v>
      </c>
      <c r="B68" s="70" t="s">
        <v>3448</v>
      </c>
      <c r="C68" s="70" t="s">
        <v>3449</v>
      </c>
      <c r="D68" s="71" t="s">
        <v>3330</v>
      </c>
      <c r="E68" s="72">
        <f>[6]Summary!E67</f>
        <v>180</v>
      </c>
      <c r="F68" s="254">
        <f>[6]Summary!F67</f>
        <v>0</v>
      </c>
      <c r="G68" s="74">
        <f t="shared" si="1"/>
        <v>0</v>
      </c>
      <c r="H68" s="71"/>
    </row>
    <row r="69" spans="1:8" ht="23.25">
      <c r="A69" s="81">
        <v>65</v>
      </c>
      <c r="B69" s="1" t="s">
        <v>3450</v>
      </c>
      <c r="C69" s="1" t="s">
        <v>3451</v>
      </c>
      <c r="D69" s="46" t="s">
        <v>135</v>
      </c>
      <c r="E69" s="47">
        <f>[6]Summary!E68</f>
        <v>0.52100000000000002</v>
      </c>
      <c r="F69" s="253">
        <f>[6]Summary!F68</f>
        <v>29</v>
      </c>
      <c r="G69" s="48">
        <f t="shared" ref="G69:G100" si="2">F69*E69</f>
        <v>15.109</v>
      </c>
      <c r="H69" s="46"/>
    </row>
    <row r="70" spans="1:8" ht="23.25">
      <c r="A70" s="166">
        <v>66</v>
      </c>
      <c r="B70" s="70" t="s">
        <v>3452</v>
      </c>
      <c r="C70" s="70" t="s">
        <v>3453</v>
      </c>
      <c r="D70" s="71" t="s">
        <v>3373</v>
      </c>
      <c r="E70" s="72">
        <f>[6]Summary!E69</f>
        <v>2.35</v>
      </c>
      <c r="F70" s="254">
        <f>[6]Summary!F69</f>
        <v>1</v>
      </c>
      <c r="G70" s="74">
        <f t="shared" si="2"/>
        <v>2.35</v>
      </c>
      <c r="H70" s="71"/>
    </row>
    <row r="71" spans="1:8" ht="23.25">
      <c r="A71" s="81">
        <v>67</v>
      </c>
      <c r="B71" s="1" t="s">
        <v>3454</v>
      </c>
      <c r="C71" s="1" t="s">
        <v>3455</v>
      </c>
      <c r="D71" s="46" t="s">
        <v>3373</v>
      </c>
      <c r="E71" s="47">
        <f>[6]Summary!E70</f>
        <v>7</v>
      </c>
      <c r="F71" s="253">
        <f>[6]Summary!F70</f>
        <v>0</v>
      </c>
      <c r="G71" s="48">
        <f t="shared" si="2"/>
        <v>0</v>
      </c>
      <c r="H71" s="46"/>
    </row>
    <row r="72" spans="1:8" ht="23.25">
      <c r="A72" s="166">
        <v>68</v>
      </c>
      <c r="B72" s="70" t="s">
        <v>3456</v>
      </c>
      <c r="C72" s="70" t="s">
        <v>3457</v>
      </c>
      <c r="D72" s="71" t="s">
        <v>3373</v>
      </c>
      <c r="E72" s="72">
        <f>[6]Summary!E71</f>
        <v>1.69</v>
      </c>
      <c r="F72" s="254">
        <f>[6]Summary!F71</f>
        <v>0</v>
      </c>
      <c r="G72" s="74">
        <f t="shared" si="2"/>
        <v>0</v>
      </c>
      <c r="H72" s="71"/>
    </row>
    <row r="73" spans="1:8" ht="23.25">
      <c r="A73" s="81">
        <v>69</v>
      </c>
      <c r="B73" s="1" t="s">
        <v>3458</v>
      </c>
      <c r="C73" s="1" t="s">
        <v>3459</v>
      </c>
      <c r="D73" s="46" t="s">
        <v>3373</v>
      </c>
      <c r="E73" s="47">
        <f>[6]Summary!E72</f>
        <v>8</v>
      </c>
      <c r="F73" s="253">
        <f>[6]Summary!F72</f>
        <v>1.0999999999999999</v>
      </c>
      <c r="G73" s="48">
        <f t="shared" si="2"/>
        <v>8.7999999999999989</v>
      </c>
      <c r="H73" s="46"/>
    </row>
    <row r="74" spans="1:8" ht="23.25">
      <c r="A74" s="166">
        <v>70</v>
      </c>
      <c r="B74" s="70" t="s">
        <v>3460</v>
      </c>
      <c r="C74" s="70" t="s">
        <v>3461</v>
      </c>
      <c r="D74" s="71" t="s">
        <v>3330</v>
      </c>
      <c r="E74" s="72">
        <f>[6]Summary!E73</f>
        <v>880</v>
      </c>
      <c r="F74" s="254">
        <f>[6]Summary!F73</f>
        <v>0</v>
      </c>
      <c r="G74" s="74">
        <f t="shared" si="2"/>
        <v>0</v>
      </c>
      <c r="H74" s="71"/>
    </row>
    <row r="75" spans="1:8" ht="23.25">
      <c r="A75" s="81">
        <v>71</v>
      </c>
      <c r="B75" s="1" t="s">
        <v>3462</v>
      </c>
      <c r="C75" s="1" t="s">
        <v>3463</v>
      </c>
      <c r="D75" s="46" t="s">
        <v>3330</v>
      </c>
      <c r="E75" s="47">
        <f>[6]Summary!E74</f>
        <v>195</v>
      </c>
      <c r="F75" s="253">
        <f>[6]Summary!F74</f>
        <v>0</v>
      </c>
      <c r="G75" s="48">
        <f t="shared" si="2"/>
        <v>0</v>
      </c>
      <c r="H75" s="46"/>
    </row>
    <row r="76" spans="1:8" ht="23.25">
      <c r="A76" s="166">
        <v>72</v>
      </c>
      <c r="B76" s="70" t="s">
        <v>3464</v>
      </c>
      <c r="C76" s="70" t="s">
        <v>3465</v>
      </c>
      <c r="D76" s="71" t="s">
        <v>3330</v>
      </c>
      <c r="E76" s="72">
        <f>[6]Summary!E75</f>
        <v>21</v>
      </c>
      <c r="F76" s="254">
        <f>[6]Summary!F75</f>
        <v>0</v>
      </c>
      <c r="G76" s="74">
        <f t="shared" si="2"/>
        <v>0</v>
      </c>
      <c r="H76" s="71"/>
    </row>
    <row r="77" spans="1:8" ht="23.25">
      <c r="A77" s="81">
        <v>73</v>
      </c>
      <c r="B77" s="1" t="s">
        <v>3466</v>
      </c>
      <c r="C77" s="1" t="s">
        <v>3467</v>
      </c>
      <c r="D77" s="46" t="s">
        <v>135</v>
      </c>
      <c r="E77" s="47">
        <f>[6]Summary!E76</f>
        <v>6</v>
      </c>
      <c r="F77" s="253">
        <f>[6]Summary!F76</f>
        <v>0</v>
      </c>
      <c r="G77" s="48">
        <f t="shared" si="2"/>
        <v>0</v>
      </c>
      <c r="H77" s="46"/>
    </row>
    <row r="78" spans="1:8" ht="46.5">
      <c r="A78" s="166">
        <v>74</v>
      </c>
      <c r="B78" s="70" t="s">
        <v>3468</v>
      </c>
      <c r="C78" s="70" t="s">
        <v>3469</v>
      </c>
      <c r="D78" s="71" t="s">
        <v>135</v>
      </c>
      <c r="E78" s="72">
        <f>[6]Summary!E77</f>
        <v>6</v>
      </c>
      <c r="F78" s="254">
        <f>[6]Summary!F77</f>
        <v>10</v>
      </c>
      <c r="G78" s="74">
        <f t="shared" si="2"/>
        <v>60</v>
      </c>
      <c r="H78" s="71"/>
    </row>
    <row r="79" spans="1:8" ht="46.5">
      <c r="A79" s="81">
        <v>75</v>
      </c>
      <c r="B79" s="1" t="s">
        <v>3470</v>
      </c>
      <c r="C79" s="1" t="s">
        <v>3471</v>
      </c>
      <c r="D79" s="46" t="s">
        <v>3330</v>
      </c>
      <c r="E79" s="47">
        <f>[6]Summary!E78</f>
        <v>160</v>
      </c>
      <c r="F79" s="253">
        <f>[6]Summary!F78</f>
        <v>0</v>
      </c>
      <c r="G79" s="48">
        <f t="shared" si="2"/>
        <v>0</v>
      </c>
      <c r="H79" s="46"/>
    </row>
    <row r="80" spans="1:8" ht="46.5">
      <c r="A80" s="166">
        <v>76</v>
      </c>
      <c r="B80" s="70" t="s">
        <v>3472</v>
      </c>
      <c r="C80" s="70" t="s">
        <v>3473</v>
      </c>
      <c r="D80" s="71" t="s">
        <v>3330</v>
      </c>
      <c r="E80" s="72">
        <f>[6]Summary!E79</f>
        <v>184</v>
      </c>
      <c r="F80" s="254">
        <f>[6]Summary!F79</f>
        <v>0</v>
      </c>
      <c r="G80" s="74">
        <f t="shared" si="2"/>
        <v>0</v>
      </c>
      <c r="H80" s="71"/>
    </row>
    <row r="81" spans="1:8" ht="23.25">
      <c r="A81" s="81">
        <v>77</v>
      </c>
      <c r="B81" s="1" t="s">
        <v>3474</v>
      </c>
      <c r="C81" s="1" t="s">
        <v>3475</v>
      </c>
      <c r="D81" s="46" t="s">
        <v>3330</v>
      </c>
      <c r="E81" s="47">
        <f>[6]Summary!E80</f>
        <v>220</v>
      </c>
      <c r="F81" s="253">
        <f>[6]Summary!F80</f>
        <v>0</v>
      </c>
      <c r="G81" s="48">
        <f t="shared" si="2"/>
        <v>0</v>
      </c>
      <c r="H81" s="46"/>
    </row>
    <row r="82" spans="1:8" ht="23.25">
      <c r="A82" s="166">
        <v>78</v>
      </c>
      <c r="B82" s="70" t="s">
        <v>3476</v>
      </c>
      <c r="C82" s="70" t="s">
        <v>3477</v>
      </c>
      <c r="D82" s="71" t="s">
        <v>3330</v>
      </c>
      <c r="E82" s="72">
        <f>[6]Summary!E81</f>
        <v>46</v>
      </c>
      <c r="F82" s="254">
        <f>[6]Summary!F81</f>
        <v>0</v>
      </c>
      <c r="G82" s="74">
        <f t="shared" si="2"/>
        <v>0</v>
      </c>
      <c r="H82" s="71"/>
    </row>
    <row r="83" spans="1:8" ht="23.25">
      <c r="A83" s="81">
        <v>79</v>
      </c>
      <c r="B83" s="1" t="s">
        <v>3478</v>
      </c>
      <c r="C83" s="1" t="s">
        <v>3479</v>
      </c>
      <c r="D83" s="46" t="s">
        <v>3330</v>
      </c>
      <c r="E83" s="47">
        <f>[6]Summary!E82</f>
        <v>135</v>
      </c>
      <c r="F83" s="253">
        <f>[6]Summary!F82</f>
        <v>0</v>
      </c>
      <c r="G83" s="48">
        <f t="shared" si="2"/>
        <v>0</v>
      </c>
      <c r="H83" s="46"/>
    </row>
    <row r="84" spans="1:8" ht="23.25">
      <c r="A84" s="166">
        <v>80</v>
      </c>
      <c r="B84" s="70" t="s">
        <v>3480</v>
      </c>
      <c r="C84" s="70" t="s">
        <v>3481</v>
      </c>
      <c r="D84" s="71" t="s">
        <v>3330</v>
      </c>
      <c r="E84" s="72">
        <f>[6]Summary!E83</f>
        <v>9</v>
      </c>
      <c r="F84" s="254">
        <f>[6]Summary!F83</f>
        <v>0</v>
      </c>
      <c r="G84" s="74">
        <f t="shared" si="2"/>
        <v>0</v>
      </c>
      <c r="H84" s="71"/>
    </row>
    <row r="85" spans="1:8" ht="23.25">
      <c r="A85" s="81">
        <v>81</v>
      </c>
      <c r="B85" s="1" t="s">
        <v>3482</v>
      </c>
      <c r="C85" s="1" t="s">
        <v>3483</v>
      </c>
      <c r="D85" s="46" t="s">
        <v>3330</v>
      </c>
      <c r="E85" s="47">
        <f>[6]Summary!E84</f>
        <v>22</v>
      </c>
      <c r="F85" s="253">
        <f>[6]Summary!F84</f>
        <v>0</v>
      </c>
      <c r="G85" s="48">
        <f t="shared" si="2"/>
        <v>0</v>
      </c>
      <c r="H85" s="46"/>
    </row>
    <row r="86" spans="1:8" ht="23.25">
      <c r="A86" s="166">
        <v>82</v>
      </c>
      <c r="B86" s="70" t="s">
        <v>3484</v>
      </c>
      <c r="C86" s="70" t="s">
        <v>3485</v>
      </c>
      <c r="D86" s="71" t="s">
        <v>3330</v>
      </c>
      <c r="E86" s="72">
        <f>[6]Summary!E85</f>
        <v>45</v>
      </c>
      <c r="F86" s="254">
        <f>[6]Summary!F85</f>
        <v>0</v>
      </c>
      <c r="G86" s="74">
        <f t="shared" si="2"/>
        <v>0</v>
      </c>
      <c r="H86" s="71"/>
    </row>
    <row r="87" spans="1:8" ht="23.25">
      <c r="A87" s="81">
        <v>83</v>
      </c>
      <c r="B87" s="1" t="s">
        <v>3486</v>
      </c>
      <c r="C87" s="1" t="s">
        <v>3487</v>
      </c>
      <c r="D87" s="46" t="s">
        <v>3330</v>
      </c>
      <c r="E87" s="47">
        <f>[6]Summary!E86</f>
        <v>110</v>
      </c>
      <c r="F87" s="253">
        <f>[6]Summary!F86</f>
        <v>0</v>
      </c>
      <c r="G87" s="48">
        <f t="shared" si="2"/>
        <v>0</v>
      </c>
      <c r="H87" s="46"/>
    </row>
    <row r="88" spans="1:8" ht="23.25">
      <c r="A88" s="166">
        <v>84</v>
      </c>
      <c r="B88" s="70" t="s">
        <v>3488</v>
      </c>
      <c r="C88" s="70" t="s">
        <v>3489</v>
      </c>
      <c r="D88" s="71" t="s">
        <v>3330</v>
      </c>
      <c r="E88" s="72">
        <f>[6]Summary!E87</f>
        <v>43</v>
      </c>
      <c r="F88" s="254">
        <f>[6]Summary!F87</f>
        <v>0</v>
      </c>
      <c r="G88" s="74">
        <f t="shared" si="2"/>
        <v>0</v>
      </c>
      <c r="H88" s="71"/>
    </row>
    <row r="89" spans="1:8" ht="23.25">
      <c r="A89" s="81">
        <v>85</v>
      </c>
      <c r="B89" s="1" t="s">
        <v>3490</v>
      </c>
      <c r="C89" s="1" t="s">
        <v>3491</v>
      </c>
      <c r="D89" s="46" t="s">
        <v>3389</v>
      </c>
      <c r="E89" s="47">
        <f>[6]Summary!E88</f>
        <v>16.5</v>
      </c>
      <c r="F89" s="253">
        <f>[6]Summary!F88</f>
        <v>0</v>
      </c>
      <c r="G89" s="48">
        <f t="shared" si="2"/>
        <v>0</v>
      </c>
      <c r="H89" s="46"/>
    </row>
    <row r="90" spans="1:8" ht="46.5">
      <c r="A90" s="166">
        <v>86</v>
      </c>
      <c r="B90" s="70" t="s">
        <v>3492</v>
      </c>
      <c r="C90" s="70" t="s">
        <v>3493</v>
      </c>
      <c r="D90" s="71" t="s">
        <v>3330</v>
      </c>
      <c r="E90" s="72">
        <f>[6]Summary!E89</f>
        <v>33</v>
      </c>
      <c r="F90" s="254">
        <f>[6]Summary!F89</f>
        <v>0</v>
      </c>
      <c r="G90" s="74">
        <f t="shared" si="2"/>
        <v>0</v>
      </c>
      <c r="H90" s="71"/>
    </row>
    <row r="91" spans="1:8" ht="23.25">
      <c r="A91" s="81">
        <v>87</v>
      </c>
      <c r="B91" s="1" t="s">
        <v>3494</v>
      </c>
      <c r="C91" s="1" t="s">
        <v>3495</v>
      </c>
      <c r="D91" s="46" t="s">
        <v>3330</v>
      </c>
      <c r="E91" s="47">
        <f>[6]Summary!E90</f>
        <v>13</v>
      </c>
      <c r="F91" s="253">
        <f>[6]Summary!F90</f>
        <v>1</v>
      </c>
      <c r="G91" s="48">
        <f t="shared" si="2"/>
        <v>13</v>
      </c>
      <c r="H91" s="46"/>
    </row>
    <row r="92" spans="1:8" ht="23.25">
      <c r="A92" s="166">
        <v>88</v>
      </c>
      <c r="B92" s="70" t="s">
        <v>3496</v>
      </c>
      <c r="C92" s="70" t="s">
        <v>3497</v>
      </c>
      <c r="D92" s="71" t="s">
        <v>3330</v>
      </c>
      <c r="E92" s="72">
        <f>[6]Summary!E91</f>
        <v>9</v>
      </c>
      <c r="F92" s="254">
        <f>[6]Summary!F91</f>
        <v>2</v>
      </c>
      <c r="G92" s="74">
        <f t="shared" si="2"/>
        <v>18</v>
      </c>
      <c r="H92" s="71"/>
    </row>
    <row r="93" spans="1:8" ht="46.5">
      <c r="A93" s="81">
        <v>89</v>
      </c>
      <c r="B93" s="1" t="s">
        <v>3498</v>
      </c>
      <c r="C93" s="1" t="s">
        <v>3499</v>
      </c>
      <c r="D93" s="46" t="s">
        <v>3330</v>
      </c>
      <c r="E93" s="47">
        <f>[6]Summary!E92</f>
        <v>1130</v>
      </c>
      <c r="F93" s="253">
        <f>[6]Summary!F92</f>
        <v>0</v>
      </c>
      <c r="G93" s="48">
        <f t="shared" si="2"/>
        <v>0</v>
      </c>
      <c r="H93" s="46"/>
    </row>
    <row r="94" spans="1:8" ht="23.25">
      <c r="A94" s="166">
        <v>90</v>
      </c>
      <c r="B94" s="70" t="s">
        <v>3500</v>
      </c>
      <c r="C94" s="70" t="s">
        <v>3501</v>
      </c>
      <c r="D94" s="71" t="s">
        <v>3330</v>
      </c>
      <c r="E94" s="72">
        <f>[6]Summary!E93</f>
        <v>850</v>
      </c>
      <c r="F94" s="254">
        <f>[6]Summary!F93</f>
        <v>0</v>
      </c>
      <c r="G94" s="74">
        <f t="shared" si="2"/>
        <v>0</v>
      </c>
      <c r="H94" s="71"/>
    </row>
    <row r="95" spans="1:8" ht="23.25">
      <c r="A95" s="81">
        <v>91</v>
      </c>
      <c r="B95" s="1" t="s">
        <v>3502</v>
      </c>
      <c r="C95" s="1" t="s">
        <v>3503</v>
      </c>
      <c r="D95" s="46" t="s">
        <v>3330</v>
      </c>
      <c r="E95" s="47">
        <f>[6]Summary!E94</f>
        <v>24</v>
      </c>
      <c r="F95" s="253">
        <f>[6]Summary!F94</f>
        <v>0</v>
      </c>
      <c r="G95" s="48">
        <f t="shared" si="2"/>
        <v>0</v>
      </c>
      <c r="H95" s="46"/>
    </row>
    <row r="96" spans="1:8" ht="23.25">
      <c r="A96" s="166">
        <v>92</v>
      </c>
      <c r="B96" s="70" t="s">
        <v>3504</v>
      </c>
      <c r="C96" s="70" t="s">
        <v>3505</v>
      </c>
      <c r="D96" s="71" t="s">
        <v>135</v>
      </c>
      <c r="E96" s="72">
        <f>[6]Summary!E95</f>
        <v>15</v>
      </c>
      <c r="F96" s="254">
        <f>[6]Summary!F95</f>
        <v>0</v>
      </c>
      <c r="G96" s="74">
        <f t="shared" si="2"/>
        <v>0</v>
      </c>
      <c r="H96" s="71"/>
    </row>
    <row r="97" spans="1:8" ht="23.25">
      <c r="A97" s="81">
        <v>93</v>
      </c>
      <c r="B97" s="1" t="s">
        <v>3506</v>
      </c>
      <c r="C97" s="1" t="s">
        <v>3507</v>
      </c>
      <c r="D97" s="46" t="s">
        <v>135</v>
      </c>
      <c r="E97" s="47">
        <f>[6]Summary!E96</f>
        <v>3</v>
      </c>
      <c r="F97" s="253">
        <f>[6]Summary!F96</f>
        <v>0</v>
      </c>
      <c r="G97" s="48">
        <f t="shared" si="2"/>
        <v>0</v>
      </c>
      <c r="H97" s="46"/>
    </row>
    <row r="98" spans="1:8" ht="23.25">
      <c r="A98" s="166">
        <v>94</v>
      </c>
      <c r="B98" s="70" t="s">
        <v>3508</v>
      </c>
      <c r="C98" s="70" t="s">
        <v>3509</v>
      </c>
      <c r="D98" s="71" t="s">
        <v>3437</v>
      </c>
      <c r="E98" s="72">
        <f>[6]Summary!E97</f>
        <v>25</v>
      </c>
      <c r="F98" s="254">
        <f>[6]Summary!F97</f>
        <v>4.8</v>
      </c>
      <c r="G98" s="74">
        <f t="shared" si="2"/>
        <v>120</v>
      </c>
      <c r="H98" s="71"/>
    </row>
    <row r="99" spans="1:8" ht="23.25">
      <c r="A99" s="81">
        <v>95</v>
      </c>
      <c r="B99" s="1" t="s">
        <v>3510</v>
      </c>
      <c r="C99" s="1" t="s">
        <v>3511</v>
      </c>
      <c r="D99" s="46" t="s">
        <v>135</v>
      </c>
      <c r="E99" s="47">
        <f>[6]Summary!E98</f>
        <v>0.5625</v>
      </c>
      <c r="F99" s="253">
        <f>[6]Summary!F98</f>
        <v>38.5</v>
      </c>
      <c r="G99" s="48">
        <f t="shared" si="2"/>
        <v>21.65625</v>
      </c>
      <c r="H99" s="46"/>
    </row>
    <row r="100" spans="1:8" ht="46.5">
      <c r="A100" s="166">
        <v>96</v>
      </c>
      <c r="B100" s="70" t="s">
        <v>3512</v>
      </c>
      <c r="C100" s="70" t="s">
        <v>3513</v>
      </c>
      <c r="D100" s="71" t="s">
        <v>3330</v>
      </c>
      <c r="E100" s="72">
        <f>[6]Summary!E99</f>
        <v>35</v>
      </c>
      <c r="F100" s="254">
        <f>[6]Summary!F99</f>
        <v>0</v>
      </c>
      <c r="G100" s="74">
        <f t="shared" si="2"/>
        <v>0</v>
      </c>
      <c r="H100" s="71"/>
    </row>
    <row r="101" spans="1:8" ht="23.25">
      <c r="A101" s="81">
        <v>97</v>
      </c>
      <c r="B101" s="1" t="s">
        <v>3514</v>
      </c>
      <c r="C101" s="1" t="s">
        <v>3515</v>
      </c>
      <c r="D101" s="46" t="s">
        <v>135</v>
      </c>
      <c r="E101" s="47">
        <f>[6]Summary!E100</f>
        <v>3</v>
      </c>
      <c r="F101" s="253">
        <f>[6]Summary!F100</f>
        <v>0</v>
      </c>
      <c r="G101" s="48">
        <f t="shared" ref="G101:G132" si="3">F101*E101</f>
        <v>0</v>
      </c>
      <c r="H101" s="46"/>
    </row>
    <row r="102" spans="1:8" ht="23.25">
      <c r="A102" s="166">
        <v>98</v>
      </c>
      <c r="B102" s="70" t="s">
        <v>3516</v>
      </c>
      <c r="C102" s="70" t="s">
        <v>3517</v>
      </c>
      <c r="D102" s="71" t="s">
        <v>135</v>
      </c>
      <c r="E102" s="72">
        <f>[6]Summary!E101</f>
        <v>13.16</v>
      </c>
      <c r="F102" s="254">
        <f>[6]Summary!F101</f>
        <v>2</v>
      </c>
      <c r="G102" s="74">
        <f t="shared" si="3"/>
        <v>26.32</v>
      </c>
      <c r="H102" s="71"/>
    </row>
    <row r="103" spans="1:8" ht="23.25">
      <c r="A103" s="81">
        <v>99</v>
      </c>
      <c r="B103" s="1" t="s">
        <v>3518</v>
      </c>
      <c r="C103" s="1" t="s">
        <v>3519</v>
      </c>
      <c r="D103" s="46" t="s">
        <v>135</v>
      </c>
      <c r="E103" s="47">
        <f>[6]Summary!E102</f>
        <v>10</v>
      </c>
      <c r="F103" s="253">
        <f>[6]Summary!F102</f>
        <v>0</v>
      </c>
      <c r="G103" s="48">
        <f t="shared" si="3"/>
        <v>0</v>
      </c>
      <c r="H103" s="46"/>
    </row>
    <row r="104" spans="1:8" ht="23.25">
      <c r="A104" s="166">
        <v>100</v>
      </c>
      <c r="B104" s="70" t="s">
        <v>3520</v>
      </c>
      <c r="C104" s="70" t="s">
        <v>3521</v>
      </c>
      <c r="D104" s="71" t="s">
        <v>135</v>
      </c>
      <c r="E104" s="72">
        <f>[6]Summary!E103</f>
        <v>15</v>
      </c>
      <c r="F104" s="254">
        <f>[6]Summary!F103</f>
        <v>0</v>
      </c>
      <c r="G104" s="74">
        <f t="shared" si="3"/>
        <v>0</v>
      </c>
      <c r="H104" s="71"/>
    </row>
    <row r="105" spans="1:8" ht="23.25">
      <c r="A105" s="81">
        <v>101</v>
      </c>
      <c r="B105" s="1" t="s">
        <v>3522</v>
      </c>
      <c r="C105" s="1" t="s">
        <v>3523</v>
      </c>
      <c r="D105" s="46" t="s">
        <v>135</v>
      </c>
      <c r="E105" s="47">
        <f>[6]Summary!E104</f>
        <v>2.585</v>
      </c>
      <c r="F105" s="69">
        <f>[6]Summary!F104</f>
        <v>3</v>
      </c>
      <c r="G105" s="48">
        <f t="shared" si="3"/>
        <v>7.7549999999999999</v>
      </c>
      <c r="H105" s="46"/>
    </row>
    <row r="106" spans="1:8" ht="23.25">
      <c r="A106" s="166">
        <v>102</v>
      </c>
      <c r="B106" s="70" t="s">
        <v>3524</v>
      </c>
      <c r="C106" s="70" t="s">
        <v>3525</v>
      </c>
      <c r="D106" s="71" t="s">
        <v>135</v>
      </c>
      <c r="E106" s="72">
        <f>[6]Summary!E105</f>
        <v>17</v>
      </c>
      <c r="F106" s="73">
        <f>[6]Summary!F105</f>
        <v>0</v>
      </c>
      <c r="G106" s="74">
        <f t="shared" si="3"/>
        <v>0</v>
      </c>
      <c r="H106" s="71"/>
    </row>
    <row r="107" spans="1:8" ht="23.25">
      <c r="A107" s="81">
        <v>103</v>
      </c>
      <c r="B107" s="1" t="s">
        <v>3526</v>
      </c>
      <c r="C107" s="1" t="s">
        <v>3527</v>
      </c>
      <c r="D107" s="46" t="s">
        <v>135</v>
      </c>
      <c r="E107" s="47">
        <f>[6]Summary!E106</f>
        <v>3.5</v>
      </c>
      <c r="F107" s="69">
        <f>[6]Summary!F106</f>
        <v>0</v>
      </c>
      <c r="G107" s="48">
        <f t="shared" si="3"/>
        <v>0</v>
      </c>
      <c r="H107" s="46"/>
    </row>
    <row r="108" spans="1:8" ht="46.5">
      <c r="A108" s="166">
        <v>104</v>
      </c>
      <c r="B108" s="70" t="s">
        <v>3528</v>
      </c>
      <c r="C108" s="70" t="s">
        <v>3529</v>
      </c>
      <c r="D108" s="71" t="s">
        <v>135</v>
      </c>
      <c r="E108" s="72">
        <f>[6]Summary!E107</f>
        <v>10.25</v>
      </c>
      <c r="F108" s="73">
        <f>[6]Summary!F107</f>
        <v>0</v>
      </c>
      <c r="G108" s="74">
        <f t="shared" si="3"/>
        <v>0</v>
      </c>
      <c r="H108" s="71"/>
    </row>
    <row r="109" spans="1:8" ht="23.25">
      <c r="A109" s="81">
        <v>105</v>
      </c>
      <c r="B109" s="1" t="s">
        <v>3530</v>
      </c>
      <c r="C109" s="1" t="s">
        <v>3531</v>
      </c>
      <c r="D109" s="46" t="s">
        <v>135</v>
      </c>
      <c r="E109" s="47">
        <f>[6]Summary!E108</f>
        <v>3</v>
      </c>
      <c r="F109" s="69">
        <f>[6]Summary!F108</f>
        <v>0</v>
      </c>
      <c r="G109" s="48">
        <f t="shared" si="3"/>
        <v>0</v>
      </c>
      <c r="H109" s="46"/>
    </row>
    <row r="110" spans="1:8" ht="23.25">
      <c r="A110" s="166">
        <v>106</v>
      </c>
      <c r="B110" s="70" t="s">
        <v>3532</v>
      </c>
      <c r="C110" s="70" t="s">
        <v>3533</v>
      </c>
      <c r="D110" s="71" t="s">
        <v>135</v>
      </c>
      <c r="E110" s="72">
        <f>[6]Summary!E109</f>
        <v>0.54159999999999997</v>
      </c>
      <c r="F110" s="73">
        <f>[6]Summary!F109</f>
        <v>2</v>
      </c>
      <c r="G110" s="74">
        <f t="shared" si="3"/>
        <v>1.0831999999999999</v>
      </c>
      <c r="H110" s="71"/>
    </row>
    <row r="111" spans="1:8" ht="23.25">
      <c r="A111" s="81">
        <v>107</v>
      </c>
      <c r="B111" s="1" t="s">
        <v>3534</v>
      </c>
      <c r="C111" s="1" t="s">
        <v>3535</v>
      </c>
      <c r="D111" s="46" t="s">
        <v>135</v>
      </c>
      <c r="E111" s="47">
        <f>[6]Summary!E110</f>
        <v>4</v>
      </c>
      <c r="F111" s="69">
        <f>[6]Summary!F110</f>
        <v>4</v>
      </c>
      <c r="G111" s="48">
        <f t="shared" si="3"/>
        <v>16</v>
      </c>
      <c r="H111" s="46"/>
    </row>
    <row r="112" spans="1:8" ht="46.5">
      <c r="A112" s="166">
        <v>108</v>
      </c>
      <c r="B112" s="70" t="s">
        <v>3536</v>
      </c>
      <c r="C112" s="70" t="s">
        <v>3537</v>
      </c>
      <c r="D112" s="71" t="s">
        <v>3373</v>
      </c>
      <c r="E112" s="72">
        <f>[6]Summary!E111</f>
        <v>3</v>
      </c>
      <c r="F112" s="73">
        <f>[6]Summary!F111</f>
        <v>0</v>
      </c>
      <c r="G112" s="74">
        <f t="shared" si="3"/>
        <v>0</v>
      </c>
      <c r="H112" s="71"/>
    </row>
    <row r="113" spans="1:8" ht="23.25">
      <c r="A113" s="81">
        <v>109</v>
      </c>
      <c r="B113" s="1" t="s">
        <v>3538</v>
      </c>
      <c r="C113" s="1" t="s">
        <v>3539</v>
      </c>
      <c r="D113" s="46" t="s">
        <v>135</v>
      </c>
      <c r="E113" s="47">
        <f>[6]Summary!E112</f>
        <v>0.4</v>
      </c>
      <c r="F113" s="69">
        <f>[6]Summary!F112</f>
        <v>0</v>
      </c>
      <c r="G113" s="48">
        <f t="shared" si="3"/>
        <v>0</v>
      </c>
      <c r="H113" s="46"/>
    </row>
    <row r="114" spans="1:8" ht="23.25">
      <c r="A114" s="166">
        <v>110</v>
      </c>
      <c r="B114" s="70" t="s">
        <v>3540</v>
      </c>
      <c r="C114" s="70" t="s">
        <v>3541</v>
      </c>
      <c r="D114" s="71" t="s">
        <v>3342</v>
      </c>
      <c r="E114" s="72">
        <f>[6]Summary!E113</f>
        <v>0.61</v>
      </c>
      <c r="F114" s="73">
        <f>[6]Summary!F113</f>
        <v>59</v>
      </c>
      <c r="G114" s="74">
        <f t="shared" si="3"/>
        <v>35.99</v>
      </c>
      <c r="H114" s="71"/>
    </row>
    <row r="115" spans="1:8" ht="23.25">
      <c r="A115" s="81">
        <v>111</v>
      </c>
      <c r="B115" s="1" t="s">
        <v>3542</v>
      </c>
      <c r="C115" s="1" t="s">
        <v>3543</v>
      </c>
      <c r="D115" s="46" t="s">
        <v>3342</v>
      </c>
      <c r="E115" s="47">
        <f>[6]Summary!E114</f>
        <v>23</v>
      </c>
      <c r="F115" s="69">
        <f>[6]Summary!F114</f>
        <v>0</v>
      </c>
      <c r="G115" s="48">
        <f t="shared" si="3"/>
        <v>0</v>
      </c>
      <c r="H115" s="46"/>
    </row>
    <row r="116" spans="1:8" ht="23.25">
      <c r="A116" s="166">
        <v>112</v>
      </c>
      <c r="B116" s="70" t="s">
        <v>3544</v>
      </c>
      <c r="C116" s="70" t="s">
        <v>3545</v>
      </c>
      <c r="D116" s="71" t="s">
        <v>3342</v>
      </c>
      <c r="E116" s="72">
        <f>[6]Summary!E115</f>
        <v>25</v>
      </c>
      <c r="F116" s="73">
        <f>[6]Summary!F115</f>
        <v>0</v>
      </c>
      <c r="G116" s="74">
        <f t="shared" si="3"/>
        <v>0</v>
      </c>
      <c r="H116" s="71"/>
    </row>
    <row r="117" spans="1:8" ht="23.25">
      <c r="A117" s="81">
        <v>113</v>
      </c>
      <c r="B117" s="1" t="s">
        <v>3546</v>
      </c>
      <c r="C117" s="1" t="s">
        <v>3547</v>
      </c>
      <c r="D117" s="46" t="s">
        <v>3437</v>
      </c>
      <c r="E117" s="47">
        <f>[6]Summary!E116</f>
        <v>35</v>
      </c>
      <c r="F117" s="69">
        <f>[6]Summary!F116</f>
        <v>6</v>
      </c>
      <c r="G117" s="48">
        <f t="shared" si="3"/>
        <v>210</v>
      </c>
      <c r="H117" s="46"/>
    </row>
    <row r="118" spans="1:8" ht="23.25">
      <c r="A118" s="166">
        <v>114</v>
      </c>
      <c r="B118" s="70" t="s">
        <v>3548</v>
      </c>
      <c r="C118" s="70" t="s">
        <v>3549</v>
      </c>
      <c r="D118" s="71" t="s">
        <v>3389</v>
      </c>
      <c r="E118" s="72">
        <f>[6]Summary!E117</f>
        <v>15</v>
      </c>
      <c r="F118" s="73">
        <f>[6]Summary!F117</f>
        <v>0</v>
      </c>
      <c r="G118" s="74">
        <f t="shared" si="3"/>
        <v>0</v>
      </c>
      <c r="H118" s="71"/>
    </row>
    <row r="119" spans="1:8" ht="23.25">
      <c r="A119" s="81">
        <v>115</v>
      </c>
      <c r="B119" s="1" t="s">
        <v>3548</v>
      </c>
      <c r="C119" s="1" t="s">
        <v>3550</v>
      </c>
      <c r="D119" s="46" t="s">
        <v>3389</v>
      </c>
      <c r="E119" s="47">
        <f>[6]Summary!E118</f>
        <v>10.210000000000001</v>
      </c>
      <c r="F119" s="69">
        <f>[6]Summary!F118</f>
        <v>0</v>
      </c>
      <c r="G119" s="48">
        <f t="shared" si="3"/>
        <v>0</v>
      </c>
      <c r="H119" s="46"/>
    </row>
    <row r="120" spans="1:8" ht="23.25">
      <c r="A120" s="166">
        <v>116</v>
      </c>
      <c r="B120" s="70" t="s">
        <v>3551</v>
      </c>
      <c r="C120" s="70" t="s">
        <v>3552</v>
      </c>
      <c r="D120" s="71" t="s">
        <v>135</v>
      </c>
      <c r="E120" s="72">
        <f>[6]Summary!E119</f>
        <v>17</v>
      </c>
      <c r="F120" s="73">
        <f>[6]Summary!F119</f>
        <v>0</v>
      </c>
      <c r="G120" s="74">
        <f t="shared" si="3"/>
        <v>0</v>
      </c>
      <c r="H120" s="71"/>
    </row>
    <row r="121" spans="1:8" ht="23.25">
      <c r="A121" s="81">
        <v>117</v>
      </c>
      <c r="B121" s="1" t="s">
        <v>3553</v>
      </c>
      <c r="C121" s="1" t="s">
        <v>3554</v>
      </c>
      <c r="D121" s="46" t="s">
        <v>135</v>
      </c>
      <c r="E121" s="47">
        <f>[6]Summary!E120</f>
        <v>33</v>
      </c>
      <c r="F121" s="69">
        <f>[6]Summary!F120</f>
        <v>0</v>
      </c>
      <c r="G121" s="48">
        <f t="shared" si="3"/>
        <v>0</v>
      </c>
      <c r="H121" s="46"/>
    </row>
    <row r="122" spans="1:8" ht="46.5">
      <c r="A122" s="166">
        <v>118</v>
      </c>
      <c r="B122" s="70" t="s">
        <v>3555</v>
      </c>
      <c r="C122" s="70" t="s">
        <v>3556</v>
      </c>
      <c r="D122" s="71" t="s">
        <v>135</v>
      </c>
      <c r="E122" s="72">
        <f>[6]Summary!E121</f>
        <v>3.44</v>
      </c>
      <c r="F122" s="73">
        <f>[6]Summary!F121</f>
        <v>0</v>
      </c>
      <c r="G122" s="74">
        <f t="shared" si="3"/>
        <v>0</v>
      </c>
      <c r="H122" s="71"/>
    </row>
    <row r="123" spans="1:8" ht="23.25">
      <c r="A123" s="81">
        <v>119</v>
      </c>
      <c r="B123" s="1" t="s">
        <v>3557</v>
      </c>
      <c r="C123" s="1" t="s">
        <v>3558</v>
      </c>
      <c r="D123" s="46" t="s">
        <v>135</v>
      </c>
      <c r="E123" s="47">
        <f>[6]Summary!E122</f>
        <v>3.5</v>
      </c>
      <c r="F123" s="69">
        <f>[6]Summary!F122</f>
        <v>3</v>
      </c>
      <c r="G123" s="48">
        <f t="shared" si="3"/>
        <v>10.5</v>
      </c>
      <c r="H123" s="46"/>
    </row>
    <row r="124" spans="1:8" ht="23.25">
      <c r="A124" s="166">
        <v>120</v>
      </c>
      <c r="B124" s="70" t="s">
        <v>3559</v>
      </c>
      <c r="C124" s="70" t="s">
        <v>3560</v>
      </c>
      <c r="D124" s="71" t="s">
        <v>135</v>
      </c>
      <c r="E124" s="72">
        <f>[6]Summary!E123</f>
        <v>4.5</v>
      </c>
      <c r="F124" s="73">
        <f>[6]Summary!F123</f>
        <v>0</v>
      </c>
      <c r="G124" s="74">
        <f t="shared" si="3"/>
        <v>0</v>
      </c>
      <c r="H124" s="71"/>
    </row>
    <row r="125" spans="1:8" ht="46.5">
      <c r="A125" s="81">
        <v>121</v>
      </c>
      <c r="B125" s="1" t="s">
        <v>3561</v>
      </c>
      <c r="C125" s="1" t="s">
        <v>3562</v>
      </c>
      <c r="D125" s="46" t="s">
        <v>3330</v>
      </c>
      <c r="E125" s="47">
        <f>[6]Summary!E124</f>
        <v>72</v>
      </c>
      <c r="F125" s="69">
        <f>[6]Summary!F124</f>
        <v>0</v>
      </c>
      <c r="G125" s="48">
        <f t="shared" si="3"/>
        <v>0</v>
      </c>
      <c r="H125" s="46"/>
    </row>
    <row r="126" spans="1:8" ht="23.25">
      <c r="A126" s="166">
        <v>122</v>
      </c>
      <c r="B126" s="70" t="s">
        <v>3563</v>
      </c>
      <c r="C126" s="70" t="s">
        <v>3564</v>
      </c>
      <c r="D126" s="71" t="s">
        <v>3330</v>
      </c>
      <c r="E126" s="72">
        <f>[6]Summary!E125</f>
        <v>105</v>
      </c>
      <c r="F126" s="73">
        <f>[6]Summary!F125</f>
        <v>0</v>
      </c>
      <c r="G126" s="74">
        <f t="shared" si="3"/>
        <v>0</v>
      </c>
      <c r="H126" s="71"/>
    </row>
    <row r="127" spans="1:8" ht="23.25">
      <c r="A127" s="81">
        <v>123</v>
      </c>
      <c r="B127" s="1" t="s">
        <v>3565</v>
      </c>
      <c r="C127" s="1" t="s">
        <v>3566</v>
      </c>
      <c r="D127" s="46" t="s">
        <v>3330</v>
      </c>
      <c r="E127" s="47">
        <f>[6]Summary!E126</f>
        <v>40</v>
      </c>
      <c r="F127" s="69">
        <f>[6]Summary!F126</f>
        <v>0</v>
      </c>
      <c r="G127" s="48">
        <f t="shared" si="3"/>
        <v>0</v>
      </c>
      <c r="H127" s="46"/>
    </row>
    <row r="128" spans="1:8" ht="23.25">
      <c r="A128" s="166">
        <v>124</v>
      </c>
      <c r="B128" s="70" t="s">
        <v>3567</v>
      </c>
      <c r="C128" s="70" t="s">
        <v>3568</v>
      </c>
      <c r="D128" s="71" t="s">
        <v>3330</v>
      </c>
      <c r="E128" s="72">
        <f>[6]Summary!E127</f>
        <v>17</v>
      </c>
      <c r="F128" s="73">
        <f>[6]Summary!F127</f>
        <v>0</v>
      </c>
      <c r="G128" s="74">
        <f t="shared" si="3"/>
        <v>0</v>
      </c>
      <c r="H128" s="71"/>
    </row>
    <row r="129" spans="1:8" ht="46.5">
      <c r="A129" s="81">
        <v>125</v>
      </c>
      <c r="B129" s="1" t="s">
        <v>3569</v>
      </c>
      <c r="C129" s="1" t="s">
        <v>3570</v>
      </c>
      <c r="D129" s="46" t="s">
        <v>3330</v>
      </c>
      <c r="E129" s="47">
        <f>[6]Summary!E128</f>
        <v>148</v>
      </c>
      <c r="F129" s="69">
        <f>[6]Summary!F128</f>
        <v>0</v>
      </c>
      <c r="G129" s="48">
        <f t="shared" si="3"/>
        <v>0</v>
      </c>
      <c r="H129" s="46"/>
    </row>
    <row r="130" spans="1:8" ht="23.25">
      <c r="A130" s="166">
        <v>126</v>
      </c>
      <c r="B130" s="70" t="s">
        <v>3571</v>
      </c>
      <c r="C130" s="70" t="s">
        <v>3572</v>
      </c>
      <c r="D130" s="71" t="s">
        <v>135</v>
      </c>
      <c r="E130" s="72">
        <f>[6]Summary!E129</f>
        <v>1.25</v>
      </c>
      <c r="F130" s="73">
        <f>[6]Summary!F129</f>
        <v>150</v>
      </c>
      <c r="G130" s="74">
        <f t="shared" si="3"/>
        <v>187.5</v>
      </c>
      <c r="H130" s="71"/>
    </row>
    <row r="131" spans="1:8" ht="23.25">
      <c r="A131" s="81">
        <v>127</v>
      </c>
      <c r="B131" s="1" t="s">
        <v>3573</v>
      </c>
      <c r="C131" s="1" t="s">
        <v>3574</v>
      </c>
      <c r="D131" s="46" t="s">
        <v>135</v>
      </c>
      <c r="E131" s="47">
        <f>[6]Summary!E130</f>
        <v>0.5625</v>
      </c>
      <c r="F131" s="69">
        <f>[6]Summary!F130</f>
        <v>7</v>
      </c>
      <c r="G131" s="48">
        <f t="shared" si="3"/>
        <v>3.9375</v>
      </c>
      <c r="H131" s="46"/>
    </row>
    <row r="132" spans="1:8" ht="46.5">
      <c r="A132" s="166">
        <v>128</v>
      </c>
      <c r="B132" s="70" t="s">
        <v>3575</v>
      </c>
      <c r="C132" s="70" t="s">
        <v>3576</v>
      </c>
      <c r="D132" s="71" t="s">
        <v>3330</v>
      </c>
      <c r="E132" s="72">
        <f>[6]Summary!E131</f>
        <v>13</v>
      </c>
      <c r="F132" s="73">
        <f>[6]Summary!F131</f>
        <v>0</v>
      </c>
      <c r="G132" s="74">
        <f t="shared" si="3"/>
        <v>0</v>
      </c>
      <c r="H132" s="71"/>
    </row>
    <row r="133" spans="1:8" ht="23.25">
      <c r="A133" s="81">
        <v>129</v>
      </c>
      <c r="B133" s="1" t="s">
        <v>3577</v>
      </c>
      <c r="C133" s="1" t="s">
        <v>3578</v>
      </c>
      <c r="D133" s="46" t="s">
        <v>3330</v>
      </c>
      <c r="E133" s="47">
        <f>[6]Summary!E132</f>
        <v>15</v>
      </c>
      <c r="F133" s="69">
        <f>[6]Summary!F132</f>
        <v>0</v>
      </c>
      <c r="G133" s="48">
        <f t="shared" ref="G133:G138" si="4">F133*E133</f>
        <v>0</v>
      </c>
      <c r="H133" s="46"/>
    </row>
    <row r="134" spans="1:8" ht="46.5">
      <c r="A134" s="166">
        <v>130</v>
      </c>
      <c r="B134" s="70" t="s">
        <v>3579</v>
      </c>
      <c r="C134" s="70" t="s">
        <v>3580</v>
      </c>
      <c r="D134" s="71" t="s">
        <v>3330</v>
      </c>
      <c r="E134" s="72">
        <f>[6]Summary!E133</f>
        <v>13</v>
      </c>
      <c r="F134" s="73">
        <f>[6]Summary!F133</f>
        <v>2</v>
      </c>
      <c r="G134" s="74">
        <f t="shared" si="4"/>
        <v>26</v>
      </c>
      <c r="H134" s="71"/>
    </row>
    <row r="135" spans="1:8" ht="46.5">
      <c r="A135" s="81">
        <v>131</v>
      </c>
      <c r="B135" s="1" t="s">
        <v>3581</v>
      </c>
      <c r="C135" s="1" t="s">
        <v>3582</v>
      </c>
      <c r="D135" s="46" t="s">
        <v>3330</v>
      </c>
      <c r="E135" s="47">
        <f>[6]Summary!E134</f>
        <v>55</v>
      </c>
      <c r="F135" s="69">
        <f>[6]Summary!F134</f>
        <v>0</v>
      </c>
      <c r="G135" s="48">
        <f t="shared" si="4"/>
        <v>0</v>
      </c>
      <c r="H135" s="46"/>
    </row>
    <row r="136" spans="1:8" ht="23.25">
      <c r="A136" s="166">
        <v>132</v>
      </c>
      <c r="B136" s="70" t="s">
        <v>3583</v>
      </c>
      <c r="C136" s="70" t="s">
        <v>3584</v>
      </c>
      <c r="D136" s="71" t="s">
        <v>3330</v>
      </c>
      <c r="E136" s="72">
        <f>[6]Summary!E135</f>
        <v>200</v>
      </c>
      <c r="F136" s="73">
        <f>[6]Summary!F135</f>
        <v>0</v>
      </c>
      <c r="G136" s="74">
        <f t="shared" si="4"/>
        <v>0</v>
      </c>
      <c r="H136" s="71"/>
    </row>
    <row r="137" spans="1:8" ht="23.25">
      <c r="A137" s="81">
        <v>133</v>
      </c>
      <c r="B137" s="1" t="s">
        <v>3585</v>
      </c>
      <c r="C137" s="1" t="s">
        <v>3586</v>
      </c>
      <c r="D137" s="46" t="s">
        <v>3330</v>
      </c>
      <c r="E137" s="47">
        <f>[6]Summary!E136</f>
        <v>9.5500000000000007</v>
      </c>
      <c r="F137" s="69">
        <f>[6]Summary!F136</f>
        <v>9.2799999999999994</v>
      </c>
      <c r="G137" s="48">
        <f t="shared" si="4"/>
        <v>88.623999999999995</v>
      </c>
      <c r="H137" s="46"/>
    </row>
    <row r="138" spans="1:8" ht="23.25">
      <c r="A138" s="166">
        <v>134</v>
      </c>
      <c r="B138" s="70" t="s">
        <v>4404</v>
      </c>
      <c r="C138" s="70" t="s">
        <v>4405</v>
      </c>
      <c r="D138" s="71" t="s">
        <v>4406</v>
      </c>
      <c r="E138" s="72">
        <f>[6]Summary!E137</f>
        <v>0.56200000000000006</v>
      </c>
      <c r="F138" s="73">
        <f>[6]Summary!F137</f>
        <v>18</v>
      </c>
      <c r="G138" s="74">
        <f t="shared" si="4"/>
        <v>10.116000000000001</v>
      </c>
      <c r="H138" s="71"/>
    </row>
    <row r="139" spans="1:8" ht="21" customHeight="1">
      <c r="A139" s="75"/>
      <c r="B139" s="76"/>
      <c r="C139" s="76"/>
      <c r="D139" s="77"/>
      <c r="E139" s="78"/>
      <c r="F139" s="77"/>
      <c r="G139" s="79"/>
    </row>
    <row r="140" spans="1:8" ht="28.5" customHeight="1">
      <c r="A140" s="290" t="s">
        <v>7</v>
      </c>
      <c r="B140" s="290"/>
      <c r="C140" s="290"/>
      <c r="D140" s="290"/>
      <c r="E140" s="290"/>
      <c r="F140" s="60">
        <f>SUM(F5:F138)</f>
        <v>1425.36</v>
      </c>
      <c r="G140" s="203">
        <f>SUM(G5:G138)</f>
        <v>109831.15235000002</v>
      </c>
    </row>
  </sheetData>
  <autoFilter ref="A4:H138" xr:uid="{7582FAD4-79E9-453C-9E54-B131A0F49493}"/>
  <mergeCells count="3">
    <mergeCell ref="A3:H3"/>
    <mergeCell ref="A140:E140"/>
    <mergeCell ref="A2:H2"/>
  </mergeCells>
  <pageMargins left="0.16" right="0.26" top="0.41" bottom="0.32" header="0.31" footer="0.25"/>
  <pageSetup paperSize="9" scale="44"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C62C6-F18C-4C02-86F9-5F3C1F597267}">
  <sheetPr codeName="Sheet6">
    <pageSetUpPr fitToPage="1"/>
  </sheetPr>
  <dimension ref="A1:I139"/>
  <sheetViews>
    <sheetView zoomScale="59" zoomScaleNormal="59" workbookViewId="0">
      <selection activeCell="A2" sqref="A2:I2"/>
    </sheetView>
  </sheetViews>
  <sheetFormatPr defaultColWidth="9.140625" defaultRowHeight="15"/>
  <cols>
    <col min="1" max="1" width="8.85546875" style="100" customWidth="1"/>
    <col min="2" max="2" width="37" style="101" customWidth="1"/>
    <col min="3" max="3" width="47.28515625" style="101" customWidth="1"/>
    <col min="4" max="4" width="16.42578125" style="102" customWidth="1"/>
    <col min="5" max="5" width="25.28515625" style="103" customWidth="1"/>
    <col min="6" max="6" width="13.28515625" style="104" customWidth="1"/>
    <col min="7" max="7" width="29.5703125" style="103" customWidth="1"/>
    <col min="8" max="8" width="14.28515625" style="80" customWidth="1"/>
    <col min="9" max="9" width="0.140625" style="80" customWidth="1"/>
    <col min="10" max="16384" width="9.140625" style="80"/>
  </cols>
  <sheetData>
    <row r="1" spans="1:9" customFormat="1" ht="121.5" customHeight="1">
      <c r="A1" s="31"/>
      <c r="B1" s="32"/>
      <c r="C1" s="32"/>
      <c r="D1" s="32"/>
      <c r="E1" s="34"/>
      <c r="F1" s="35"/>
    </row>
    <row r="2" spans="1:9" ht="40.5" customHeight="1">
      <c r="A2" s="269">
        <f ca="1">TODAY()</f>
        <v>46123</v>
      </c>
      <c r="B2" s="269"/>
      <c r="C2" s="269"/>
      <c r="D2" s="269"/>
      <c r="E2" s="269"/>
      <c r="F2" s="269"/>
      <c r="G2" s="269"/>
      <c r="H2" s="269"/>
      <c r="I2" s="269"/>
    </row>
    <row r="3" spans="1:9" ht="29.25" customHeight="1">
      <c r="A3" s="291" t="s">
        <v>15</v>
      </c>
      <c r="B3" s="291"/>
      <c r="C3" s="291"/>
      <c r="D3" s="291"/>
      <c r="E3" s="291"/>
      <c r="F3" s="291"/>
      <c r="G3" s="291"/>
      <c r="H3" s="291"/>
      <c r="I3" s="291"/>
    </row>
    <row r="4" spans="1:9" ht="51" customHeight="1">
      <c r="A4" s="2" t="s">
        <v>0</v>
      </c>
      <c r="B4" s="3" t="s">
        <v>9</v>
      </c>
      <c r="C4" s="4" t="s">
        <v>10</v>
      </c>
      <c r="D4" s="5" t="s">
        <v>11</v>
      </c>
      <c r="E4" s="6" t="s">
        <v>1763</v>
      </c>
      <c r="F4" s="7" t="s">
        <v>13</v>
      </c>
      <c r="G4" s="7" t="s">
        <v>4372</v>
      </c>
      <c r="H4" s="292" t="s">
        <v>1766</v>
      </c>
      <c r="I4" s="293"/>
    </row>
    <row r="5" spans="1:9" ht="46.5">
      <c r="A5" s="81">
        <v>1</v>
      </c>
      <c r="B5" s="69" t="s">
        <v>16</v>
      </c>
      <c r="C5" s="69" t="s">
        <v>17</v>
      </c>
      <c r="D5" s="69" t="s">
        <v>135</v>
      </c>
      <c r="E5" s="47">
        <f>[7]Summary!E4</f>
        <v>6</v>
      </c>
      <c r="F5" s="82">
        <f>[7]Summary!F4</f>
        <v>2</v>
      </c>
      <c r="G5" s="83">
        <f t="shared" ref="G5:G36" si="0">F5*E5</f>
        <v>12</v>
      </c>
      <c r="H5" s="84"/>
      <c r="I5" s="84"/>
    </row>
    <row r="6" spans="1:9" ht="23.25">
      <c r="A6" s="85">
        <v>2</v>
      </c>
      <c r="B6" s="86" t="s">
        <v>18</v>
      </c>
      <c r="C6" s="86" t="s">
        <v>19</v>
      </c>
      <c r="D6" s="87" t="s">
        <v>135</v>
      </c>
      <c r="E6" s="88">
        <f>[7]Summary!E5</f>
        <v>0</v>
      </c>
      <c r="F6" s="89">
        <f>[7]Summary!F5</f>
        <v>1</v>
      </c>
      <c r="G6" s="90">
        <f t="shared" si="0"/>
        <v>0</v>
      </c>
      <c r="H6" s="91"/>
      <c r="I6" s="91"/>
    </row>
    <row r="7" spans="1:9" ht="23.25">
      <c r="A7" s="81">
        <v>3</v>
      </c>
      <c r="B7" s="69" t="s">
        <v>20</v>
      </c>
      <c r="C7" s="69" t="s">
        <v>21</v>
      </c>
      <c r="D7" s="69" t="s">
        <v>135</v>
      </c>
      <c r="E7" s="47">
        <f>[7]Summary!E6</f>
        <v>0</v>
      </c>
      <c r="F7" s="82">
        <f>[7]Summary!F6</f>
        <v>6</v>
      </c>
      <c r="G7" s="83">
        <f t="shared" si="0"/>
        <v>0</v>
      </c>
      <c r="H7" s="84"/>
      <c r="I7" s="84"/>
    </row>
    <row r="8" spans="1:9" ht="23.25">
      <c r="A8" s="85">
        <v>4</v>
      </c>
      <c r="B8" s="86" t="s">
        <v>22</v>
      </c>
      <c r="C8" s="86" t="s">
        <v>23</v>
      </c>
      <c r="D8" s="87" t="s">
        <v>135</v>
      </c>
      <c r="E8" s="88">
        <f>[7]Summary!E7</f>
        <v>0</v>
      </c>
      <c r="F8" s="89">
        <f>[7]Summary!F7</f>
        <v>3</v>
      </c>
      <c r="G8" s="90">
        <f t="shared" si="0"/>
        <v>0</v>
      </c>
      <c r="H8" s="91"/>
      <c r="I8" s="91"/>
    </row>
    <row r="9" spans="1:9" ht="46.5">
      <c r="A9" s="81">
        <v>5</v>
      </c>
      <c r="B9" s="69" t="s">
        <v>26</v>
      </c>
      <c r="C9" s="69" t="s">
        <v>27</v>
      </c>
      <c r="D9" s="69" t="s">
        <v>135</v>
      </c>
      <c r="E9" s="47">
        <f>[7]Summary!E8</f>
        <v>6</v>
      </c>
      <c r="F9" s="82">
        <f>[7]Summary!F8</f>
        <v>2</v>
      </c>
      <c r="G9" s="83">
        <f t="shared" si="0"/>
        <v>12</v>
      </c>
      <c r="H9" s="84"/>
      <c r="I9" s="84"/>
    </row>
    <row r="10" spans="1:9" ht="23.25">
      <c r="A10" s="85">
        <v>6</v>
      </c>
      <c r="B10" s="86" t="s">
        <v>28</v>
      </c>
      <c r="C10" s="86" t="s">
        <v>29</v>
      </c>
      <c r="D10" s="87" t="s">
        <v>135</v>
      </c>
      <c r="E10" s="88">
        <f>[7]Summary!E9</f>
        <v>8</v>
      </c>
      <c r="F10" s="89">
        <f>[7]Summary!F9</f>
        <v>9</v>
      </c>
      <c r="G10" s="90">
        <f t="shared" si="0"/>
        <v>72</v>
      </c>
      <c r="H10" s="91"/>
      <c r="I10" s="91"/>
    </row>
    <row r="11" spans="1:9" ht="46.5">
      <c r="A11" s="81">
        <v>7</v>
      </c>
      <c r="B11" s="69" t="s">
        <v>30</v>
      </c>
      <c r="C11" s="69" t="s">
        <v>31</v>
      </c>
      <c r="D11" s="69" t="s">
        <v>135</v>
      </c>
      <c r="E11" s="47">
        <f>[7]Summary!E10</f>
        <v>0.71399999999999997</v>
      </c>
      <c r="F11" s="82">
        <f>[7]Summary!F10</f>
        <v>0</v>
      </c>
      <c r="G11" s="83">
        <f t="shared" si="0"/>
        <v>0</v>
      </c>
      <c r="H11" s="84"/>
      <c r="I11" s="84"/>
    </row>
    <row r="12" spans="1:9" ht="23.25">
      <c r="A12" s="85">
        <v>8</v>
      </c>
      <c r="B12" s="86" t="s">
        <v>32</v>
      </c>
      <c r="C12" s="86" t="s">
        <v>33</v>
      </c>
      <c r="D12" s="87" t="s">
        <v>135</v>
      </c>
      <c r="E12" s="88">
        <f>[7]Summary!E11</f>
        <v>4.25</v>
      </c>
      <c r="F12" s="89">
        <f>[7]Summary!F11</f>
        <v>3</v>
      </c>
      <c r="G12" s="90">
        <f t="shared" si="0"/>
        <v>12.75</v>
      </c>
      <c r="H12" s="91"/>
      <c r="I12" s="91"/>
    </row>
    <row r="13" spans="1:9" ht="23.25">
      <c r="A13" s="81">
        <v>9</v>
      </c>
      <c r="B13" s="69" t="s">
        <v>34</v>
      </c>
      <c r="C13" s="69" t="s">
        <v>35</v>
      </c>
      <c r="D13" s="69" t="s">
        <v>135</v>
      </c>
      <c r="E13" s="47">
        <f>[7]Summary!E12</f>
        <v>20.8</v>
      </c>
      <c r="F13" s="82">
        <f>[7]Summary!F12</f>
        <v>1</v>
      </c>
      <c r="G13" s="83">
        <f t="shared" si="0"/>
        <v>20.8</v>
      </c>
      <c r="H13" s="84"/>
      <c r="I13" s="84"/>
    </row>
    <row r="14" spans="1:9" ht="23.25">
      <c r="A14" s="85">
        <v>10</v>
      </c>
      <c r="B14" s="86" t="s">
        <v>36</v>
      </c>
      <c r="C14" s="86" t="s">
        <v>37</v>
      </c>
      <c r="D14" s="87" t="s">
        <v>135</v>
      </c>
      <c r="E14" s="88">
        <f>[7]Summary!E13</f>
        <v>20.8</v>
      </c>
      <c r="F14" s="89">
        <f>[7]Summary!F13</f>
        <v>1</v>
      </c>
      <c r="G14" s="90">
        <f t="shared" si="0"/>
        <v>20.8</v>
      </c>
      <c r="H14" s="91"/>
      <c r="I14" s="91"/>
    </row>
    <row r="15" spans="1:9" ht="23.25">
      <c r="A15" s="81">
        <v>11</v>
      </c>
      <c r="B15" s="69" t="s">
        <v>38</v>
      </c>
      <c r="C15" s="69" t="s">
        <v>39</v>
      </c>
      <c r="D15" s="69" t="s">
        <v>135</v>
      </c>
      <c r="E15" s="47">
        <f>[7]Summary!E14</f>
        <v>20.8</v>
      </c>
      <c r="F15" s="82">
        <f>[7]Summary!F14</f>
        <v>1</v>
      </c>
      <c r="G15" s="83">
        <f t="shared" si="0"/>
        <v>20.8</v>
      </c>
      <c r="H15" s="84"/>
      <c r="I15" s="84"/>
    </row>
    <row r="16" spans="1:9" ht="23.25">
      <c r="A16" s="85">
        <v>12</v>
      </c>
      <c r="B16" s="86" t="s">
        <v>40</v>
      </c>
      <c r="C16" s="86" t="s">
        <v>41</v>
      </c>
      <c r="D16" s="87" t="s">
        <v>135</v>
      </c>
      <c r="E16" s="88">
        <f>[7]Summary!E15</f>
        <v>20</v>
      </c>
      <c r="F16" s="89">
        <f>[7]Summary!F15</f>
        <v>1</v>
      </c>
      <c r="G16" s="90">
        <f t="shared" si="0"/>
        <v>20</v>
      </c>
      <c r="H16" s="91"/>
      <c r="I16" s="84"/>
    </row>
    <row r="17" spans="1:9" ht="23.25">
      <c r="A17" s="81">
        <v>13</v>
      </c>
      <c r="B17" s="69" t="s">
        <v>42</v>
      </c>
      <c r="C17" s="69" t="s">
        <v>43</v>
      </c>
      <c r="D17" s="69" t="s">
        <v>135</v>
      </c>
      <c r="E17" s="47">
        <f>[7]Summary!E16</f>
        <v>3.33</v>
      </c>
      <c r="F17" s="82">
        <f>[7]Summary!F16</f>
        <v>2</v>
      </c>
      <c r="G17" s="83">
        <f t="shared" si="0"/>
        <v>6.66</v>
      </c>
      <c r="H17" s="84"/>
      <c r="I17" s="84"/>
    </row>
    <row r="18" spans="1:9" ht="23.25">
      <c r="A18" s="85">
        <v>14</v>
      </c>
      <c r="B18" s="86" t="s">
        <v>44</v>
      </c>
      <c r="C18" s="86" t="s">
        <v>45</v>
      </c>
      <c r="D18" s="87" t="s">
        <v>135</v>
      </c>
      <c r="E18" s="88">
        <f>[7]Summary!E17</f>
        <v>2.08</v>
      </c>
      <c r="F18" s="89">
        <f>[7]Summary!F17</f>
        <v>9</v>
      </c>
      <c r="G18" s="90">
        <f t="shared" si="0"/>
        <v>18.72</v>
      </c>
      <c r="H18" s="91"/>
      <c r="I18" s="84"/>
    </row>
    <row r="19" spans="1:9" ht="23.25">
      <c r="A19" s="81">
        <v>15</v>
      </c>
      <c r="B19" s="69" t="s">
        <v>46</v>
      </c>
      <c r="C19" s="69" t="s">
        <v>47</v>
      </c>
      <c r="D19" s="69" t="s">
        <v>135</v>
      </c>
      <c r="E19" s="47">
        <f>[7]Summary!E18</f>
        <v>2.08</v>
      </c>
      <c r="F19" s="82">
        <f>[7]Summary!F18</f>
        <v>2</v>
      </c>
      <c r="G19" s="83">
        <f t="shared" si="0"/>
        <v>4.16</v>
      </c>
      <c r="H19" s="84"/>
      <c r="I19" s="84"/>
    </row>
    <row r="20" spans="1:9" ht="46.5">
      <c r="A20" s="85">
        <v>16</v>
      </c>
      <c r="B20" s="86" t="s">
        <v>3587</v>
      </c>
      <c r="C20" s="86" t="s">
        <v>3588</v>
      </c>
      <c r="D20" s="87" t="s">
        <v>135</v>
      </c>
      <c r="E20" s="88">
        <f>[7]Summary!E19</f>
        <v>2.08</v>
      </c>
      <c r="F20" s="89">
        <f>[7]Summary!F19</f>
        <v>1</v>
      </c>
      <c r="G20" s="90">
        <f t="shared" si="0"/>
        <v>2.08</v>
      </c>
      <c r="H20" s="91"/>
      <c r="I20" s="84"/>
    </row>
    <row r="21" spans="1:9" ht="23.25">
      <c r="A21" s="81">
        <v>17</v>
      </c>
      <c r="B21" s="69" t="s">
        <v>48</v>
      </c>
      <c r="C21" s="69" t="s">
        <v>49</v>
      </c>
      <c r="D21" s="69" t="s">
        <v>135</v>
      </c>
      <c r="E21" s="47">
        <f>[7]Summary!E20</f>
        <v>2.36</v>
      </c>
      <c r="F21" s="82">
        <f>[7]Summary!F20</f>
        <v>2</v>
      </c>
      <c r="G21" s="83">
        <f t="shared" si="0"/>
        <v>4.72</v>
      </c>
      <c r="H21" s="84"/>
      <c r="I21" s="84"/>
    </row>
    <row r="22" spans="1:9" ht="23.25">
      <c r="A22" s="85">
        <v>18</v>
      </c>
      <c r="B22" s="86" t="s">
        <v>50</v>
      </c>
      <c r="C22" s="86" t="s">
        <v>51</v>
      </c>
      <c r="D22" s="87" t="s">
        <v>135</v>
      </c>
      <c r="E22" s="88">
        <f>[7]Summary!E21</f>
        <v>1.66</v>
      </c>
      <c r="F22" s="89">
        <f>[7]Summary!F21</f>
        <v>4</v>
      </c>
      <c r="G22" s="90">
        <f t="shared" si="0"/>
        <v>6.64</v>
      </c>
      <c r="H22" s="91"/>
      <c r="I22" s="84"/>
    </row>
    <row r="23" spans="1:9" ht="23.25">
      <c r="A23" s="81">
        <v>19</v>
      </c>
      <c r="B23" s="69" t="s">
        <v>52</v>
      </c>
      <c r="C23" s="69" t="s">
        <v>53</v>
      </c>
      <c r="D23" s="69" t="s">
        <v>135</v>
      </c>
      <c r="E23" s="47">
        <f>[7]Summary!E22</f>
        <v>5</v>
      </c>
      <c r="F23" s="82">
        <f>[7]Summary!F22</f>
        <v>1</v>
      </c>
      <c r="G23" s="83">
        <f t="shared" si="0"/>
        <v>5</v>
      </c>
      <c r="H23" s="84"/>
      <c r="I23" s="84"/>
    </row>
    <row r="24" spans="1:9" ht="23.25">
      <c r="A24" s="85">
        <v>20</v>
      </c>
      <c r="B24" s="86" t="s">
        <v>54</v>
      </c>
      <c r="C24" s="86" t="s">
        <v>55</v>
      </c>
      <c r="D24" s="87" t="s">
        <v>135</v>
      </c>
      <c r="E24" s="88">
        <f>[7]Summary!E23</f>
        <v>75</v>
      </c>
      <c r="F24" s="89">
        <f>[7]Summary!F23</f>
        <v>0</v>
      </c>
      <c r="G24" s="90">
        <f t="shared" si="0"/>
        <v>0</v>
      </c>
      <c r="H24" s="91"/>
      <c r="I24" s="92"/>
    </row>
    <row r="25" spans="1:9" ht="46.5">
      <c r="A25" s="81">
        <v>21</v>
      </c>
      <c r="B25" s="69" t="s">
        <v>56</v>
      </c>
      <c r="C25" s="69" t="s">
        <v>57</v>
      </c>
      <c r="D25" s="69" t="s">
        <v>135</v>
      </c>
      <c r="E25" s="47">
        <f>[7]Summary!E24</f>
        <v>17.12</v>
      </c>
      <c r="F25" s="82">
        <f>[7]Summary!F24</f>
        <v>0</v>
      </c>
      <c r="G25" s="83">
        <f t="shared" si="0"/>
        <v>0</v>
      </c>
      <c r="H25" s="84"/>
      <c r="I25" s="84"/>
    </row>
    <row r="26" spans="1:9" ht="23.25">
      <c r="A26" s="85">
        <v>22</v>
      </c>
      <c r="B26" s="86" t="s">
        <v>58</v>
      </c>
      <c r="C26" s="86" t="s">
        <v>59</v>
      </c>
      <c r="D26" s="87" t="s">
        <v>135</v>
      </c>
      <c r="E26" s="88">
        <f>[7]Summary!E25</f>
        <v>60</v>
      </c>
      <c r="F26" s="89">
        <f>[7]Summary!F25</f>
        <v>0</v>
      </c>
      <c r="G26" s="90">
        <f t="shared" si="0"/>
        <v>0</v>
      </c>
      <c r="H26" s="91"/>
      <c r="I26" s="84"/>
    </row>
    <row r="27" spans="1:9" ht="23.25">
      <c r="A27" s="81">
        <v>23</v>
      </c>
      <c r="B27" s="69" t="s">
        <v>60</v>
      </c>
      <c r="C27" s="69" t="s">
        <v>61</v>
      </c>
      <c r="D27" s="69" t="s">
        <v>135</v>
      </c>
      <c r="E27" s="47">
        <f>[7]Summary!E26</f>
        <v>72</v>
      </c>
      <c r="F27" s="82">
        <f>[7]Summary!F26</f>
        <v>3</v>
      </c>
      <c r="G27" s="83">
        <f t="shared" si="0"/>
        <v>216</v>
      </c>
      <c r="H27" s="84"/>
      <c r="I27" s="84"/>
    </row>
    <row r="28" spans="1:9" ht="23.25">
      <c r="A28" s="85">
        <v>24</v>
      </c>
      <c r="B28" s="86" t="s">
        <v>62</v>
      </c>
      <c r="C28" s="86" t="s">
        <v>63</v>
      </c>
      <c r="D28" s="87" t="s">
        <v>135</v>
      </c>
      <c r="E28" s="88">
        <f>[7]Summary!E27</f>
        <v>75</v>
      </c>
      <c r="F28" s="89">
        <f>[7]Summary!F27</f>
        <v>1</v>
      </c>
      <c r="G28" s="90">
        <f t="shared" si="0"/>
        <v>75</v>
      </c>
      <c r="H28" s="91"/>
      <c r="I28" s="84"/>
    </row>
    <row r="29" spans="1:9" ht="23.25">
      <c r="A29" s="81">
        <v>25</v>
      </c>
      <c r="B29" s="69" t="s">
        <v>64</v>
      </c>
      <c r="C29" s="69" t="s">
        <v>65</v>
      </c>
      <c r="D29" s="69" t="s">
        <v>135</v>
      </c>
      <c r="E29" s="47">
        <f>[7]Summary!E28</f>
        <v>135</v>
      </c>
      <c r="F29" s="82">
        <f>[7]Summary!F28</f>
        <v>1</v>
      </c>
      <c r="G29" s="83">
        <f t="shared" si="0"/>
        <v>135</v>
      </c>
      <c r="H29" s="84"/>
      <c r="I29" s="84"/>
    </row>
    <row r="30" spans="1:9" ht="23.25">
      <c r="A30" s="85">
        <v>26</v>
      </c>
      <c r="B30" s="86" t="s">
        <v>66</v>
      </c>
      <c r="C30" s="86" t="s">
        <v>67</v>
      </c>
      <c r="D30" s="87" t="s">
        <v>135</v>
      </c>
      <c r="E30" s="88">
        <f>[7]Summary!E29</f>
        <v>45.83</v>
      </c>
      <c r="F30" s="89">
        <f>[7]Summary!F29</f>
        <v>0</v>
      </c>
      <c r="G30" s="90">
        <f t="shared" si="0"/>
        <v>0</v>
      </c>
      <c r="H30" s="91"/>
      <c r="I30" s="84"/>
    </row>
    <row r="31" spans="1:9" ht="46.5">
      <c r="A31" s="81">
        <v>27</v>
      </c>
      <c r="B31" s="69" t="s">
        <v>68</v>
      </c>
      <c r="C31" s="69" t="s">
        <v>69</v>
      </c>
      <c r="D31" s="69" t="s">
        <v>3589</v>
      </c>
      <c r="E31" s="47">
        <f>[7]Summary!E30</f>
        <v>0.67149999999999999</v>
      </c>
      <c r="F31" s="82">
        <f>[7]Summary!F30</f>
        <v>5</v>
      </c>
      <c r="G31" s="83">
        <f t="shared" si="0"/>
        <v>3.3574999999999999</v>
      </c>
      <c r="H31" s="84"/>
      <c r="I31" s="84"/>
    </row>
    <row r="32" spans="1:9" ht="46.5">
      <c r="A32" s="85">
        <v>28</v>
      </c>
      <c r="B32" s="86" t="s">
        <v>70</v>
      </c>
      <c r="C32" s="86" t="s">
        <v>71</v>
      </c>
      <c r="D32" s="87" t="s">
        <v>3589</v>
      </c>
      <c r="E32" s="88">
        <f>[7]Summary!E31</f>
        <v>0.5</v>
      </c>
      <c r="F32" s="89">
        <f>[7]Summary!F31</f>
        <v>41</v>
      </c>
      <c r="G32" s="90">
        <f t="shared" si="0"/>
        <v>20.5</v>
      </c>
      <c r="H32" s="91"/>
      <c r="I32" s="84"/>
    </row>
    <row r="33" spans="1:9" ht="46.5">
      <c r="A33" s="81">
        <v>29</v>
      </c>
      <c r="B33" s="69" t="s">
        <v>72</v>
      </c>
      <c r="C33" s="69" t="s">
        <v>73</v>
      </c>
      <c r="D33" s="69" t="s">
        <v>3589</v>
      </c>
      <c r="E33" s="47">
        <f>[7]Summary!E32</f>
        <v>0.32</v>
      </c>
      <c r="F33" s="82">
        <f>[7]Summary!F32</f>
        <v>6</v>
      </c>
      <c r="G33" s="83">
        <f t="shared" si="0"/>
        <v>1.92</v>
      </c>
      <c r="H33" s="84"/>
      <c r="I33" s="92"/>
    </row>
    <row r="34" spans="1:9" ht="46.5">
      <c r="A34" s="85">
        <v>30</v>
      </c>
      <c r="B34" s="86" t="s">
        <v>74</v>
      </c>
      <c r="C34" s="86" t="s">
        <v>75</v>
      </c>
      <c r="D34" s="87" t="s">
        <v>3589</v>
      </c>
      <c r="E34" s="88">
        <f>[7]Summary!E33</f>
        <v>0.38</v>
      </c>
      <c r="F34" s="89">
        <f>[7]Summary!F33</f>
        <v>76</v>
      </c>
      <c r="G34" s="90">
        <f t="shared" si="0"/>
        <v>28.88</v>
      </c>
      <c r="H34" s="91"/>
      <c r="I34" s="84"/>
    </row>
    <row r="35" spans="1:9" ht="46.5">
      <c r="A35" s="81">
        <v>31</v>
      </c>
      <c r="B35" s="69" t="s">
        <v>76</v>
      </c>
      <c r="C35" s="69" t="s">
        <v>77</v>
      </c>
      <c r="D35" s="69" t="s">
        <v>3589</v>
      </c>
      <c r="E35" s="47">
        <f>[7]Summary!E34</f>
        <v>0.53</v>
      </c>
      <c r="F35" s="82">
        <f>[7]Summary!F34</f>
        <v>1</v>
      </c>
      <c r="G35" s="83">
        <f t="shared" si="0"/>
        <v>0.53</v>
      </c>
      <c r="H35" s="84"/>
      <c r="I35" s="84"/>
    </row>
    <row r="36" spans="1:9" ht="23.25">
      <c r="A36" s="85">
        <v>32</v>
      </c>
      <c r="B36" s="86" t="s">
        <v>3590</v>
      </c>
      <c r="C36" s="86" t="s">
        <v>3591</v>
      </c>
      <c r="D36" s="87" t="s">
        <v>135</v>
      </c>
      <c r="E36" s="88">
        <f>[7]Summary!E35</f>
        <v>0.5</v>
      </c>
      <c r="F36" s="89">
        <f>[7]Summary!F35</f>
        <v>1159</v>
      </c>
      <c r="G36" s="90">
        <f t="shared" si="0"/>
        <v>579.5</v>
      </c>
      <c r="H36" s="91"/>
      <c r="I36" s="84"/>
    </row>
    <row r="37" spans="1:9" ht="23.25">
      <c r="A37" s="81">
        <v>33</v>
      </c>
      <c r="B37" s="69" t="s">
        <v>78</v>
      </c>
      <c r="C37" s="69" t="s">
        <v>79</v>
      </c>
      <c r="D37" s="69" t="s">
        <v>135</v>
      </c>
      <c r="E37" s="47">
        <f>[7]Summary!E36</f>
        <v>0</v>
      </c>
      <c r="F37" s="82">
        <f>[7]Summary!F36</f>
        <v>180</v>
      </c>
      <c r="G37" s="83">
        <f t="shared" ref="G37:G68" si="1">F37*E37</f>
        <v>0</v>
      </c>
      <c r="H37" s="84"/>
      <c r="I37" s="84"/>
    </row>
    <row r="38" spans="1:9" ht="23.25">
      <c r="A38" s="85">
        <v>34</v>
      </c>
      <c r="B38" s="86" t="s">
        <v>80</v>
      </c>
      <c r="C38" s="86" t="s">
        <v>81</v>
      </c>
      <c r="D38" s="87" t="s">
        <v>135</v>
      </c>
      <c r="E38" s="88">
        <f>[7]Summary!E37</f>
        <v>0.33</v>
      </c>
      <c r="F38" s="89">
        <f>[7]Summary!F37</f>
        <v>291</v>
      </c>
      <c r="G38" s="90">
        <f t="shared" si="1"/>
        <v>96.03</v>
      </c>
      <c r="H38" s="91"/>
      <c r="I38" s="84"/>
    </row>
    <row r="39" spans="1:9" ht="23.25">
      <c r="A39" s="81">
        <v>35</v>
      </c>
      <c r="B39" s="69" t="s">
        <v>3592</v>
      </c>
      <c r="C39" s="69" t="s">
        <v>3593</v>
      </c>
      <c r="D39" s="69" t="s">
        <v>135</v>
      </c>
      <c r="E39" s="47">
        <f>[7]Summary!E38</f>
        <v>0.5</v>
      </c>
      <c r="F39" s="82">
        <f>[7]Summary!F38</f>
        <v>21</v>
      </c>
      <c r="G39" s="83">
        <f t="shared" si="1"/>
        <v>10.5</v>
      </c>
      <c r="H39" s="84"/>
      <c r="I39" s="84"/>
    </row>
    <row r="40" spans="1:9" ht="23.25">
      <c r="A40" s="85">
        <v>36</v>
      </c>
      <c r="B40" s="86" t="s">
        <v>82</v>
      </c>
      <c r="C40" s="86" t="s">
        <v>83</v>
      </c>
      <c r="D40" s="87" t="s">
        <v>1600</v>
      </c>
      <c r="E40" s="88">
        <f>[7]Summary!E39</f>
        <v>45</v>
      </c>
      <c r="F40" s="89">
        <f>[7]Summary!F39</f>
        <v>56</v>
      </c>
      <c r="G40" s="90">
        <f t="shared" si="1"/>
        <v>2520</v>
      </c>
      <c r="H40" s="91"/>
      <c r="I40" s="84"/>
    </row>
    <row r="41" spans="1:9" ht="23.25">
      <c r="A41" s="81">
        <v>37</v>
      </c>
      <c r="B41" s="69" t="s">
        <v>84</v>
      </c>
      <c r="C41" s="69" t="s">
        <v>85</v>
      </c>
      <c r="D41" s="69" t="s">
        <v>1600</v>
      </c>
      <c r="E41" s="47">
        <f>[7]Summary!E40</f>
        <v>0</v>
      </c>
      <c r="F41" s="82">
        <f>[7]Summary!F40</f>
        <v>4</v>
      </c>
      <c r="G41" s="83">
        <f t="shared" si="1"/>
        <v>0</v>
      </c>
      <c r="H41" s="84"/>
      <c r="I41" s="84"/>
    </row>
    <row r="42" spans="1:9" ht="23.25">
      <c r="A42" s="85">
        <v>38</v>
      </c>
      <c r="B42" s="86" t="s">
        <v>86</v>
      </c>
      <c r="C42" s="86" t="s">
        <v>3594</v>
      </c>
      <c r="D42" s="87" t="s">
        <v>1600</v>
      </c>
      <c r="E42" s="88">
        <f>[7]Summary!E41</f>
        <v>35</v>
      </c>
      <c r="F42" s="89">
        <f>[7]Summary!F41</f>
        <v>157</v>
      </c>
      <c r="G42" s="90">
        <f t="shared" si="1"/>
        <v>5495</v>
      </c>
      <c r="H42" s="91"/>
      <c r="I42" s="92"/>
    </row>
    <row r="43" spans="1:9" ht="23.25">
      <c r="A43" s="81">
        <v>39</v>
      </c>
      <c r="B43" s="69" t="s">
        <v>87</v>
      </c>
      <c r="C43" s="69" t="s">
        <v>88</v>
      </c>
      <c r="D43" s="69" t="s">
        <v>135</v>
      </c>
      <c r="E43" s="47">
        <f>[7]Summary!E42</f>
        <v>1</v>
      </c>
      <c r="F43" s="82">
        <f>[7]Summary!F42</f>
        <v>358</v>
      </c>
      <c r="G43" s="83">
        <f t="shared" si="1"/>
        <v>358</v>
      </c>
      <c r="H43" s="84"/>
      <c r="I43" s="84"/>
    </row>
    <row r="44" spans="1:9" ht="23.25">
      <c r="A44" s="85">
        <v>40</v>
      </c>
      <c r="B44" s="86" t="s">
        <v>89</v>
      </c>
      <c r="C44" s="86" t="s">
        <v>90</v>
      </c>
      <c r="D44" s="87" t="s">
        <v>3437</v>
      </c>
      <c r="E44" s="88">
        <f>[7]Summary!E43</f>
        <v>2.5</v>
      </c>
      <c r="F44" s="89">
        <f>[7]Summary!F43</f>
        <v>6</v>
      </c>
      <c r="G44" s="90">
        <f t="shared" si="1"/>
        <v>15</v>
      </c>
      <c r="H44" s="91"/>
      <c r="I44" s="84"/>
    </row>
    <row r="45" spans="1:9" ht="23.25">
      <c r="A45" s="81">
        <v>41</v>
      </c>
      <c r="B45" s="69" t="s">
        <v>91</v>
      </c>
      <c r="C45" s="69" t="s">
        <v>92</v>
      </c>
      <c r="D45" s="69" t="s">
        <v>135</v>
      </c>
      <c r="E45" s="47">
        <f>[7]Summary!E44</f>
        <v>2.5</v>
      </c>
      <c r="F45" s="82">
        <f>[7]Summary!F44</f>
        <v>1412</v>
      </c>
      <c r="G45" s="83">
        <f t="shared" si="1"/>
        <v>3530</v>
      </c>
      <c r="H45" s="84"/>
      <c r="I45" s="84"/>
    </row>
    <row r="46" spans="1:9" ht="23.25">
      <c r="A46" s="85">
        <v>42</v>
      </c>
      <c r="B46" s="86" t="s">
        <v>93</v>
      </c>
      <c r="C46" s="86" t="s">
        <v>94</v>
      </c>
      <c r="D46" s="87" t="s">
        <v>135</v>
      </c>
      <c r="E46" s="88">
        <f>[7]Summary!E45</f>
        <v>30</v>
      </c>
      <c r="F46" s="89">
        <f>[7]Summary!F45</f>
        <v>2</v>
      </c>
      <c r="G46" s="90">
        <f t="shared" si="1"/>
        <v>60</v>
      </c>
      <c r="H46" s="91"/>
      <c r="I46" s="84"/>
    </row>
    <row r="47" spans="1:9" ht="46.5">
      <c r="A47" s="81">
        <v>43</v>
      </c>
      <c r="B47" s="69" t="s">
        <v>95</v>
      </c>
      <c r="C47" s="69" t="s">
        <v>96</v>
      </c>
      <c r="D47" s="69" t="s">
        <v>135</v>
      </c>
      <c r="E47" s="47">
        <f>[7]Summary!E46</f>
        <v>0</v>
      </c>
      <c r="F47" s="82">
        <f>[7]Summary!F46</f>
        <v>2</v>
      </c>
      <c r="G47" s="83">
        <f t="shared" si="1"/>
        <v>0</v>
      </c>
      <c r="H47" s="84"/>
      <c r="I47" s="84"/>
    </row>
    <row r="48" spans="1:9" ht="46.5">
      <c r="A48" s="85">
        <v>44</v>
      </c>
      <c r="B48" s="86" t="s">
        <v>97</v>
      </c>
      <c r="C48" s="86" t="s">
        <v>98</v>
      </c>
      <c r="D48" s="87" t="s">
        <v>135</v>
      </c>
      <c r="E48" s="88">
        <f>[7]Summary!E47</f>
        <v>5</v>
      </c>
      <c r="F48" s="89">
        <f>[7]Summary!F47</f>
        <v>0</v>
      </c>
      <c r="G48" s="90">
        <f t="shared" si="1"/>
        <v>0</v>
      </c>
      <c r="H48" s="91"/>
      <c r="I48" s="84"/>
    </row>
    <row r="49" spans="1:9" ht="23.25">
      <c r="A49" s="81">
        <v>45</v>
      </c>
      <c r="B49" s="69" t="s">
        <v>99</v>
      </c>
      <c r="C49" s="69" t="s">
        <v>100</v>
      </c>
      <c r="D49" s="69" t="s">
        <v>135</v>
      </c>
      <c r="E49" s="47">
        <f>[7]Summary!E48</f>
        <v>329</v>
      </c>
      <c r="F49" s="82">
        <f>[7]Summary!F48</f>
        <v>0</v>
      </c>
      <c r="G49" s="83">
        <f t="shared" si="1"/>
        <v>0</v>
      </c>
      <c r="H49" s="84"/>
      <c r="I49" s="84"/>
    </row>
    <row r="50" spans="1:9" ht="46.5">
      <c r="A50" s="85">
        <v>46</v>
      </c>
      <c r="B50" s="86" t="s">
        <v>101</v>
      </c>
      <c r="C50" s="86" t="s">
        <v>102</v>
      </c>
      <c r="D50" s="87" t="s">
        <v>135</v>
      </c>
      <c r="E50" s="88">
        <f>[7]Summary!E49</f>
        <v>640</v>
      </c>
      <c r="F50" s="89">
        <f>[7]Summary!F49</f>
        <v>0</v>
      </c>
      <c r="G50" s="90">
        <f t="shared" si="1"/>
        <v>0</v>
      </c>
      <c r="H50" s="91"/>
      <c r="I50" s="84"/>
    </row>
    <row r="51" spans="1:9" ht="46.5">
      <c r="A51" s="81">
        <v>47</v>
      </c>
      <c r="B51" s="69" t="s">
        <v>103</v>
      </c>
      <c r="C51" s="69" t="s">
        <v>104</v>
      </c>
      <c r="D51" s="69" t="s">
        <v>135</v>
      </c>
      <c r="E51" s="47">
        <f>[7]Summary!E50</f>
        <v>850</v>
      </c>
      <c r="F51" s="82">
        <f>[7]Summary!F50</f>
        <v>0</v>
      </c>
      <c r="G51" s="83">
        <f t="shared" si="1"/>
        <v>0</v>
      </c>
      <c r="H51" s="84"/>
      <c r="I51" s="84"/>
    </row>
    <row r="52" spans="1:9" ht="23.25">
      <c r="A52" s="85">
        <v>48</v>
      </c>
      <c r="B52" s="86" t="s">
        <v>3595</v>
      </c>
      <c r="C52" s="86" t="s">
        <v>3596</v>
      </c>
      <c r="D52" s="87" t="s">
        <v>135</v>
      </c>
      <c r="E52" s="88">
        <f>[7]Summary!E51</f>
        <v>240</v>
      </c>
      <c r="F52" s="89">
        <f>[7]Summary!F51</f>
        <v>2</v>
      </c>
      <c r="G52" s="90">
        <f t="shared" si="1"/>
        <v>480</v>
      </c>
      <c r="H52" s="91"/>
      <c r="I52" s="84"/>
    </row>
    <row r="53" spans="1:9" ht="23.25">
      <c r="A53" s="81">
        <v>49</v>
      </c>
      <c r="B53" s="69" t="s">
        <v>3597</v>
      </c>
      <c r="C53" s="69" t="s">
        <v>3598</v>
      </c>
      <c r="D53" s="69" t="s">
        <v>135</v>
      </c>
      <c r="E53" s="47">
        <f>[7]Summary!E52</f>
        <v>290</v>
      </c>
      <c r="F53" s="82">
        <f>[7]Summary!F52</f>
        <v>1</v>
      </c>
      <c r="G53" s="83">
        <f t="shared" si="1"/>
        <v>290</v>
      </c>
      <c r="H53" s="84"/>
      <c r="I53" s="84"/>
    </row>
    <row r="54" spans="1:9" ht="46.5">
      <c r="A54" s="85">
        <v>50</v>
      </c>
      <c r="B54" s="86" t="s">
        <v>105</v>
      </c>
      <c r="C54" s="86" t="s">
        <v>106</v>
      </c>
      <c r="D54" s="87" t="s">
        <v>135</v>
      </c>
      <c r="E54" s="88">
        <f>[7]Summary!E53</f>
        <v>270</v>
      </c>
      <c r="F54" s="89">
        <f>[7]Summary!F53</f>
        <v>0</v>
      </c>
      <c r="G54" s="90">
        <f t="shared" si="1"/>
        <v>0</v>
      </c>
      <c r="H54" s="91"/>
      <c r="I54" s="84"/>
    </row>
    <row r="55" spans="1:9" ht="23.25">
      <c r="A55" s="81">
        <v>51</v>
      </c>
      <c r="B55" s="69" t="s">
        <v>107</v>
      </c>
      <c r="C55" s="69" t="s">
        <v>108</v>
      </c>
      <c r="D55" s="69" t="s">
        <v>135</v>
      </c>
      <c r="E55" s="47">
        <f>[7]Summary!E54</f>
        <v>200</v>
      </c>
      <c r="F55" s="82">
        <f>[7]Summary!F54</f>
        <v>2</v>
      </c>
      <c r="G55" s="83">
        <f t="shared" si="1"/>
        <v>400</v>
      </c>
      <c r="H55" s="84"/>
      <c r="I55" s="92"/>
    </row>
    <row r="56" spans="1:9" ht="23.25">
      <c r="A56" s="85">
        <v>52</v>
      </c>
      <c r="B56" s="86" t="s">
        <v>109</v>
      </c>
      <c r="C56" s="86" t="s">
        <v>110</v>
      </c>
      <c r="D56" s="87" t="s">
        <v>135</v>
      </c>
      <c r="E56" s="88">
        <f>[7]Summary!E55</f>
        <v>285</v>
      </c>
      <c r="F56" s="89">
        <f>[7]Summary!F55</f>
        <v>23</v>
      </c>
      <c r="G56" s="90">
        <f t="shared" si="1"/>
        <v>6555</v>
      </c>
      <c r="H56" s="91"/>
      <c r="I56" s="92"/>
    </row>
    <row r="57" spans="1:9" ht="23.25">
      <c r="A57" s="81">
        <v>53</v>
      </c>
      <c r="B57" s="69" t="s">
        <v>111</v>
      </c>
      <c r="C57" s="69" t="s">
        <v>112</v>
      </c>
      <c r="D57" s="69" t="s">
        <v>135</v>
      </c>
      <c r="E57" s="47">
        <f>[7]Summary!E56</f>
        <v>730</v>
      </c>
      <c r="F57" s="82">
        <f>[7]Summary!F56</f>
        <v>0</v>
      </c>
      <c r="G57" s="83">
        <f t="shared" si="1"/>
        <v>0</v>
      </c>
      <c r="H57" s="84"/>
      <c r="I57" s="84"/>
    </row>
    <row r="58" spans="1:9" ht="46.5">
      <c r="A58" s="85">
        <v>54</v>
      </c>
      <c r="B58" s="86" t="s">
        <v>3599</v>
      </c>
      <c r="C58" s="86" t="s">
        <v>3600</v>
      </c>
      <c r="D58" s="87" t="s">
        <v>135</v>
      </c>
      <c r="E58" s="88">
        <f>[7]Summary!E57</f>
        <v>190</v>
      </c>
      <c r="F58" s="89">
        <f>[7]Summary!F57</f>
        <v>1</v>
      </c>
      <c r="G58" s="90">
        <f t="shared" si="1"/>
        <v>190</v>
      </c>
      <c r="H58" s="91"/>
      <c r="I58" s="84"/>
    </row>
    <row r="59" spans="1:9" ht="46.5">
      <c r="A59" s="81">
        <v>55</v>
      </c>
      <c r="B59" s="69" t="s">
        <v>3601</v>
      </c>
      <c r="C59" s="69" t="s">
        <v>3602</v>
      </c>
      <c r="D59" s="69" t="s">
        <v>135</v>
      </c>
      <c r="E59" s="47">
        <f>[7]Summary!E58</f>
        <v>580</v>
      </c>
      <c r="F59" s="82">
        <f>[7]Summary!F58</f>
        <v>0</v>
      </c>
      <c r="G59" s="83">
        <f t="shared" si="1"/>
        <v>0</v>
      </c>
      <c r="H59" s="84"/>
      <c r="I59" s="84"/>
    </row>
    <row r="60" spans="1:9" ht="23.25">
      <c r="A60" s="85">
        <v>56</v>
      </c>
      <c r="B60" s="86" t="s">
        <v>3603</v>
      </c>
      <c r="C60" s="86" t="s">
        <v>3604</v>
      </c>
      <c r="D60" s="87" t="s">
        <v>135</v>
      </c>
      <c r="E60" s="88">
        <f>[7]Summary!E59</f>
        <v>455</v>
      </c>
      <c r="F60" s="89">
        <f>[7]Summary!F59</f>
        <v>0</v>
      </c>
      <c r="G60" s="90">
        <f t="shared" si="1"/>
        <v>0</v>
      </c>
      <c r="H60" s="91"/>
      <c r="I60" s="84"/>
    </row>
    <row r="61" spans="1:9" ht="46.5">
      <c r="A61" s="81">
        <v>57</v>
      </c>
      <c r="B61" s="69" t="s">
        <v>3605</v>
      </c>
      <c r="C61" s="69" t="s">
        <v>3606</v>
      </c>
      <c r="D61" s="69" t="s">
        <v>135</v>
      </c>
      <c r="E61" s="47">
        <f>[7]Summary!E60</f>
        <v>340</v>
      </c>
      <c r="F61" s="82">
        <f>[7]Summary!F60</f>
        <v>0</v>
      </c>
      <c r="G61" s="83">
        <f t="shared" si="1"/>
        <v>0</v>
      </c>
      <c r="H61" s="84"/>
      <c r="I61" s="84"/>
    </row>
    <row r="62" spans="1:9" ht="46.5">
      <c r="A62" s="85">
        <v>58</v>
      </c>
      <c r="B62" s="86" t="s">
        <v>3607</v>
      </c>
      <c r="C62" s="86" t="s">
        <v>3608</v>
      </c>
      <c r="D62" s="87" t="s">
        <v>135</v>
      </c>
      <c r="E62" s="88">
        <f>[7]Summary!E61</f>
        <v>795</v>
      </c>
      <c r="F62" s="89">
        <f>[7]Summary!F61</f>
        <v>0</v>
      </c>
      <c r="G62" s="90">
        <f t="shared" si="1"/>
        <v>0</v>
      </c>
      <c r="H62" s="91"/>
      <c r="I62" s="92"/>
    </row>
    <row r="63" spans="1:9" ht="46.5">
      <c r="A63" s="81">
        <v>59</v>
      </c>
      <c r="B63" s="69" t="s">
        <v>113</v>
      </c>
      <c r="C63" s="69" t="s">
        <v>114</v>
      </c>
      <c r="D63" s="69" t="s">
        <v>135</v>
      </c>
      <c r="E63" s="47">
        <f>[7]Summary!E62</f>
        <v>305</v>
      </c>
      <c r="F63" s="82">
        <f>[7]Summary!F62</f>
        <v>0</v>
      </c>
      <c r="G63" s="83">
        <f t="shared" si="1"/>
        <v>0</v>
      </c>
      <c r="H63" s="84"/>
      <c r="I63" s="92"/>
    </row>
    <row r="64" spans="1:9" ht="46.5">
      <c r="A64" s="85">
        <v>60</v>
      </c>
      <c r="B64" s="86" t="s">
        <v>115</v>
      </c>
      <c r="C64" s="86" t="s">
        <v>116</v>
      </c>
      <c r="D64" s="87" t="s">
        <v>135</v>
      </c>
      <c r="E64" s="88">
        <f>[7]Summary!E63</f>
        <v>345</v>
      </c>
      <c r="F64" s="89">
        <f>[7]Summary!F63</f>
        <v>0</v>
      </c>
      <c r="G64" s="90">
        <f t="shared" si="1"/>
        <v>0</v>
      </c>
      <c r="H64" s="91"/>
      <c r="I64" s="92"/>
    </row>
    <row r="65" spans="1:9" ht="46.5">
      <c r="A65" s="81">
        <v>61</v>
      </c>
      <c r="B65" s="69" t="s">
        <v>117</v>
      </c>
      <c r="C65" s="69" t="s">
        <v>118</v>
      </c>
      <c r="D65" s="69" t="s">
        <v>135</v>
      </c>
      <c r="E65" s="47">
        <f>[7]Summary!E64</f>
        <v>290</v>
      </c>
      <c r="F65" s="82">
        <f>[7]Summary!F64</f>
        <v>1</v>
      </c>
      <c r="G65" s="83">
        <f t="shared" si="1"/>
        <v>290</v>
      </c>
      <c r="H65" s="84"/>
      <c r="I65" s="92"/>
    </row>
    <row r="66" spans="1:9" ht="46.5">
      <c r="A66" s="85">
        <v>62</v>
      </c>
      <c r="B66" s="86" t="s">
        <v>119</v>
      </c>
      <c r="C66" s="86" t="s">
        <v>120</v>
      </c>
      <c r="D66" s="87" t="s">
        <v>135</v>
      </c>
      <c r="E66" s="88">
        <f>[7]Summary!E65</f>
        <v>415</v>
      </c>
      <c r="F66" s="89">
        <f>[7]Summary!F65</f>
        <v>0</v>
      </c>
      <c r="G66" s="90">
        <f t="shared" si="1"/>
        <v>0</v>
      </c>
      <c r="H66" s="91"/>
      <c r="I66" s="84"/>
    </row>
    <row r="67" spans="1:9" ht="23.25">
      <c r="A67" s="81">
        <v>63</v>
      </c>
      <c r="B67" s="69" t="s">
        <v>121</v>
      </c>
      <c r="C67" s="69" t="s">
        <v>122</v>
      </c>
      <c r="D67" s="69" t="s">
        <v>135</v>
      </c>
      <c r="E67" s="47">
        <f>[7]Summary!E66</f>
        <v>0</v>
      </c>
      <c r="F67" s="82">
        <f>[7]Summary!F66</f>
        <v>1</v>
      </c>
      <c r="G67" s="83">
        <f t="shared" si="1"/>
        <v>0</v>
      </c>
      <c r="H67" s="84"/>
      <c r="I67" s="84"/>
    </row>
    <row r="68" spans="1:9" ht="23.25">
      <c r="A68" s="85">
        <v>64</v>
      </c>
      <c r="B68" s="86" t="s">
        <v>123</v>
      </c>
      <c r="C68" s="86" t="s">
        <v>124</v>
      </c>
      <c r="D68" s="87" t="s">
        <v>135</v>
      </c>
      <c r="E68" s="88">
        <f>[7]Summary!E67</f>
        <v>285</v>
      </c>
      <c r="F68" s="89">
        <f>[7]Summary!F67</f>
        <v>5</v>
      </c>
      <c r="G68" s="90">
        <f t="shared" si="1"/>
        <v>1425</v>
      </c>
      <c r="H68" s="91"/>
      <c r="I68" s="84"/>
    </row>
    <row r="69" spans="1:9" ht="23.25">
      <c r="A69" s="81">
        <v>65</v>
      </c>
      <c r="B69" s="69" t="s">
        <v>125</v>
      </c>
      <c r="C69" s="69" t="s">
        <v>126</v>
      </c>
      <c r="D69" s="69" t="s">
        <v>3437</v>
      </c>
      <c r="E69" s="47">
        <f>[7]Summary!E68</f>
        <v>0</v>
      </c>
      <c r="F69" s="82">
        <f>[7]Summary!F68</f>
        <v>7</v>
      </c>
      <c r="G69" s="83">
        <f t="shared" ref="G69:G73" si="2">F69*E69</f>
        <v>0</v>
      </c>
      <c r="H69" s="84"/>
      <c r="I69" s="84"/>
    </row>
    <row r="70" spans="1:9" ht="23.25">
      <c r="A70" s="85">
        <v>66</v>
      </c>
      <c r="B70" s="86" t="s">
        <v>127</v>
      </c>
      <c r="C70" s="86" t="s">
        <v>128</v>
      </c>
      <c r="D70" s="87" t="s">
        <v>135</v>
      </c>
      <c r="E70" s="88">
        <f>[7]Summary!E69</f>
        <v>10</v>
      </c>
      <c r="F70" s="89">
        <f>[7]Summary!F69</f>
        <v>0</v>
      </c>
      <c r="G70" s="90">
        <f t="shared" si="2"/>
        <v>0</v>
      </c>
      <c r="H70" s="91"/>
      <c r="I70" s="84"/>
    </row>
    <row r="71" spans="1:9" ht="23.25">
      <c r="A71" s="81">
        <v>67</v>
      </c>
      <c r="B71" s="69" t="s">
        <v>3609</v>
      </c>
      <c r="C71" s="69" t="s">
        <v>3610</v>
      </c>
      <c r="D71" s="69" t="s">
        <v>135</v>
      </c>
      <c r="E71" s="47">
        <f>[7]Summary!E70</f>
        <v>0.17100000000000001</v>
      </c>
      <c r="F71" s="82">
        <f>[7]Summary!F70</f>
        <v>1203</v>
      </c>
      <c r="G71" s="83">
        <f t="shared" si="2"/>
        <v>205.71300000000002</v>
      </c>
      <c r="H71" s="84"/>
      <c r="I71" s="84"/>
    </row>
    <row r="72" spans="1:9" ht="23.25">
      <c r="A72" s="85">
        <v>68</v>
      </c>
      <c r="B72" s="86" t="s">
        <v>3611</v>
      </c>
      <c r="C72" s="86" t="s">
        <v>3612</v>
      </c>
      <c r="D72" s="87" t="s">
        <v>135</v>
      </c>
      <c r="E72" s="88">
        <f>[7]Summary!E71</f>
        <v>0.34</v>
      </c>
      <c r="F72" s="89">
        <f>[7]Summary!F71</f>
        <v>33</v>
      </c>
      <c r="G72" s="90">
        <f t="shared" si="2"/>
        <v>11.22</v>
      </c>
      <c r="H72" s="91"/>
      <c r="I72" s="84"/>
    </row>
    <row r="73" spans="1:9" ht="46.5">
      <c r="A73" s="81">
        <v>69</v>
      </c>
      <c r="B73" s="69" t="s">
        <v>24</v>
      </c>
      <c r="C73" s="69" t="s">
        <v>25</v>
      </c>
      <c r="D73" s="69" t="s">
        <v>135</v>
      </c>
      <c r="E73" s="47">
        <f>[7]Summary!E72</f>
        <v>6.25</v>
      </c>
      <c r="F73" s="82">
        <f>[7]Summary!F72</f>
        <v>5</v>
      </c>
      <c r="G73" s="83">
        <f t="shared" si="2"/>
        <v>31.25</v>
      </c>
      <c r="H73" s="84"/>
      <c r="I73" s="84"/>
    </row>
    <row r="74" spans="1:9" ht="33" customHeight="1">
      <c r="A74" s="93"/>
      <c r="B74" s="94"/>
      <c r="C74" s="94"/>
      <c r="D74" s="95"/>
      <c r="E74" s="96"/>
      <c r="F74" s="93"/>
      <c r="G74" s="96"/>
    </row>
    <row r="75" spans="1:9" ht="26.25" customHeight="1">
      <c r="A75" s="285" t="s">
        <v>7</v>
      </c>
      <c r="B75" s="286"/>
      <c r="C75" s="286"/>
      <c r="D75" s="286"/>
      <c r="E75" s="287"/>
      <c r="F75" s="82">
        <f>SUM(F5:F73)</f>
        <v>5117</v>
      </c>
      <c r="G75" s="83">
        <f>SUM(G5:G73)</f>
        <v>23262.530500000001</v>
      </c>
    </row>
    <row r="76" spans="1:9" ht="18.75" customHeight="1">
      <c r="A76" s="97"/>
      <c r="B76" s="98"/>
      <c r="C76" s="98"/>
      <c r="D76" s="99"/>
      <c r="E76" s="96"/>
      <c r="F76" s="99"/>
      <c r="G76" s="96"/>
    </row>
    <row r="77" spans="1:9" ht="21.75" customHeight="1">
      <c r="A77" s="93"/>
      <c r="B77" s="94"/>
      <c r="C77" s="94"/>
      <c r="D77" s="95"/>
      <c r="E77" s="96"/>
      <c r="F77" s="93"/>
      <c r="G77" s="96"/>
    </row>
    <row r="78" spans="1:9" ht="20.25" customHeight="1">
      <c r="A78" s="97"/>
      <c r="B78" s="98"/>
      <c r="C78" s="98"/>
      <c r="D78" s="99"/>
      <c r="E78" s="96"/>
      <c r="F78" s="99"/>
      <c r="G78" s="96"/>
    </row>
    <row r="79" spans="1:9" ht="18.75" customHeight="1">
      <c r="A79" s="97"/>
      <c r="B79" s="98"/>
      <c r="C79" s="98"/>
      <c r="D79" s="99"/>
      <c r="E79" s="96"/>
      <c r="F79" s="99"/>
      <c r="G79" s="96"/>
    </row>
    <row r="80" spans="1:9" ht="20.25" customHeight="1">
      <c r="A80" s="93"/>
      <c r="B80" s="94"/>
      <c r="C80" s="94"/>
      <c r="D80" s="95"/>
      <c r="E80" s="96"/>
      <c r="F80" s="93"/>
      <c r="G80" s="96"/>
    </row>
    <row r="81" spans="1:7" ht="23.25">
      <c r="A81" s="97"/>
      <c r="B81" s="98"/>
      <c r="C81" s="98"/>
      <c r="D81" s="99"/>
      <c r="E81" s="96"/>
      <c r="F81" s="99"/>
      <c r="G81" s="96"/>
    </row>
    <row r="82" spans="1:7" ht="19.5" customHeight="1">
      <c r="A82" s="93"/>
      <c r="B82" s="94"/>
      <c r="C82" s="94"/>
      <c r="D82" s="95"/>
      <c r="E82" s="96"/>
      <c r="F82" s="93"/>
      <c r="G82" s="96"/>
    </row>
    <row r="83" spans="1:7" ht="23.25">
      <c r="A83" s="97"/>
      <c r="B83" s="98"/>
      <c r="C83" s="98"/>
      <c r="D83" s="99"/>
      <c r="E83" s="96"/>
      <c r="F83" s="99"/>
      <c r="G83" s="96"/>
    </row>
    <row r="84" spans="1:7" ht="19.5" customHeight="1">
      <c r="A84" s="93"/>
      <c r="B84" s="94"/>
      <c r="C84" s="94"/>
      <c r="D84" s="95"/>
      <c r="E84" s="96"/>
      <c r="F84" s="93"/>
      <c r="G84" s="96"/>
    </row>
    <row r="85" spans="1:7" ht="23.25">
      <c r="A85" s="97"/>
      <c r="B85" s="98"/>
      <c r="C85" s="98"/>
      <c r="D85" s="99"/>
      <c r="E85" s="96"/>
      <c r="F85" s="99"/>
      <c r="G85" s="96"/>
    </row>
    <row r="86" spans="1:7" ht="19.5" customHeight="1">
      <c r="A86" s="93"/>
      <c r="B86" s="94"/>
      <c r="C86" s="94"/>
      <c r="D86" s="95"/>
      <c r="E86" s="96"/>
      <c r="F86" s="93"/>
      <c r="G86" s="96"/>
    </row>
    <row r="87" spans="1:7" ht="23.25">
      <c r="A87" s="97"/>
      <c r="B87" s="98"/>
      <c r="C87" s="98"/>
      <c r="D87" s="99"/>
      <c r="E87" s="96"/>
      <c r="F87" s="99"/>
      <c r="G87" s="96"/>
    </row>
    <row r="88" spans="1:7" ht="20.25" customHeight="1">
      <c r="A88" s="93"/>
      <c r="B88" s="94"/>
      <c r="C88" s="94"/>
      <c r="D88" s="95"/>
      <c r="E88" s="96"/>
      <c r="F88" s="93"/>
      <c r="G88" s="96"/>
    </row>
    <row r="89" spans="1:7" ht="23.25">
      <c r="A89" s="97"/>
      <c r="B89" s="98"/>
      <c r="C89" s="98"/>
      <c r="D89" s="99"/>
      <c r="E89" s="96"/>
      <c r="F89" s="99"/>
      <c r="G89" s="96"/>
    </row>
    <row r="90" spans="1:7" ht="21.75" customHeight="1">
      <c r="A90" s="93"/>
      <c r="B90" s="94"/>
      <c r="C90" s="94"/>
      <c r="D90" s="95"/>
      <c r="E90" s="96"/>
      <c r="F90" s="93"/>
      <c r="G90" s="96"/>
    </row>
    <row r="91" spans="1:7" ht="23.25">
      <c r="A91" s="97"/>
      <c r="B91" s="98"/>
      <c r="C91" s="98"/>
      <c r="D91" s="99"/>
      <c r="E91" s="96"/>
      <c r="F91" s="99"/>
      <c r="G91" s="96"/>
    </row>
    <row r="92" spans="1:7" ht="21" customHeight="1">
      <c r="A92" s="93"/>
      <c r="B92" s="94"/>
      <c r="C92" s="94"/>
      <c r="D92" s="95"/>
      <c r="E92" s="96"/>
      <c r="F92" s="93"/>
      <c r="G92" s="96"/>
    </row>
    <row r="93" spans="1:7" ht="23.25">
      <c r="A93" s="97"/>
      <c r="B93" s="98"/>
      <c r="C93" s="98"/>
      <c r="D93" s="99"/>
      <c r="E93" s="96"/>
      <c r="F93" s="99"/>
      <c r="G93" s="96"/>
    </row>
    <row r="94" spans="1:7" ht="19.5" customHeight="1">
      <c r="A94" s="93"/>
      <c r="B94" s="94"/>
      <c r="C94" s="94"/>
      <c r="D94" s="95"/>
      <c r="E94" s="96"/>
      <c r="F94" s="93"/>
      <c r="G94" s="96"/>
    </row>
    <row r="95" spans="1:7" ht="23.25">
      <c r="A95" s="97"/>
      <c r="B95" s="98"/>
      <c r="C95" s="98"/>
      <c r="D95" s="99"/>
      <c r="E95" s="96"/>
      <c r="F95" s="99"/>
      <c r="G95" s="96"/>
    </row>
    <row r="96" spans="1:7" ht="21.75" customHeight="1">
      <c r="A96" s="93"/>
      <c r="B96" s="94"/>
      <c r="C96" s="94"/>
      <c r="D96" s="95"/>
      <c r="E96" s="96"/>
      <c r="F96" s="93"/>
      <c r="G96" s="96"/>
    </row>
    <row r="97" spans="1:7" ht="23.25">
      <c r="A97" s="97"/>
      <c r="B97" s="98"/>
      <c r="C97" s="98"/>
      <c r="D97" s="99"/>
      <c r="E97" s="96"/>
      <c r="F97" s="99"/>
      <c r="G97" s="96"/>
    </row>
    <row r="98" spans="1:7" ht="19.5" customHeight="1">
      <c r="A98" s="93"/>
      <c r="B98" s="94"/>
      <c r="C98" s="94"/>
      <c r="D98" s="95"/>
      <c r="E98" s="96"/>
      <c r="F98" s="93"/>
      <c r="G98" s="96"/>
    </row>
    <row r="99" spans="1:7" ht="23.25">
      <c r="A99" s="97"/>
      <c r="B99" s="98"/>
      <c r="C99" s="98"/>
      <c r="D99" s="99"/>
      <c r="E99" s="96"/>
      <c r="F99" s="99"/>
      <c r="G99" s="96"/>
    </row>
    <row r="100" spans="1:7" ht="21.75" customHeight="1">
      <c r="A100" s="93"/>
      <c r="B100" s="94"/>
      <c r="C100" s="94"/>
      <c r="D100" s="95"/>
      <c r="E100" s="96"/>
      <c r="F100" s="93"/>
      <c r="G100" s="96"/>
    </row>
    <row r="101" spans="1:7" ht="23.25">
      <c r="A101" s="97"/>
      <c r="B101" s="98"/>
      <c r="C101" s="98"/>
      <c r="D101" s="99"/>
      <c r="E101" s="96"/>
      <c r="F101" s="99"/>
      <c r="G101" s="96"/>
    </row>
    <row r="102" spans="1:7" ht="23.25" customHeight="1">
      <c r="A102" s="93"/>
      <c r="B102" s="94"/>
      <c r="C102" s="94"/>
      <c r="D102" s="95"/>
      <c r="E102" s="96"/>
      <c r="F102" s="93"/>
      <c r="G102" s="96"/>
    </row>
    <row r="103" spans="1:7" ht="23.25">
      <c r="A103" s="97"/>
      <c r="B103" s="98"/>
      <c r="C103" s="98"/>
      <c r="D103" s="99"/>
      <c r="E103" s="96"/>
      <c r="F103" s="99"/>
      <c r="G103" s="96"/>
    </row>
    <row r="104" spans="1:7" ht="18.75" customHeight="1">
      <c r="A104" s="93"/>
      <c r="B104" s="94"/>
      <c r="C104" s="94"/>
      <c r="D104" s="95"/>
      <c r="E104" s="96"/>
      <c r="F104" s="93"/>
      <c r="G104" s="96"/>
    </row>
    <row r="105" spans="1:7" ht="23.25">
      <c r="A105" s="97"/>
      <c r="B105" s="98"/>
      <c r="C105" s="98"/>
      <c r="D105" s="99"/>
      <c r="E105" s="96"/>
      <c r="F105" s="99"/>
      <c r="G105" s="96"/>
    </row>
    <row r="106" spans="1:7" ht="21" customHeight="1">
      <c r="A106" s="93"/>
      <c r="B106" s="94"/>
      <c r="C106" s="94"/>
      <c r="D106" s="95"/>
      <c r="E106" s="96"/>
      <c r="F106" s="93"/>
      <c r="G106" s="96"/>
    </row>
    <row r="107" spans="1:7" ht="23.25">
      <c r="A107" s="97"/>
      <c r="B107" s="98"/>
      <c r="C107" s="98"/>
      <c r="D107" s="99"/>
      <c r="E107" s="96"/>
      <c r="F107" s="99"/>
      <c r="G107" s="96"/>
    </row>
    <row r="108" spans="1:7" ht="20.25" customHeight="1">
      <c r="A108" s="93"/>
      <c r="B108" s="94"/>
      <c r="C108" s="94"/>
      <c r="D108" s="95"/>
      <c r="E108" s="96"/>
      <c r="F108" s="93"/>
      <c r="G108" s="96"/>
    </row>
    <row r="109" spans="1:7" ht="23.25">
      <c r="A109" s="97"/>
      <c r="B109" s="98"/>
      <c r="C109" s="98"/>
      <c r="D109" s="99"/>
      <c r="E109" s="96"/>
      <c r="F109" s="99"/>
      <c r="G109" s="96"/>
    </row>
    <row r="110" spans="1:7" ht="19.5" customHeight="1">
      <c r="A110" s="93"/>
      <c r="B110" s="94"/>
      <c r="C110" s="94"/>
      <c r="D110" s="95"/>
      <c r="E110" s="96"/>
      <c r="F110" s="93"/>
      <c r="G110" s="96"/>
    </row>
    <row r="111" spans="1:7" ht="23.25">
      <c r="A111" s="97"/>
      <c r="B111" s="98"/>
      <c r="C111" s="98"/>
      <c r="D111" s="99"/>
      <c r="E111" s="96"/>
      <c r="F111" s="99"/>
      <c r="G111" s="96"/>
    </row>
    <row r="112" spans="1:7" ht="21.75" customHeight="1">
      <c r="A112" s="93"/>
      <c r="B112" s="94"/>
      <c r="C112" s="94"/>
      <c r="D112" s="95"/>
      <c r="E112" s="96"/>
      <c r="F112" s="93"/>
      <c r="G112" s="96"/>
    </row>
    <row r="113" spans="1:7" ht="23.25">
      <c r="A113" s="97"/>
      <c r="B113" s="98"/>
      <c r="C113" s="98"/>
      <c r="D113" s="99"/>
      <c r="E113" s="96"/>
      <c r="F113" s="99"/>
      <c r="G113" s="96"/>
    </row>
    <row r="114" spans="1:7" ht="22.5" customHeight="1">
      <c r="A114" s="93"/>
      <c r="B114" s="94"/>
      <c r="C114" s="94"/>
      <c r="D114" s="95"/>
      <c r="E114" s="96"/>
      <c r="F114" s="93"/>
      <c r="G114" s="96"/>
    </row>
    <row r="115" spans="1:7" ht="23.25">
      <c r="A115" s="97"/>
      <c r="B115" s="98"/>
      <c r="C115" s="98"/>
      <c r="D115" s="99"/>
      <c r="E115" s="96"/>
      <c r="F115" s="99"/>
      <c r="G115" s="96"/>
    </row>
    <row r="116" spans="1:7" ht="18.75" customHeight="1">
      <c r="A116" s="93"/>
      <c r="B116" s="94"/>
      <c r="C116" s="94"/>
      <c r="D116" s="95"/>
      <c r="E116" s="96"/>
      <c r="F116" s="93"/>
      <c r="G116" s="96"/>
    </row>
    <row r="117" spans="1:7" ht="23.25">
      <c r="A117" s="97"/>
      <c r="B117" s="98"/>
      <c r="C117" s="98"/>
      <c r="D117" s="99"/>
      <c r="E117" s="96"/>
      <c r="F117" s="99"/>
      <c r="G117" s="96"/>
    </row>
    <row r="118" spans="1:7" ht="18" customHeight="1">
      <c r="A118" s="93"/>
      <c r="B118" s="94"/>
      <c r="C118" s="94"/>
      <c r="D118" s="95"/>
      <c r="E118" s="96"/>
      <c r="F118" s="93"/>
      <c r="G118" s="96"/>
    </row>
    <row r="119" spans="1:7" ht="23.25">
      <c r="A119" s="97"/>
      <c r="B119" s="98"/>
      <c r="C119" s="98"/>
      <c r="D119" s="99"/>
      <c r="E119" s="96"/>
      <c r="F119" s="99"/>
      <c r="G119" s="96"/>
    </row>
    <row r="120" spans="1:7" ht="23.25" customHeight="1">
      <c r="A120" s="93"/>
      <c r="B120" s="94"/>
      <c r="C120" s="94"/>
      <c r="D120" s="95"/>
      <c r="E120" s="96"/>
      <c r="F120" s="93"/>
      <c r="G120" s="96"/>
    </row>
    <row r="121" spans="1:7" ht="23.25">
      <c r="A121" s="97"/>
      <c r="B121" s="98"/>
      <c r="C121" s="98"/>
      <c r="D121" s="99"/>
      <c r="E121" s="96"/>
      <c r="F121" s="99"/>
      <c r="G121" s="96"/>
    </row>
    <row r="122" spans="1:7" ht="19.5" customHeight="1">
      <c r="A122" s="93"/>
      <c r="B122" s="94"/>
      <c r="C122" s="94"/>
      <c r="D122" s="95"/>
      <c r="E122" s="96"/>
      <c r="F122" s="93"/>
      <c r="G122" s="96"/>
    </row>
    <row r="123" spans="1:7" ht="23.25">
      <c r="A123" s="97"/>
      <c r="B123" s="98"/>
      <c r="C123" s="98"/>
      <c r="D123" s="99"/>
      <c r="E123" s="96"/>
      <c r="F123" s="99"/>
      <c r="G123" s="96"/>
    </row>
    <row r="124" spans="1:7" ht="20.25" customHeight="1">
      <c r="A124" s="93"/>
      <c r="B124" s="94"/>
      <c r="C124" s="94"/>
      <c r="D124" s="95"/>
      <c r="E124" s="96"/>
      <c r="F124" s="93"/>
      <c r="G124" s="96"/>
    </row>
    <row r="125" spans="1:7" ht="23.25">
      <c r="A125" s="97"/>
      <c r="B125" s="98"/>
      <c r="C125" s="98"/>
      <c r="D125" s="99"/>
      <c r="E125" s="96"/>
      <c r="F125" s="99"/>
      <c r="G125" s="96"/>
    </row>
    <row r="126" spans="1:7" ht="20.25" customHeight="1">
      <c r="A126" s="93"/>
      <c r="B126" s="94"/>
      <c r="C126" s="94"/>
      <c r="D126" s="95"/>
      <c r="E126" s="96"/>
      <c r="F126" s="93"/>
      <c r="G126" s="96"/>
    </row>
    <row r="127" spans="1:7" ht="23.25">
      <c r="A127" s="97"/>
      <c r="B127" s="98"/>
      <c r="C127" s="98"/>
      <c r="D127" s="99"/>
      <c r="E127" s="96"/>
      <c r="F127" s="99"/>
      <c r="G127" s="96"/>
    </row>
    <row r="128" spans="1:7" ht="18.75" customHeight="1">
      <c r="A128" s="93"/>
      <c r="B128" s="94"/>
      <c r="C128" s="94"/>
      <c r="D128" s="95"/>
      <c r="E128" s="96"/>
      <c r="F128" s="93"/>
      <c r="G128" s="96"/>
    </row>
    <row r="129" spans="1:7" ht="23.25">
      <c r="A129" s="97"/>
      <c r="B129" s="98"/>
      <c r="C129" s="98"/>
      <c r="D129" s="99"/>
      <c r="E129" s="96"/>
      <c r="F129" s="99"/>
      <c r="G129" s="96"/>
    </row>
    <row r="130" spans="1:7" ht="18" customHeight="1">
      <c r="A130" s="93"/>
      <c r="B130" s="94"/>
      <c r="C130" s="94"/>
      <c r="D130" s="95"/>
      <c r="E130" s="96"/>
      <c r="F130" s="93"/>
      <c r="G130" s="96"/>
    </row>
    <row r="131" spans="1:7" ht="23.25">
      <c r="A131" s="97"/>
      <c r="B131" s="98"/>
      <c r="C131" s="98"/>
      <c r="D131" s="99"/>
      <c r="E131" s="96"/>
      <c r="F131" s="99"/>
      <c r="G131" s="96"/>
    </row>
    <row r="132" spans="1:7" ht="19.5" customHeight="1">
      <c r="A132" s="93"/>
      <c r="B132" s="94"/>
      <c r="C132" s="94"/>
      <c r="D132" s="95"/>
      <c r="E132" s="96"/>
      <c r="F132" s="93"/>
      <c r="G132" s="96"/>
    </row>
    <row r="133" spans="1:7" ht="23.25">
      <c r="A133" s="97"/>
      <c r="B133" s="98"/>
      <c r="C133" s="98"/>
      <c r="D133" s="99"/>
      <c r="E133" s="96"/>
      <c r="F133" s="99"/>
      <c r="G133" s="96"/>
    </row>
    <row r="134" spans="1:7" ht="23.25" customHeight="1">
      <c r="A134" s="93"/>
      <c r="B134" s="94"/>
      <c r="C134" s="94"/>
      <c r="D134" s="95"/>
      <c r="E134" s="96"/>
      <c r="F134" s="93"/>
      <c r="G134" s="96"/>
    </row>
    <row r="135" spans="1:7" ht="23.25">
      <c r="A135" s="97"/>
      <c r="B135" s="98"/>
      <c r="C135" s="98"/>
      <c r="D135" s="99"/>
      <c r="E135" s="96"/>
      <c r="F135" s="99"/>
      <c r="G135" s="96"/>
    </row>
    <row r="136" spans="1:7" ht="19.5" customHeight="1">
      <c r="A136" s="93"/>
      <c r="B136" s="94"/>
      <c r="C136" s="94"/>
      <c r="D136" s="95"/>
      <c r="E136" s="96"/>
      <c r="F136" s="93"/>
      <c r="G136" s="96"/>
    </row>
    <row r="137" spans="1:7" ht="23.25">
      <c r="A137" s="97"/>
      <c r="B137" s="98"/>
      <c r="C137" s="98"/>
      <c r="D137" s="99"/>
      <c r="E137" s="96"/>
      <c r="F137" s="99"/>
      <c r="G137" s="96"/>
    </row>
    <row r="138" spans="1:7">
      <c r="A138" s="93"/>
      <c r="B138" s="94"/>
      <c r="C138" s="94"/>
      <c r="D138" s="95"/>
      <c r="E138" s="96"/>
      <c r="F138" s="93"/>
      <c r="G138" s="96"/>
    </row>
    <row r="139" spans="1:7">
      <c r="A139" s="93"/>
      <c r="B139" s="94"/>
      <c r="C139" s="94"/>
      <c r="D139" s="95"/>
      <c r="E139" s="96"/>
      <c r="F139" s="93"/>
      <c r="G139" s="96"/>
    </row>
  </sheetData>
  <autoFilter ref="A4:I4" xr:uid="{BEBC62C6-F18C-4C02-86F9-5F3C1F597267}">
    <filterColumn colId="7" showButton="0"/>
  </autoFilter>
  <mergeCells count="4">
    <mergeCell ref="A75:E75"/>
    <mergeCell ref="A2:I2"/>
    <mergeCell ref="A3:I3"/>
    <mergeCell ref="H4:I4"/>
  </mergeCells>
  <pageMargins left="0.16" right="0.16" top="0.27" bottom="0.18" header="0.3" footer="0.3"/>
  <pageSetup paperSize="9" scale="52"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C9340-692F-4AE6-AEC8-96139EB91A8F}">
  <sheetPr codeName="Sheet7">
    <pageSetUpPr fitToPage="1"/>
  </sheetPr>
  <dimension ref="A1:H16"/>
  <sheetViews>
    <sheetView zoomScale="85" zoomScaleNormal="85" workbookViewId="0">
      <selection activeCell="I1" sqref="I1:I1048576"/>
    </sheetView>
  </sheetViews>
  <sheetFormatPr defaultRowHeight="15"/>
  <cols>
    <col min="1" max="1" width="9.140625" customWidth="1"/>
    <col min="2" max="2" width="34.85546875" customWidth="1"/>
    <col min="3" max="3" width="47" bestFit="1" customWidth="1"/>
    <col min="5" max="5" width="16.28515625" customWidth="1"/>
    <col min="6" max="6" width="12.28515625" customWidth="1"/>
    <col min="7" max="7" width="19" bestFit="1" customWidth="1"/>
    <col min="8" max="8" width="12.85546875" customWidth="1"/>
  </cols>
  <sheetData>
    <row r="1" spans="1:8" ht="121.5" customHeight="1">
      <c r="A1" s="31"/>
      <c r="B1" s="32"/>
      <c r="C1" s="32"/>
      <c r="D1" s="32"/>
      <c r="E1" s="33"/>
      <c r="F1" s="34"/>
      <c r="G1" s="35"/>
    </row>
    <row r="2" spans="1:8" ht="33.75">
      <c r="A2" s="269">
        <f ca="1">TODAY()</f>
        <v>46123</v>
      </c>
      <c r="B2" s="269"/>
      <c r="C2" s="269"/>
      <c r="D2" s="269"/>
      <c r="E2" s="269"/>
      <c r="F2" s="269"/>
      <c r="G2" s="269"/>
      <c r="H2" s="269"/>
    </row>
    <row r="3" spans="1:8" ht="30">
      <c r="A3" s="295" t="s">
        <v>8</v>
      </c>
      <c r="B3" s="295"/>
      <c r="C3" s="295"/>
      <c r="D3" s="295"/>
      <c r="E3" s="295"/>
      <c r="F3" s="295"/>
      <c r="G3" s="295"/>
      <c r="H3" s="295"/>
    </row>
    <row r="4" spans="1:8" ht="76.5">
      <c r="A4" s="163" t="s">
        <v>0</v>
      </c>
      <c r="B4" s="164" t="s">
        <v>9</v>
      </c>
      <c r="C4" s="165" t="s">
        <v>10</v>
      </c>
      <c r="D4" s="5" t="s">
        <v>11</v>
      </c>
      <c r="E4" s="6" t="s">
        <v>1763</v>
      </c>
      <c r="F4" s="7" t="s">
        <v>13</v>
      </c>
      <c r="G4" s="7" t="s">
        <v>4372</v>
      </c>
      <c r="H4" s="7" t="s">
        <v>1766</v>
      </c>
    </row>
    <row r="5" spans="1:8" ht="23.25">
      <c r="A5" s="167">
        <v>1</v>
      </c>
      <c r="B5" s="234" t="s">
        <v>3613</v>
      </c>
      <c r="C5" s="234" t="s">
        <v>3614</v>
      </c>
      <c r="D5" s="235" t="s">
        <v>1584</v>
      </c>
      <c r="E5" s="236">
        <f>[8]summary!E4</f>
        <v>293</v>
      </c>
      <c r="F5" s="237">
        <f>[8]summary!F4</f>
        <v>2</v>
      </c>
      <c r="G5" s="238">
        <f>E5*F5</f>
        <v>586</v>
      </c>
      <c r="H5" s="162"/>
    </row>
    <row r="6" spans="1:8" ht="23.25">
      <c r="A6" s="168">
        <v>2</v>
      </c>
      <c r="B6" s="130" t="s">
        <v>3615</v>
      </c>
      <c r="C6" s="130" t="s">
        <v>3616</v>
      </c>
      <c r="D6" s="239" t="s">
        <v>1584</v>
      </c>
      <c r="E6" s="233">
        <f>[8]summary!E5</f>
        <v>142</v>
      </c>
      <c r="F6" s="82">
        <f>[8]summary!F5</f>
        <v>2</v>
      </c>
      <c r="G6" s="83">
        <f t="shared" ref="G6:G14" si="0">E6*F6</f>
        <v>284</v>
      </c>
      <c r="H6" s="154"/>
    </row>
    <row r="7" spans="1:8" ht="23.25">
      <c r="A7" s="167">
        <v>3</v>
      </c>
      <c r="B7" s="234" t="s">
        <v>3621</v>
      </c>
      <c r="C7" s="234" t="s">
        <v>3622</v>
      </c>
      <c r="D7" s="235" t="s">
        <v>1584</v>
      </c>
      <c r="E7" s="236">
        <f>[8]summary!E6</f>
        <v>5.34</v>
      </c>
      <c r="F7" s="237">
        <f>[8]summary!F6</f>
        <v>2</v>
      </c>
      <c r="G7" s="238">
        <f t="shared" si="0"/>
        <v>10.68</v>
      </c>
      <c r="H7" s="162"/>
    </row>
    <row r="8" spans="1:8" ht="23.25">
      <c r="A8" s="168">
        <v>4</v>
      </c>
      <c r="B8" s="130" t="s">
        <v>3623</v>
      </c>
      <c r="C8" s="130" t="s">
        <v>3624</v>
      </c>
      <c r="D8" s="239" t="s">
        <v>1584</v>
      </c>
      <c r="E8" s="233">
        <f>[8]summary!E7</f>
        <v>5</v>
      </c>
      <c r="F8" s="82">
        <f>[8]summary!F7</f>
        <v>0</v>
      </c>
      <c r="G8" s="83">
        <f t="shared" si="0"/>
        <v>0</v>
      </c>
      <c r="H8" s="154"/>
    </row>
    <row r="9" spans="1:8" ht="23.25">
      <c r="A9" s="167">
        <v>5</v>
      </c>
      <c r="B9" s="234" t="s">
        <v>3627</v>
      </c>
      <c r="C9" s="234" t="s">
        <v>3628</v>
      </c>
      <c r="D9" s="235" t="s">
        <v>1584</v>
      </c>
      <c r="E9" s="236">
        <f>[8]summary!E8</f>
        <v>19</v>
      </c>
      <c r="F9" s="237">
        <f>[8]summary!F8</f>
        <v>21</v>
      </c>
      <c r="G9" s="238">
        <f t="shared" si="0"/>
        <v>399</v>
      </c>
      <c r="H9" s="162"/>
    </row>
    <row r="10" spans="1:8" ht="23.25">
      <c r="A10" s="168">
        <v>6</v>
      </c>
      <c r="B10" s="130" t="s">
        <v>5664</v>
      </c>
      <c r="C10" s="130" t="s">
        <v>5665</v>
      </c>
      <c r="D10" s="239" t="s">
        <v>1584</v>
      </c>
      <c r="E10" s="233">
        <f>[8]summary!E9</f>
        <v>75</v>
      </c>
      <c r="F10" s="82">
        <f>[8]summary!F9</f>
        <v>2</v>
      </c>
      <c r="G10" s="83">
        <f t="shared" si="0"/>
        <v>150</v>
      </c>
      <c r="H10" s="154"/>
    </row>
    <row r="11" spans="1:8" ht="46.5">
      <c r="A11" s="167">
        <v>7</v>
      </c>
      <c r="B11" s="234" t="s">
        <v>5666</v>
      </c>
      <c r="C11" s="234" t="s">
        <v>5667</v>
      </c>
      <c r="D11" s="235" t="s">
        <v>1584</v>
      </c>
      <c r="E11" s="236">
        <f>[8]summary!E10</f>
        <v>250</v>
      </c>
      <c r="F11" s="237">
        <f>[8]summary!F10</f>
        <v>1</v>
      </c>
      <c r="G11" s="238">
        <f t="shared" si="0"/>
        <v>250</v>
      </c>
      <c r="H11" s="162"/>
    </row>
    <row r="12" spans="1:8" ht="46.5">
      <c r="A12" s="168">
        <v>8</v>
      </c>
      <c r="B12" s="130" t="s">
        <v>5668</v>
      </c>
      <c r="C12" s="130" t="s">
        <v>5669</v>
      </c>
      <c r="D12" s="239" t="s">
        <v>1584</v>
      </c>
      <c r="E12" s="233">
        <f>[8]summary!E11</f>
        <v>55</v>
      </c>
      <c r="F12" s="82">
        <f>[8]summary!F11</f>
        <v>1</v>
      </c>
      <c r="G12" s="83">
        <f t="shared" si="0"/>
        <v>55</v>
      </c>
      <c r="H12" s="154"/>
    </row>
    <row r="13" spans="1:8" ht="46.5">
      <c r="A13" s="167">
        <v>9</v>
      </c>
      <c r="B13" s="234" t="s">
        <v>5690</v>
      </c>
      <c r="C13" s="234" t="s">
        <v>5691</v>
      </c>
      <c r="D13" s="235" t="s">
        <v>1584</v>
      </c>
      <c r="E13" s="236">
        <f>[8]summary!E12</f>
        <v>650</v>
      </c>
      <c r="F13" s="237">
        <f>[8]summary!F12</f>
        <v>6</v>
      </c>
      <c r="G13" s="238">
        <f t="shared" si="0"/>
        <v>3900</v>
      </c>
      <c r="H13" s="162"/>
    </row>
    <row r="14" spans="1:8" ht="46.5">
      <c r="A14" s="168">
        <v>10</v>
      </c>
      <c r="B14" s="130" t="s">
        <v>5692</v>
      </c>
      <c r="C14" s="130" t="s">
        <v>5693</v>
      </c>
      <c r="D14" s="239" t="s">
        <v>1584</v>
      </c>
      <c r="E14" s="233">
        <f>[8]summary!E13</f>
        <v>650</v>
      </c>
      <c r="F14" s="82">
        <f>[8]summary!F13</f>
        <v>6</v>
      </c>
      <c r="G14" s="83">
        <f t="shared" si="0"/>
        <v>3900</v>
      </c>
      <c r="H14" s="154"/>
    </row>
    <row r="15" spans="1:8" ht="18.75" customHeight="1">
      <c r="A15" s="108"/>
      <c r="B15" s="109"/>
      <c r="C15" s="109"/>
      <c r="D15" s="110"/>
      <c r="E15" s="111"/>
      <c r="F15" s="105"/>
      <c r="G15" s="106"/>
      <c r="H15" s="154"/>
    </row>
    <row r="16" spans="1:8" ht="23.25">
      <c r="A16" s="270" t="s">
        <v>7</v>
      </c>
      <c r="B16" s="271"/>
      <c r="C16" s="271"/>
      <c r="D16" s="271"/>
      <c r="E16" s="294"/>
      <c r="F16" s="173">
        <f>SUM(F5:F14)</f>
        <v>43</v>
      </c>
      <c r="G16" s="106">
        <f>SUM(G5:G14)</f>
        <v>9534.68</v>
      </c>
    </row>
  </sheetData>
  <mergeCells count="3">
    <mergeCell ref="A16:E16"/>
    <mergeCell ref="A3:H3"/>
    <mergeCell ref="A2:H2"/>
  </mergeCells>
  <pageMargins left="0.27" right="0.22" top="0.75" bottom="0.75" header="0.3" footer="0.3"/>
  <pageSetup paperSize="9" scale="61"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03AA1-4B1C-4936-84D8-F0D9ABEFAF33}">
  <sheetPr>
    <pageSetUpPr fitToPage="1"/>
  </sheetPr>
  <dimension ref="A1:H51"/>
  <sheetViews>
    <sheetView zoomScale="55" zoomScaleNormal="55" workbookViewId="0">
      <selection activeCell="I1" sqref="I1:I1048576"/>
    </sheetView>
  </sheetViews>
  <sheetFormatPr defaultRowHeight="15"/>
  <cols>
    <col min="2" max="2" width="30.140625" customWidth="1"/>
    <col min="3" max="3" width="46.28515625" customWidth="1"/>
    <col min="4" max="4" width="12.28515625" customWidth="1"/>
    <col min="5" max="5" width="23.7109375" customWidth="1"/>
    <col min="6" max="6" width="31.85546875" customWidth="1"/>
    <col min="7" max="7" width="17.28515625" customWidth="1"/>
    <col min="8" max="8" width="19.140625" customWidth="1"/>
  </cols>
  <sheetData>
    <row r="1" spans="1:8" ht="120.75" customHeight="1"/>
    <row r="2" spans="1:8" ht="33.75">
      <c r="A2" s="269">
        <f ca="1">TODAY()</f>
        <v>46123</v>
      </c>
      <c r="B2" s="269"/>
      <c r="C2" s="269"/>
      <c r="D2" s="269"/>
      <c r="E2" s="269"/>
      <c r="F2" s="269"/>
      <c r="G2" s="269"/>
      <c r="H2" s="269"/>
    </row>
    <row r="3" spans="1:8" ht="28.5">
      <c r="A3" s="296" t="s">
        <v>5420</v>
      </c>
      <c r="B3" s="297"/>
      <c r="C3" s="297"/>
      <c r="D3" s="297"/>
      <c r="E3" s="297"/>
      <c r="F3" s="297"/>
      <c r="G3" s="297"/>
      <c r="H3" s="298"/>
    </row>
    <row r="4" spans="1:8" ht="52.5">
      <c r="A4" s="118" t="s">
        <v>0</v>
      </c>
      <c r="B4" s="216" t="s">
        <v>9</v>
      </c>
      <c r="C4" s="216" t="s">
        <v>5421</v>
      </c>
      <c r="D4" s="120" t="s">
        <v>129</v>
      </c>
      <c r="E4" s="121" t="s">
        <v>5422</v>
      </c>
      <c r="F4" s="122" t="s">
        <v>130</v>
      </c>
      <c r="G4" s="121" t="s">
        <v>3990</v>
      </c>
      <c r="H4" s="121" t="s">
        <v>1766</v>
      </c>
    </row>
    <row r="5" spans="1:8" ht="46.5">
      <c r="A5" s="124">
        <v>1</v>
      </c>
      <c r="B5" s="125" t="s">
        <v>5423</v>
      </c>
      <c r="C5" s="126" t="s">
        <v>5424</v>
      </c>
      <c r="D5" s="127" t="s">
        <v>1584</v>
      </c>
      <c r="E5" s="128">
        <f>[9]Summary!E5</f>
        <v>55</v>
      </c>
      <c r="F5" s="124">
        <f>[9]Summary!F5</f>
        <v>3</v>
      </c>
      <c r="G5" s="129">
        <f t="shared" ref="G5:G49" si="0">E5*F5</f>
        <v>165</v>
      </c>
      <c r="H5" s="126"/>
    </row>
    <row r="6" spans="1:8" ht="23.25">
      <c r="A6" s="69">
        <v>2</v>
      </c>
      <c r="B6" s="1" t="s">
        <v>5425</v>
      </c>
      <c r="C6" s="1" t="s">
        <v>5426</v>
      </c>
      <c r="D6" s="130" t="s">
        <v>1584</v>
      </c>
      <c r="E6" s="47">
        <f>[9]Summary!E6</f>
        <v>80</v>
      </c>
      <c r="F6" s="69">
        <f>[9]Summary!F6</f>
        <v>2</v>
      </c>
      <c r="G6" s="48">
        <f t="shared" si="0"/>
        <v>160</v>
      </c>
      <c r="H6" s="92"/>
    </row>
    <row r="7" spans="1:8" ht="46.5">
      <c r="A7" s="124">
        <v>3</v>
      </c>
      <c r="B7" s="125" t="s">
        <v>5427</v>
      </c>
      <c r="C7" s="126" t="s">
        <v>5509</v>
      </c>
      <c r="D7" s="127" t="s">
        <v>1584</v>
      </c>
      <c r="E7" s="128">
        <f>[9]Summary!E7</f>
        <v>39</v>
      </c>
      <c r="F7" s="124">
        <f>[9]Summary!F7</f>
        <v>2</v>
      </c>
      <c r="G7" s="129">
        <f t="shared" si="0"/>
        <v>78</v>
      </c>
      <c r="H7" s="126"/>
    </row>
    <row r="8" spans="1:8" ht="46.5">
      <c r="A8" s="69">
        <v>4</v>
      </c>
      <c r="B8" s="1" t="s">
        <v>5428</v>
      </c>
      <c r="C8" s="1" t="s">
        <v>5429</v>
      </c>
      <c r="D8" s="130" t="s">
        <v>1584</v>
      </c>
      <c r="E8" s="47">
        <f>[9]Summary!E8</f>
        <v>200</v>
      </c>
      <c r="F8" s="69">
        <f>[9]Summary!F8</f>
        <v>1</v>
      </c>
      <c r="G8" s="48">
        <f t="shared" si="0"/>
        <v>200</v>
      </c>
      <c r="H8" s="92"/>
    </row>
    <row r="9" spans="1:8" ht="23.25">
      <c r="A9" s="124">
        <v>5</v>
      </c>
      <c r="B9" s="125" t="s">
        <v>5430</v>
      </c>
      <c r="C9" s="126" t="s">
        <v>5431</v>
      </c>
      <c r="D9" s="127" t="s">
        <v>1584</v>
      </c>
      <c r="E9" s="128">
        <f>[9]Summary!E9</f>
        <v>130</v>
      </c>
      <c r="F9" s="124">
        <f>[9]Summary!F9</f>
        <v>0</v>
      </c>
      <c r="G9" s="129">
        <f t="shared" si="0"/>
        <v>0</v>
      </c>
      <c r="H9" s="126"/>
    </row>
    <row r="10" spans="1:8" ht="46.5">
      <c r="A10" s="69">
        <v>6</v>
      </c>
      <c r="B10" s="1" t="s">
        <v>5510</v>
      </c>
      <c r="C10" s="1" t="s">
        <v>5511</v>
      </c>
      <c r="D10" s="130" t="s">
        <v>1584</v>
      </c>
      <c r="E10" s="47">
        <f>[9]Summary!E10</f>
        <v>100</v>
      </c>
      <c r="F10" s="69">
        <f>[9]Summary!F10</f>
        <v>1</v>
      </c>
      <c r="G10" s="48">
        <f t="shared" si="0"/>
        <v>100</v>
      </c>
      <c r="H10" s="92"/>
    </row>
    <row r="11" spans="1:8" ht="46.5">
      <c r="A11" s="124">
        <v>7</v>
      </c>
      <c r="B11" s="125" t="s">
        <v>5432</v>
      </c>
      <c r="C11" s="126" t="s">
        <v>5433</v>
      </c>
      <c r="D11" s="127" t="s">
        <v>1584</v>
      </c>
      <c r="E11" s="128">
        <f>[9]Summary!E11</f>
        <v>700</v>
      </c>
      <c r="F11" s="124">
        <f>[9]Summary!F11</f>
        <v>0</v>
      </c>
      <c r="G11" s="129">
        <f t="shared" si="0"/>
        <v>0</v>
      </c>
      <c r="H11" s="126"/>
    </row>
    <row r="12" spans="1:8" ht="23.25">
      <c r="A12" s="69">
        <v>8</v>
      </c>
      <c r="B12" s="1" t="s">
        <v>5434</v>
      </c>
      <c r="C12" s="1" t="s">
        <v>5435</v>
      </c>
      <c r="D12" s="130" t="s">
        <v>1584</v>
      </c>
      <c r="E12" s="47">
        <f>[9]Summary!E12</f>
        <v>145</v>
      </c>
      <c r="F12" s="69">
        <f>[9]Summary!F12</f>
        <v>0</v>
      </c>
      <c r="G12" s="48">
        <f t="shared" si="0"/>
        <v>0</v>
      </c>
      <c r="H12" s="92"/>
    </row>
    <row r="13" spans="1:8" ht="46.5">
      <c r="A13" s="124">
        <v>9</v>
      </c>
      <c r="B13" s="125" t="s">
        <v>5436</v>
      </c>
      <c r="C13" s="126" t="s">
        <v>5437</v>
      </c>
      <c r="D13" s="127" t="s">
        <v>1584</v>
      </c>
      <c r="E13" s="128">
        <f>[9]Summary!E13</f>
        <v>430</v>
      </c>
      <c r="F13" s="124">
        <f>[9]Summary!F13</f>
        <v>0</v>
      </c>
      <c r="G13" s="129">
        <f t="shared" si="0"/>
        <v>0</v>
      </c>
      <c r="H13" s="126"/>
    </row>
    <row r="14" spans="1:8" ht="46.5">
      <c r="A14" s="69">
        <v>10</v>
      </c>
      <c r="B14" s="1" t="s">
        <v>5438</v>
      </c>
      <c r="C14" s="1" t="s">
        <v>5439</v>
      </c>
      <c r="D14" s="130" t="s">
        <v>1584</v>
      </c>
      <c r="E14" s="47">
        <f>[9]Summary!E14</f>
        <v>97</v>
      </c>
      <c r="F14" s="69">
        <f>[9]Summary!F14</f>
        <v>0</v>
      </c>
      <c r="G14" s="48">
        <f t="shared" si="0"/>
        <v>0</v>
      </c>
      <c r="H14" s="92"/>
    </row>
    <row r="15" spans="1:8" ht="46.5">
      <c r="A15" s="124">
        <v>11</v>
      </c>
      <c r="B15" s="125" t="s">
        <v>5440</v>
      </c>
      <c r="C15" s="126" t="s">
        <v>5441</v>
      </c>
      <c r="D15" s="127" t="s">
        <v>1584</v>
      </c>
      <c r="E15" s="128">
        <f>[9]Summary!E15</f>
        <v>347</v>
      </c>
      <c r="F15" s="124">
        <f>[9]Summary!F15</f>
        <v>2</v>
      </c>
      <c r="G15" s="129">
        <f t="shared" si="0"/>
        <v>694</v>
      </c>
      <c r="H15" s="126"/>
    </row>
    <row r="16" spans="1:8" ht="46.5">
      <c r="A16" s="69">
        <v>12</v>
      </c>
      <c r="B16" s="1" t="s">
        <v>5442</v>
      </c>
      <c r="C16" s="1" t="s">
        <v>5443</v>
      </c>
      <c r="D16" s="130" t="s">
        <v>1584</v>
      </c>
      <c r="E16" s="47">
        <f>[9]Summary!E16</f>
        <v>55</v>
      </c>
      <c r="F16" s="69">
        <f>[9]Summary!F16</f>
        <v>4</v>
      </c>
      <c r="G16" s="48">
        <f t="shared" si="0"/>
        <v>220</v>
      </c>
      <c r="H16" s="92"/>
    </row>
    <row r="17" spans="1:8" ht="46.5">
      <c r="A17" s="124">
        <v>13</v>
      </c>
      <c r="B17" s="125" t="s">
        <v>5444</v>
      </c>
      <c r="C17" s="126" t="s">
        <v>5445</v>
      </c>
      <c r="D17" s="127" t="s">
        <v>1584</v>
      </c>
      <c r="E17" s="128">
        <f>[9]Summary!E17</f>
        <v>49</v>
      </c>
      <c r="F17" s="124">
        <f>[9]Summary!F17</f>
        <v>6</v>
      </c>
      <c r="G17" s="129">
        <f t="shared" si="0"/>
        <v>294</v>
      </c>
      <c r="H17" s="126"/>
    </row>
    <row r="18" spans="1:8" ht="46.5">
      <c r="A18" s="69">
        <v>14</v>
      </c>
      <c r="B18" s="1" t="s">
        <v>5446</v>
      </c>
      <c r="C18" s="1" t="s">
        <v>5447</v>
      </c>
      <c r="D18" s="130" t="s">
        <v>1584</v>
      </c>
      <c r="E18" s="47">
        <f>[9]Summary!E18</f>
        <v>50</v>
      </c>
      <c r="F18" s="69">
        <f>[9]Summary!F18</f>
        <v>0</v>
      </c>
      <c r="G18" s="48">
        <f t="shared" si="0"/>
        <v>0</v>
      </c>
      <c r="H18" s="92"/>
    </row>
    <row r="19" spans="1:8" ht="23.25">
      <c r="A19" s="124">
        <v>15</v>
      </c>
      <c r="B19" s="125" t="s">
        <v>5448</v>
      </c>
      <c r="C19" s="126" t="s">
        <v>5449</v>
      </c>
      <c r="D19" s="127" t="s">
        <v>1584</v>
      </c>
      <c r="E19" s="128">
        <f>[9]Summary!E19</f>
        <v>850</v>
      </c>
      <c r="F19" s="124">
        <f>[9]Summary!F19</f>
        <v>2</v>
      </c>
      <c r="G19" s="129">
        <f t="shared" si="0"/>
        <v>1700</v>
      </c>
      <c r="H19" s="126"/>
    </row>
    <row r="20" spans="1:8" ht="23.25">
      <c r="A20" s="69">
        <v>16</v>
      </c>
      <c r="B20" s="1" t="s">
        <v>5450</v>
      </c>
      <c r="C20" s="1" t="s">
        <v>5451</v>
      </c>
      <c r="D20" s="130" t="s">
        <v>1584</v>
      </c>
      <c r="E20" s="47">
        <f>[9]Summary!E20</f>
        <v>550</v>
      </c>
      <c r="F20" s="69">
        <f>[9]Summary!F20</f>
        <v>2</v>
      </c>
      <c r="G20" s="48">
        <f t="shared" si="0"/>
        <v>1100</v>
      </c>
      <c r="H20" s="92"/>
    </row>
    <row r="21" spans="1:8" ht="23.25">
      <c r="A21" s="124">
        <v>17</v>
      </c>
      <c r="B21" s="125" t="s">
        <v>5452</v>
      </c>
      <c r="C21" s="126" t="s">
        <v>5512</v>
      </c>
      <c r="D21" s="127" t="s">
        <v>1584</v>
      </c>
      <c r="E21" s="128">
        <f>[9]Summary!E21</f>
        <v>280</v>
      </c>
      <c r="F21" s="124">
        <f>[9]Summary!F21</f>
        <v>0</v>
      </c>
      <c r="G21" s="129">
        <f t="shared" si="0"/>
        <v>0</v>
      </c>
      <c r="H21" s="126"/>
    </row>
    <row r="22" spans="1:8" ht="23.25">
      <c r="A22" s="69">
        <v>18</v>
      </c>
      <c r="B22" s="1" t="s">
        <v>5453</v>
      </c>
      <c r="C22" s="1" t="s">
        <v>5454</v>
      </c>
      <c r="D22" s="130" t="s">
        <v>1584</v>
      </c>
      <c r="E22" s="47">
        <f>[9]Summary!E22</f>
        <v>80</v>
      </c>
      <c r="F22" s="69">
        <f>[9]Summary!F22</f>
        <v>0</v>
      </c>
      <c r="G22" s="48">
        <f t="shared" si="0"/>
        <v>0</v>
      </c>
      <c r="H22" s="92"/>
    </row>
    <row r="23" spans="1:8" ht="23.25">
      <c r="A23" s="124">
        <v>19</v>
      </c>
      <c r="B23" s="125" t="s">
        <v>5455</v>
      </c>
      <c r="C23" s="126" t="s">
        <v>5456</v>
      </c>
      <c r="D23" s="127" t="s">
        <v>1584</v>
      </c>
      <c r="E23" s="128">
        <f>[9]Summary!E23</f>
        <v>480</v>
      </c>
      <c r="F23" s="124">
        <f>[9]Summary!F23</f>
        <v>1</v>
      </c>
      <c r="G23" s="129">
        <f t="shared" si="0"/>
        <v>480</v>
      </c>
      <c r="H23" s="126"/>
    </row>
    <row r="24" spans="1:8" ht="46.5">
      <c r="A24" s="69">
        <v>20</v>
      </c>
      <c r="B24" s="1" t="s">
        <v>5457</v>
      </c>
      <c r="C24" s="1" t="s">
        <v>5458</v>
      </c>
      <c r="D24" s="130" t="s">
        <v>1584</v>
      </c>
      <c r="E24" s="47">
        <f>[9]Summary!E24</f>
        <v>100</v>
      </c>
      <c r="F24" s="69">
        <f>[9]Summary!F24</f>
        <v>1</v>
      </c>
      <c r="G24" s="48">
        <f t="shared" si="0"/>
        <v>100</v>
      </c>
      <c r="H24" s="92"/>
    </row>
    <row r="25" spans="1:8" ht="23.25">
      <c r="A25" s="124">
        <v>21</v>
      </c>
      <c r="B25" s="125" t="s">
        <v>5459</v>
      </c>
      <c r="C25" s="126" t="s">
        <v>5460</v>
      </c>
      <c r="D25" s="127" t="s">
        <v>1584</v>
      </c>
      <c r="E25" s="128">
        <f>[9]Summary!E25</f>
        <v>180</v>
      </c>
      <c r="F25" s="124">
        <f>[9]Summary!F25</f>
        <v>1</v>
      </c>
      <c r="G25" s="129">
        <f t="shared" si="0"/>
        <v>180</v>
      </c>
      <c r="H25" s="126"/>
    </row>
    <row r="26" spans="1:8" ht="46.5">
      <c r="A26" s="69">
        <v>22</v>
      </c>
      <c r="B26" s="1" t="s">
        <v>5461</v>
      </c>
      <c r="C26" s="1" t="s">
        <v>5462</v>
      </c>
      <c r="D26" s="130" t="s">
        <v>1584</v>
      </c>
      <c r="E26" s="47">
        <f>[9]Summary!E26</f>
        <v>50</v>
      </c>
      <c r="F26" s="69">
        <f>[9]Summary!F26</f>
        <v>1</v>
      </c>
      <c r="G26" s="48">
        <f t="shared" si="0"/>
        <v>50</v>
      </c>
      <c r="H26" s="92"/>
    </row>
    <row r="27" spans="1:8" ht="46.5">
      <c r="A27" s="124">
        <v>23</v>
      </c>
      <c r="B27" s="125" t="s">
        <v>5463</v>
      </c>
      <c r="C27" s="126" t="s">
        <v>5464</v>
      </c>
      <c r="D27" s="127" t="s">
        <v>1584</v>
      </c>
      <c r="E27" s="128">
        <f>[9]Summary!E27</f>
        <v>70</v>
      </c>
      <c r="F27" s="124">
        <f>[9]Summary!F27</f>
        <v>3</v>
      </c>
      <c r="G27" s="129">
        <f t="shared" si="0"/>
        <v>210</v>
      </c>
      <c r="H27" s="126"/>
    </row>
    <row r="28" spans="1:8" ht="23.25">
      <c r="A28" s="69">
        <v>24</v>
      </c>
      <c r="B28" s="1" t="s">
        <v>5465</v>
      </c>
      <c r="C28" s="1" t="s">
        <v>5466</v>
      </c>
      <c r="D28" s="130" t="s">
        <v>1584</v>
      </c>
      <c r="E28" s="47">
        <f>[9]Summary!E28</f>
        <v>48</v>
      </c>
      <c r="F28" s="69">
        <f>[9]Summary!F28</f>
        <v>2</v>
      </c>
      <c r="G28" s="48">
        <f t="shared" si="0"/>
        <v>96</v>
      </c>
      <c r="H28" s="92"/>
    </row>
    <row r="29" spans="1:8" ht="46.5">
      <c r="A29" s="124">
        <v>25</v>
      </c>
      <c r="B29" s="125" t="s">
        <v>5467</v>
      </c>
      <c r="C29" s="126" t="s">
        <v>5468</v>
      </c>
      <c r="D29" s="127" t="s">
        <v>1584</v>
      </c>
      <c r="E29" s="128">
        <f>[9]Summary!E29</f>
        <v>100</v>
      </c>
      <c r="F29" s="124">
        <f>[9]Summary!F29</f>
        <v>3</v>
      </c>
      <c r="G29" s="129">
        <f t="shared" si="0"/>
        <v>300</v>
      </c>
      <c r="H29" s="126"/>
    </row>
    <row r="30" spans="1:8" ht="46.5">
      <c r="A30" s="69">
        <v>26</v>
      </c>
      <c r="B30" s="1" t="s">
        <v>5469</v>
      </c>
      <c r="C30" s="1" t="s">
        <v>5470</v>
      </c>
      <c r="D30" s="130" t="s">
        <v>1584</v>
      </c>
      <c r="E30" s="47">
        <f>[9]Summary!E30</f>
        <v>130</v>
      </c>
      <c r="F30" s="69">
        <f>[9]Summary!F30</f>
        <v>4</v>
      </c>
      <c r="G30" s="48">
        <f t="shared" si="0"/>
        <v>520</v>
      </c>
      <c r="H30" s="92"/>
    </row>
    <row r="31" spans="1:8" ht="46.5">
      <c r="A31" s="124">
        <v>27</v>
      </c>
      <c r="B31" s="125" t="s">
        <v>5471</v>
      </c>
      <c r="C31" s="126" t="s">
        <v>5472</v>
      </c>
      <c r="D31" s="127" t="s">
        <v>1584</v>
      </c>
      <c r="E31" s="128">
        <f>[9]Summary!E31</f>
        <v>275</v>
      </c>
      <c r="F31" s="124">
        <f>[9]Summary!F31</f>
        <v>1</v>
      </c>
      <c r="G31" s="129">
        <f t="shared" si="0"/>
        <v>275</v>
      </c>
      <c r="H31" s="126"/>
    </row>
    <row r="32" spans="1:8" ht="46.5">
      <c r="A32" s="69">
        <v>28</v>
      </c>
      <c r="B32" s="1" t="s">
        <v>5473</v>
      </c>
      <c r="C32" s="1" t="s">
        <v>5474</v>
      </c>
      <c r="D32" s="130" t="s">
        <v>1584</v>
      </c>
      <c r="E32" s="47">
        <f>[9]Summary!E32</f>
        <v>60</v>
      </c>
      <c r="F32" s="69">
        <f>[9]Summary!F32</f>
        <v>1</v>
      </c>
      <c r="G32" s="48">
        <f t="shared" si="0"/>
        <v>60</v>
      </c>
      <c r="H32" s="92"/>
    </row>
    <row r="33" spans="1:8" ht="23.25">
      <c r="A33" s="124">
        <v>29</v>
      </c>
      <c r="B33" s="125" t="s">
        <v>5475</v>
      </c>
      <c r="C33" s="126" t="s">
        <v>5476</v>
      </c>
      <c r="D33" s="127" t="s">
        <v>1584</v>
      </c>
      <c r="E33" s="128">
        <f>[9]Summary!E33</f>
        <v>235</v>
      </c>
      <c r="F33" s="124">
        <f>[9]Summary!F33</f>
        <v>0</v>
      </c>
      <c r="G33" s="129">
        <f t="shared" si="0"/>
        <v>0</v>
      </c>
      <c r="H33" s="126"/>
    </row>
    <row r="34" spans="1:8" ht="46.5">
      <c r="A34" s="69">
        <v>30</v>
      </c>
      <c r="B34" s="1" t="s">
        <v>5477</v>
      </c>
      <c r="C34" s="1" t="s">
        <v>5478</v>
      </c>
      <c r="D34" s="130" t="s">
        <v>1584</v>
      </c>
      <c r="E34" s="47">
        <f>[9]Summary!E34</f>
        <v>35</v>
      </c>
      <c r="F34" s="69">
        <f>[9]Summary!F34</f>
        <v>0</v>
      </c>
      <c r="G34" s="48">
        <f t="shared" si="0"/>
        <v>0</v>
      </c>
      <c r="H34" s="92"/>
    </row>
    <row r="35" spans="1:8" ht="23.25">
      <c r="A35" s="124">
        <v>31</v>
      </c>
      <c r="B35" s="125" t="s">
        <v>5479</v>
      </c>
      <c r="C35" s="126" t="s">
        <v>5513</v>
      </c>
      <c r="D35" s="127" t="s">
        <v>1584</v>
      </c>
      <c r="E35" s="128">
        <f>[9]Summary!E35</f>
        <v>73</v>
      </c>
      <c r="F35" s="124">
        <f>[9]Summary!F35</f>
        <v>10</v>
      </c>
      <c r="G35" s="129">
        <f t="shared" si="0"/>
        <v>730</v>
      </c>
      <c r="H35" s="126"/>
    </row>
    <row r="36" spans="1:8" ht="23.25">
      <c r="A36" s="69">
        <v>32</v>
      </c>
      <c r="B36" s="1" t="s">
        <v>5480</v>
      </c>
      <c r="C36" s="1" t="s">
        <v>5514</v>
      </c>
      <c r="D36" s="130" t="s">
        <v>1584</v>
      </c>
      <c r="E36" s="47">
        <f>[9]Summary!E36</f>
        <v>54</v>
      </c>
      <c r="F36" s="69">
        <f>[9]Summary!F36</f>
        <v>1</v>
      </c>
      <c r="G36" s="48">
        <f t="shared" si="0"/>
        <v>54</v>
      </c>
      <c r="H36" s="92"/>
    </row>
    <row r="37" spans="1:8" ht="23.25">
      <c r="A37" s="124">
        <v>33</v>
      </c>
      <c r="B37" s="125" t="s">
        <v>5481</v>
      </c>
      <c r="C37" s="126" t="s">
        <v>5515</v>
      </c>
      <c r="D37" s="127" t="s">
        <v>1584</v>
      </c>
      <c r="E37" s="128">
        <f>[9]Summary!E37</f>
        <v>120</v>
      </c>
      <c r="F37" s="124">
        <f>[9]Summary!F37</f>
        <v>1</v>
      </c>
      <c r="G37" s="129">
        <f t="shared" si="0"/>
        <v>120</v>
      </c>
      <c r="H37" s="126"/>
    </row>
    <row r="38" spans="1:8" ht="23.25">
      <c r="A38" s="69">
        <v>34</v>
      </c>
      <c r="B38" s="1" t="s">
        <v>5482</v>
      </c>
      <c r="C38" s="1" t="s">
        <v>5483</v>
      </c>
      <c r="D38" s="130" t="s">
        <v>1584</v>
      </c>
      <c r="E38" s="47">
        <f>[9]Summary!E38</f>
        <v>35</v>
      </c>
      <c r="F38" s="69">
        <f>[9]Summary!F38</f>
        <v>1</v>
      </c>
      <c r="G38" s="48">
        <f t="shared" si="0"/>
        <v>35</v>
      </c>
      <c r="H38" s="92"/>
    </row>
    <row r="39" spans="1:8" ht="23.25">
      <c r="A39" s="124">
        <v>35</v>
      </c>
      <c r="B39" s="125" t="s">
        <v>5484</v>
      </c>
      <c r="C39" s="126" t="s">
        <v>5485</v>
      </c>
      <c r="D39" s="127" t="s">
        <v>1584</v>
      </c>
      <c r="E39" s="128">
        <f>[9]Summary!E39</f>
        <v>75.91</v>
      </c>
      <c r="F39" s="124">
        <f>[9]Summary!F39</f>
        <v>0</v>
      </c>
      <c r="G39" s="129">
        <f t="shared" si="0"/>
        <v>0</v>
      </c>
      <c r="H39" s="126"/>
    </row>
    <row r="40" spans="1:8" ht="23.25">
      <c r="A40" s="69">
        <v>36</v>
      </c>
      <c r="B40" s="1" t="s">
        <v>5486</v>
      </c>
      <c r="C40" s="1" t="s">
        <v>5487</v>
      </c>
      <c r="D40" s="130" t="s">
        <v>1584</v>
      </c>
      <c r="E40" s="47">
        <f>[9]Summary!E40</f>
        <v>650</v>
      </c>
      <c r="F40" s="69">
        <f>[9]Summary!F40</f>
        <v>1</v>
      </c>
      <c r="G40" s="48">
        <f t="shared" si="0"/>
        <v>650</v>
      </c>
      <c r="H40" s="92"/>
    </row>
    <row r="41" spans="1:8" ht="23.25">
      <c r="A41" s="124">
        <v>37</v>
      </c>
      <c r="B41" s="125" t="s">
        <v>5488</v>
      </c>
      <c r="C41" s="126" t="s">
        <v>5489</v>
      </c>
      <c r="D41" s="127" t="s">
        <v>1584</v>
      </c>
      <c r="E41" s="128">
        <f>[9]Summary!E41</f>
        <v>75</v>
      </c>
      <c r="F41" s="124">
        <f>[9]Summary!F41</f>
        <v>0</v>
      </c>
      <c r="G41" s="129">
        <f t="shared" si="0"/>
        <v>0</v>
      </c>
      <c r="H41" s="126"/>
    </row>
    <row r="42" spans="1:8" ht="23.25">
      <c r="A42" s="69">
        <v>38</v>
      </c>
      <c r="B42" s="1" t="s">
        <v>5490</v>
      </c>
      <c r="C42" s="1" t="s">
        <v>5491</v>
      </c>
      <c r="D42" s="130" t="s">
        <v>1584</v>
      </c>
      <c r="E42" s="47">
        <f>[9]Summary!E42</f>
        <v>20</v>
      </c>
      <c r="F42" s="69">
        <f>[9]Summary!F42</f>
        <v>0</v>
      </c>
      <c r="G42" s="48">
        <f t="shared" si="0"/>
        <v>0</v>
      </c>
      <c r="H42" s="92"/>
    </row>
    <row r="43" spans="1:8" ht="46.5">
      <c r="A43" s="124">
        <v>39</v>
      </c>
      <c r="B43" s="125" t="s">
        <v>5492</v>
      </c>
      <c r="C43" s="126" t="s">
        <v>5493</v>
      </c>
      <c r="D43" s="127" t="s">
        <v>1584</v>
      </c>
      <c r="E43" s="128">
        <f>[9]Summary!E43</f>
        <v>295</v>
      </c>
      <c r="F43" s="124">
        <f>[9]Summary!F43</f>
        <v>0</v>
      </c>
      <c r="G43" s="129">
        <f t="shared" si="0"/>
        <v>0</v>
      </c>
      <c r="H43" s="126"/>
    </row>
    <row r="44" spans="1:8" ht="46.5">
      <c r="A44" s="69">
        <v>40</v>
      </c>
      <c r="B44" s="1" t="s">
        <v>5494</v>
      </c>
      <c r="C44" s="1" t="s">
        <v>5495</v>
      </c>
      <c r="D44" s="130" t="s">
        <v>1584</v>
      </c>
      <c r="E44" s="47">
        <f>[9]Summary!E44</f>
        <v>82</v>
      </c>
      <c r="F44" s="69">
        <f>[9]Summary!F44</f>
        <v>0</v>
      </c>
      <c r="G44" s="48">
        <f t="shared" si="0"/>
        <v>0</v>
      </c>
      <c r="H44" s="92"/>
    </row>
    <row r="45" spans="1:8" ht="46.5">
      <c r="A45" s="124">
        <v>41</v>
      </c>
      <c r="B45" s="125" t="s">
        <v>5496</v>
      </c>
      <c r="C45" s="126" t="s">
        <v>5497</v>
      </c>
      <c r="D45" s="127" t="s">
        <v>1584</v>
      </c>
      <c r="E45" s="128">
        <f>[9]Summary!E45</f>
        <v>199</v>
      </c>
      <c r="F45" s="124">
        <f>[9]Summary!F45</f>
        <v>0</v>
      </c>
      <c r="G45" s="129">
        <f t="shared" si="0"/>
        <v>0</v>
      </c>
      <c r="H45" s="126"/>
    </row>
    <row r="46" spans="1:8" ht="46.5">
      <c r="A46" s="69">
        <v>42</v>
      </c>
      <c r="B46" s="1" t="s">
        <v>5498</v>
      </c>
      <c r="C46" s="1" t="s">
        <v>5499</v>
      </c>
      <c r="D46" s="130" t="s">
        <v>1584</v>
      </c>
      <c r="E46" s="47">
        <f>[9]Summary!E46</f>
        <v>225</v>
      </c>
      <c r="F46" s="69">
        <f>[9]Summary!F46</f>
        <v>0</v>
      </c>
      <c r="G46" s="48">
        <f t="shared" si="0"/>
        <v>0</v>
      </c>
      <c r="H46" s="92"/>
    </row>
    <row r="47" spans="1:8" ht="46.5">
      <c r="A47" s="124">
        <v>43</v>
      </c>
      <c r="B47" s="125" t="s">
        <v>5500</v>
      </c>
      <c r="C47" s="126" t="s">
        <v>5501</v>
      </c>
      <c r="D47" s="127" t="s">
        <v>1584</v>
      </c>
      <c r="E47" s="128">
        <f>[9]Summary!E47</f>
        <v>750</v>
      </c>
      <c r="F47" s="124">
        <f>[9]Summary!F47</f>
        <v>0</v>
      </c>
      <c r="G47" s="129">
        <f t="shared" si="0"/>
        <v>0</v>
      </c>
      <c r="H47" s="126"/>
    </row>
    <row r="48" spans="1:8" ht="23.25">
      <c r="A48" s="69">
        <v>44</v>
      </c>
      <c r="B48" s="1" t="s">
        <v>5502</v>
      </c>
      <c r="C48" s="1" t="s">
        <v>5503</v>
      </c>
      <c r="D48" s="130" t="s">
        <v>1584</v>
      </c>
      <c r="E48" s="47">
        <f>[9]Summary!E48</f>
        <v>15</v>
      </c>
      <c r="F48" s="69">
        <f>[9]Summary!F48</f>
        <v>0</v>
      </c>
      <c r="G48" s="48">
        <f t="shared" si="0"/>
        <v>0</v>
      </c>
      <c r="H48" s="92"/>
    </row>
    <row r="49" spans="1:8" ht="46.5">
      <c r="A49" s="124">
        <v>45</v>
      </c>
      <c r="B49" s="125" t="s">
        <v>5504</v>
      </c>
      <c r="C49" s="126" t="s">
        <v>5505</v>
      </c>
      <c r="D49" s="127" t="s">
        <v>1584</v>
      </c>
      <c r="E49" s="128">
        <f>[9]Summary!E49</f>
        <v>420</v>
      </c>
      <c r="F49" s="124">
        <f>[9]Summary!F49</f>
        <v>0</v>
      </c>
      <c r="G49" s="129">
        <f t="shared" si="0"/>
        <v>0</v>
      </c>
      <c r="H49" s="126"/>
    </row>
    <row r="51" spans="1:8" ht="26.25">
      <c r="A51" s="299" t="s">
        <v>7</v>
      </c>
      <c r="B51" s="299"/>
      <c r="C51" s="299"/>
      <c r="D51" s="299"/>
      <c r="E51" s="299"/>
      <c r="F51" s="217">
        <f>SUM(F5:F50)</f>
        <v>57</v>
      </c>
      <c r="G51" s="219">
        <f>SUM(G5:G49)</f>
        <v>8571</v>
      </c>
      <c r="H51" s="218"/>
    </row>
  </sheetData>
  <autoFilter ref="A4:H49" xr:uid="{30003AA1-4B1C-4936-84D8-F0D9ABEFAF33}"/>
  <mergeCells count="3">
    <mergeCell ref="A3:H3"/>
    <mergeCell ref="A51:E51"/>
    <mergeCell ref="A2:H2"/>
  </mergeCells>
  <conditionalFormatting sqref="A5:A49">
    <cfRule type="expression" dxfId="10" priority="1">
      <formula>AND(#REF!&lt;&gt;"",OR(ISNUMBER(SEARCH(#REF!,$A5:$D5,1))))</formula>
    </cfRule>
  </conditionalFormatting>
  <conditionalFormatting sqref="D5:D49">
    <cfRule type="expression" dxfId="9" priority="2">
      <formula>AND(#REF!&lt;&gt;"",OR(ISNUMBER(SEARCH(#REF!,$A5:$E5,1))))</formula>
    </cfRule>
  </conditionalFormatting>
  <conditionalFormatting sqref="G5:G49">
    <cfRule type="expression" dxfId="8" priority="3">
      <formula>AND(#REF!&lt;&gt;"",OR(ISNUMBER(SEARCH(#REF!,$A5:$D5,1))))</formula>
    </cfRule>
  </conditionalFormatting>
  <pageMargins left="0.16" right="0.16" top="0.16" bottom="0.16" header="0.3" footer="0.3"/>
  <pageSetup paperSize="9" scale="53"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92185-FA95-436F-A01F-14156D927170}">
  <sheetPr codeName="Sheet8">
    <pageSetUpPr fitToPage="1"/>
  </sheetPr>
  <dimension ref="A1:H241"/>
  <sheetViews>
    <sheetView zoomScale="55" zoomScaleNormal="55" workbookViewId="0">
      <selection activeCell="I1" sqref="I1:I1048576"/>
    </sheetView>
  </sheetViews>
  <sheetFormatPr defaultColWidth="9.140625" defaultRowHeight="15"/>
  <cols>
    <col min="1" max="1" width="12.140625" style="115" customWidth="1"/>
    <col min="2" max="2" width="41.28515625" style="116" customWidth="1"/>
    <col min="3" max="3" width="47.140625" style="116" customWidth="1"/>
    <col min="4" max="4" width="12.28515625" style="117" customWidth="1"/>
    <col min="5" max="5" width="19.140625" style="114" customWidth="1"/>
    <col min="6" max="6" width="15.42578125" style="115" customWidth="1"/>
    <col min="7" max="7" width="24" style="114" customWidth="1"/>
    <col min="8" max="8" width="18.140625" style="112" customWidth="1"/>
    <col min="9" max="16384" width="9.140625" style="112"/>
  </cols>
  <sheetData>
    <row r="1" spans="1:8" ht="145.5" customHeight="1"/>
    <row r="2" spans="1:8" ht="40.5" customHeight="1">
      <c r="A2" s="269">
        <f ca="1">TODAY()</f>
        <v>46123</v>
      </c>
      <c r="B2" s="269"/>
      <c r="C2" s="269"/>
      <c r="D2" s="269"/>
      <c r="E2" s="269"/>
      <c r="F2" s="269"/>
      <c r="G2" s="269"/>
      <c r="H2" s="269"/>
    </row>
    <row r="3" spans="1:8" ht="45.75" customHeight="1">
      <c r="A3" s="291" t="s">
        <v>5262</v>
      </c>
      <c r="B3" s="291"/>
      <c r="C3" s="291"/>
      <c r="D3" s="291"/>
      <c r="E3" s="291"/>
      <c r="F3" s="291"/>
      <c r="G3" s="291"/>
      <c r="H3" s="291"/>
    </row>
    <row r="4" spans="1:8" ht="51" customHeight="1">
      <c r="A4" s="2" t="s">
        <v>0</v>
      </c>
      <c r="B4" s="3" t="s">
        <v>9</v>
      </c>
      <c r="C4" s="4" t="s">
        <v>10</v>
      </c>
      <c r="D4" s="5" t="s">
        <v>11</v>
      </c>
      <c r="E4" s="6" t="s">
        <v>1763</v>
      </c>
      <c r="F4" s="7" t="s">
        <v>13</v>
      </c>
      <c r="G4" s="7" t="s">
        <v>3990</v>
      </c>
      <c r="H4" s="7" t="s">
        <v>1766</v>
      </c>
    </row>
    <row r="5" spans="1:8" ht="46.5">
      <c r="A5" s="155">
        <v>1</v>
      </c>
      <c r="B5" s="155" t="s">
        <v>3632</v>
      </c>
      <c r="C5" s="155" t="s">
        <v>3633</v>
      </c>
      <c r="D5" s="155" t="s">
        <v>5256</v>
      </c>
      <c r="E5" s="156">
        <f>[10]Summary!E4</f>
        <v>25</v>
      </c>
      <c r="F5" s="157">
        <f>[10]Summary!F4</f>
        <v>1</v>
      </c>
      <c r="G5" s="158">
        <f t="shared" ref="G5:G36" si="0">F5*E5</f>
        <v>25</v>
      </c>
      <c r="H5" s="155"/>
    </row>
    <row r="6" spans="1:8" ht="23.25">
      <c r="A6" s="81">
        <v>2</v>
      </c>
      <c r="B6" s="159" t="s">
        <v>3634</v>
      </c>
      <c r="C6" s="159" t="s">
        <v>3635</v>
      </c>
      <c r="D6" s="232" t="s">
        <v>5256</v>
      </c>
      <c r="E6" s="160">
        <f>[10]Summary!E5</f>
        <v>3.33</v>
      </c>
      <c r="F6" s="161">
        <f>[10]Summary!F5</f>
        <v>0</v>
      </c>
      <c r="G6" s="138">
        <f t="shared" si="0"/>
        <v>0</v>
      </c>
      <c r="H6" s="113"/>
    </row>
    <row r="7" spans="1:8" ht="23.25">
      <c r="A7" s="155">
        <v>3</v>
      </c>
      <c r="B7" s="155" t="s">
        <v>3636</v>
      </c>
      <c r="C7" s="155" t="s">
        <v>3637</v>
      </c>
      <c r="D7" s="155" t="s">
        <v>5256</v>
      </c>
      <c r="E7" s="156">
        <f>[10]Summary!E6</f>
        <v>2.06</v>
      </c>
      <c r="F7" s="157">
        <f>[10]Summary!F6</f>
        <v>0</v>
      </c>
      <c r="G7" s="158">
        <f t="shared" si="0"/>
        <v>0</v>
      </c>
      <c r="H7" s="155"/>
    </row>
    <row r="8" spans="1:8" ht="23.25">
      <c r="A8" s="81">
        <v>4</v>
      </c>
      <c r="B8" s="159" t="s">
        <v>3638</v>
      </c>
      <c r="C8" s="159" t="s">
        <v>3639</v>
      </c>
      <c r="D8" s="232" t="s">
        <v>5256</v>
      </c>
      <c r="E8" s="160">
        <f>[10]Summary!E7</f>
        <v>0.4</v>
      </c>
      <c r="F8" s="161">
        <f>[10]Summary!F7</f>
        <v>0</v>
      </c>
      <c r="G8" s="138">
        <f t="shared" si="0"/>
        <v>0</v>
      </c>
      <c r="H8" s="113"/>
    </row>
    <row r="9" spans="1:8" ht="23.25">
      <c r="A9" s="155">
        <v>5</v>
      </c>
      <c r="B9" s="155" t="s">
        <v>3640</v>
      </c>
      <c r="C9" s="155" t="s">
        <v>3641</v>
      </c>
      <c r="D9" s="155" t="s">
        <v>5256</v>
      </c>
      <c r="E9" s="156">
        <f>[10]Summary!E8</f>
        <v>0.5</v>
      </c>
      <c r="F9" s="157">
        <f>[10]Summary!F8</f>
        <v>0</v>
      </c>
      <c r="G9" s="158">
        <f t="shared" si="0"/>
        <v>0</v>
      </c>
      <c r="H9" s="155"/>
    </row>
    <row r="10" spans="1:8" ht="23.25">
      <c r="A10" s="81">
        <v>6</v>
      </c>
      <c r="B10" s="159" t="s">
        <v>3642</v>
      </c>
      <c r="C10" s="159" t="s">
        <v>3643</v>
      </c>
      <c r="D10" s="232" t="s">
        <v>5256</v>
      </c>
      <c r="E10" s="160">
        <f>[10]Summary!E9</f>
        <v>0.5</v>
      </c>
      <c r="F10" s="161">
        <f>[10]Summary!F9</f>
        <v>2</v>
      </c>
      <c r="G10" s="138">
        <f t="shared" si="0"/>
        <v>1</v>
      </c>
      <c r="H10" s="113"/>
    </row>
    <row r="11" spans="1:8" ht="46.5">
      <c r="A11" s="155">
        <v>7</v>
      </c>
      <c r="B11" s="155" t="s">
        <v>3644</v>
      </c>
      <c r="C11" s="155" t="s">
        <v>3645</v>
      </c>
      <c r="D11" s="155" t="s">
        <v>5256</v>
      </c>
      <c r="E11" s="156">
        <f>[10]Summary!E10</f>
        <v>2.25</v>
      </c>
      <c r="F11" s="157">
        <f>[10]Summary!F10</f>
        <v>0</v>
      </c>
      <c r="G11" s="158">
        <f t="shared" si="0"/>
        <v>0</v>
      </c>
      <c r="H11" s="155"/>
    </row>
    <row r="12" spans="1:8" ht="46.5">
      <c r="A12" s="81">
        <v>8</v>
      </c>
      <c r="B12" s="159" t="s">
        <v>3646</v>
      </c>
      <c r="C12" s="159" t="s">
        <v>3647</v>
      </c>
      <c r="D12" s="232" t="s">
        <v>5256</v>
      </c>
      <c r="E12" s="160">
        <f>[10]Summary!E11</f>
        <v>2.5</v>
      </c>
      <c r="F12" s="161">
        <f>[10]Summary!F11</f>
        <v>0</v>
      </c>
      <c r="G12" s="138">
        <f t="shared" si="0"/>
        <v>0</v>
      </c>
      <c r="H12" s="113"/>
    </row>
    <row r="13" spans="1:8" ht="46.5">
      <c r="A13" s="155">
        <v>9</v>
      </c>
      <c r="B13" s="155" t="s">
        <v>3648</v>
      </c>
      <c r="C13" s="155" t="s">
        <v>3649</v>
      </c>
      <c r="D13" s="155" t="s">
        <v>5256</v>
      </c>
      <c r="E13" s="156">
        <f>[10]Summary!E12</f>
        <v>2.75</v>
      </c>
      <c r="F13" s="157">
        <f>[10]Summary!F12</f>
        <v>0</v>
      </c>
      <c r="G13" s="158">
        <f t="shared" si="0"/>
        <v>0</v>
      </c>
      <c r="H13" s="155"/>
    </row>
    <row r="14" spans="1:8" ht="23.25">
      <c r="A14" s="81">
        <v>10</v>
      </c>
      <c r="B14" s="159" t="s">
        <v>3650</v>
      </c>
      <c r="C14" s="159" t="s">
        <v>3651</v>
      </c>
      <c r="D14" s="232" t="s">
        <v>5256</v>
      </c>
      <c r="E14" s="160">
        <f>[10]Summary!E13</f>
        <v>4</v>
      </c>
      <c r="F14" s="161">
        <f>[10]Summary!F13</f>
        <v>0</v>
      </c>
      <c r="G14" s="138">
        <f t="shared" si="0"/>
        <v>0</v>
      </c>
      <c r="H14" s="113"/>
    </row>
    <row r="15" spans="1:8" ht="23.25">
      <c r="A15" s="155">
        <v>11</v>
      </c>
      <c r="B15" s="155" t="s">
        <v>3652</v>
      </c>
      <c r="C15" s="155" t="s">
        <v>3653</v>
      </c>
      <c r="D15" s="155" t="s">
        <v>5256</v>
      </c>
      <c r="E15" s="156">
        <f>[10]Summary!E14</f>
        <v>1.25</v>
      </c>
      <c r="F15" s="157">
        <f>[10]Summary!F14</f>
        <v>0</v>
      </c>
      <c r="G15" s="158">
        <f t="shared" si="0"/>
        <v>0</v>
      </c>
      <c r="H15" s="155"/>
    </row>
    <row r="16" spans="1:8" ht="46.5">
      <c r="A16" s="81">
        <v>12</v>
      </c>
      <c r="B16" s="159" t="s">
        <v>3654</v>
      </c>
      <c r="C16" s="159" t="s">
        <v>3655</v>
      </c>
      <c r="D16" s="232" t="s">
        <v>5256</v>
      </c>
      <c r="E16" s="160">
        <f>[10]Summary!E15</f>
        <v>2.39</v>
      </c>
      <c r="F16" s="161">
        <f>[10]Summary!F15</f>
        <v>0</v>
      </c>
      <c r="G16" s="138">
        <f t="shared" si="0"/>
        <v>0</v>
      </c>
      <c r="H16" s="113"/>
    </row>
    <row r="17" spans="1:8" ht="23.25">
      <c r="A17" s="155">
        <v>13</v>
      </c>
      <c r="B17" s="155" t="s">
        <v>3656</v>
      </c>
      <c r="C17" s="155" t="s">
        <v>3657</v>
      </c>
      <c r="D17" s="155" t="s">
        <v>3658</v>
      </c>
      <c r="E17" s="156">
        <f>[10]Summary!E16</f>
        <v>0.75</v>
      </c>
      <c r="F17" s="157">
        <f>[10]Summary!F16</f>
        <v>5906.8</v>
      </c>
      <c r="G17" s="158">
        <f t="shared" si="0"/>
        <v>4430.1000000000004</v>
      </c>
      <c r="H17" s="155"/>
    </row>
    <row r="18" spans="1:8" ht="23.25">
      <c r="A18" s="81">
        <v>14</v>
      </c>
      <c r="B18" s="159" t="s">
        <v>3659</v>
      </c>
      <c r="C18" s="159" t="s">
        <v>3660</v>
      </c>
      <c r="D18" s="232" t="s">
        <v>3658</v>
      </c>
      <c r="E18" s="160">
        <f>[10]Summary!E17</f>
        <v>0.75</v>
      </c>
      <c r="F18" s="161">
        <f>[10]Summary!F17</f>
        <v>5184.5</v>
      </c>
      <c r="G18" s="138">
        <f t="shared" si="0"/>
        <v>3888.375</v>
      </c>
      <c r="H18" s="113"/>
    </row>
    <row r="19" spans="1:8" ht="23.25">
      <c r="A19" s="155">
        <v>15</v>
      </c>
      <c r="B19" s="155" t="s">
        <v>3661</v>
      </c>
      <c r="C19" s="155" t="s">
        <v>3662</v>
      </c>
      <c r="D19" s="155" t="s">
        <v>5256</v>
      </c>
      <c r="E19" s="156">
        <f>[10]Summary!E18</f>
        <v>48</v>
      </c>
      <c r="F19" s="157">
        <f>[10]Summary!F18</f>
        <v>0.5</v>
      </c>
      <c r="G19" s="158">
        <f t="shared" si="0"/>
        <v>24</v>
      </c>
      <c r="H19" s="155"/>
    </row>
    <row r="20" spans="1:8" ht="23.25">
      <c r="A20" s="81">
        <v>16</v>
      </c>
      <c r="B20" s="159" t="s">
        <v>3663</v>
      </c>
      <c r="C20" s="159" t="s">
        <v>3664</v>
      </c>
      <c r="D20" s="232" t="s">
        <v>131</v>
      </c>
      <c r="E20" s="160">
        <f>[10]Summary!E19</f>
        <v>318.39</v>
      </c>
      <c r="F20" s="161">
        <f>[10]Summary!F19</f>
        <v>0</v>
      </c>
      <c r="G20" s="138">
        <f t="shared" si="0"/>
        <v>0</v>
      </c>
      <c r="H20" s="113"/>
    </row>
    <row r="21" spans="1:8" ht="46.5">
      <c r="A21" s="155">
        <v>17</v>
      </c>
      <c r="B21" s="155" t="s">
        <v>3665</v>
      </c>
      <c r="C21" s="155" t="s">
        <v>3666</v>
      </c>
      <c r="D21" s="155" t="s">
        <v>5256</v>
      </c>
      <c r="E21" s="156">
        <f>[10]Summary!E20</f>
        <v>302.5</v>
      </c>
      <c r="F21" s="157">
        <f>[10]Summary!F20</f>
        <v>0</v>
      </c>
      <c r="G21" s="158">
        <f t="shared" si="0"/>
        <v>0</v>
      </c>
      <c r="H21" s="155"/>
    </row>
    <row r="22" spans="1:8" ht="23.25">
      <c r="A22" s="81">
        <v>18</v>
      </c>
      <c r="B22" s="159" t="s">
        <v>3667</v>
      </c>
      <c r="C22" s="159" t="s">
        <v>3668</v>
      </c>
      <c r="D22" s="232" t="s">
        <v>5256</v>
      </c>
      <c r="E22" s="160">
        <f>[10]Summary!E21</f>
        <v>3.33</v>
      </c>
      <c r="F22" s="161">
        <f>[10]Summary!F21</f>
        <v>0</v>
      </c>
      <c r="G22" s="138">
        <f t="shared" si="0"/>
        <v>0</v>
      </c>
      <c r="H22" s="113"/>
    </row>
    <row r="23" spans="1:8" ht="23.25">
      <c r="A23" s="155">
        <v>19</v>
      </c>
      <c r="B23" s="155" t="s">
        <v>3669</v>
      </c>
      <c r="C23" s="155" t="s">
        <v>3670</v>
      </c>
      <c r="D23" s="155" t="s">
        <v>5256</v>
      </c>
      <c r="E23" s="156">
        <f>[10]Summary!E22</f>
        <v>9</v>
      </c>
      <c r="F23" s="157">
        <f>[10]Summary!F22</f>
        <v>0</v>
      </c>
      <c r="G23" s="158">
        <f t="shared" si="0"/>
        <v>0</v>
      </c>
      <c r="H23" s="155"/>
    </row>
    <row r="24" spans="1:8" ht="46.5">
      <c r="A24" s="81">
        <v>20</v>
      </c>
      <c r="B24" s="159" t="s">
        <v>3671</v>
      </c>
      <c r="C24" s="159" t="s">
        <v>3672</v>
      </c>
      <c r="D24" s="232" t="s">
        <v>5256</v>
      </c>
      <c r="E24" s="160">
        <f>[10]Summary!E23</f>
        <v>16</v>
      </c>
      <c r="F24" s="161">
        <f>[10]Summary!F23</f>
        <v>140.5</v>
      </c>
      <c r="G24" s="138">
        <f t="shared" si="0"/>
        <v>2248</v>
      </c>
      <c r="H24" s="113"/>
    </row>
    <row r="25" spans="1:8" ht="23.25">
      <c r="A25" s="155">
        <v>21</v>
      </c>
      <c r="B25" s="155" t="s">
        <v>5679</v>
      </c>
      <c r="C25" s="155" t="s">
        <v>3673</v>
      </c>
      <c r="D25" s="155" t="s">
        <v>5256</v>
      </c>
      <c r="E25" s="156">
        <f>[10]Summary!E24</f>
        <v>0</v>
      </c>
      <c r="F25" s="157">
        <f>[10]Summary!F24</f>
        <v>0</v>
      </c>
      <c r="G25" s="158">
        <f t="shared" si="0"/>
        <v>0</v>
      </c>
      <c r="H25" s="155"/>
    </row>
    <row r="26" spans="1:8" ht="23.25">
      <c r="A26" s="81">
        <v>22</v>
      </c>
      <c r="B26" s="159" t="s">
        <v>3674</v>
      </c>
      <c r="C26" s="159" t="s">
        <v>3675</v>
      </c>
      <c r="D26" s="232" t="s">
        <v>131</v>
      </c>
      <c r="E26" s="160">
        <f>[10]Summary!E25</f>
        <v>27</v>
      </c>
      <c r="F26" s="161">
        <f>[10]Summary!F25</f>
        <v>35.419999999999995</v>
      </c>
      <c r="G26" s="138">
        <f t="shared" si="0"/>
        <v>956.3399999999998</v>
      </c>
      <c r="H26" s="113"/>
    </row>
    <row r="27" spans="1:8" ht="23.25">
      <c r="A27" s="155">
        <v>23</v>
      </c>
      <c r="B27" s="155" t="s">
        <v>5871</v>
      </c>
      <c r="C27" s="155" t="s">
        <v>3758</v>
      </c>
      <c r="D27" s="155" t="s">
        <v>131</v>
      </c>
      <c r="E27" s="156">
        <f>[10]Summary!E66</f>
        <v>27</v>
      </c>
      <c r="F27" s="157">
        <f>[10]Summary!F66</f>
        <v>70.23</v>
      </c>
      <c r="G27" s="158">
        <f t="shared" si="0"/>
        <v>1896.21</v>
      </c>
      <c r="H27" s="155"/>
    </row>
    <row r="28" spans="1:8" ht="46.5">
      <c r="A28" s="81">
        <v>24</v>
      </c>
      <c r="B28" s="159" t="s">
        <v>3680</v>
      </c>
      <c r="C28" s="159" t="s">
        <v>3681</v>
      </c>
      <c r="D28" s="232" t="s">
        <v>5256</v>
      </c>
      <c r="E28" s="160">
        <f>[10]Summary!E27</f>
        <v>0.85</v>
      </c>
      <c r="F28" s="161">
        <f>[10]Summary!F27</f>
        <v>0</v>
      </c>
      <c r="G28" s="138">
        <f t="shared" si="0"/>
        <v>0</v>
      </c>
      <c r="H28" s="113"/>
    </row>
    <row r="29" spans="1:8" ht="23.25">
      <c r="A29" s="155">
        <v>25</v>
      </c>
      <c r="B29" s="155" t="s">
        <v>3682</v>
      </c>
      <c r="C29" s="155" t="s">
        <v>3683</v>
      </c>
      <c r="D29" s="155" t="s">
        <v>5256</v>
      </c>
      <c r="E29" s="156">
        <f>[10]Summary!E28</f>
        <v>4820</v>
      </c>
      <c r="F29" s="157">
        <f>[10]Summary!F28</f>
        <v>1</v>
      </c>
      <c r="G29" s="158">
        <f t="shared" si="0"/>
        <v>4820</v>
      </c>
      <c r="H29" s="155"/>
    </row>
    <row r="30" spans="1:8" ht="23.25">
      <c r="A30" s="81">
        <v>26</v>
      </c>
      <c r="B30" s="159" t="s">
        <v>3684</v>
      </c>
      <c r="C30" s="159" t="s">
        <v>3685</v>
      </c>
      <c r="D30" s="232" t="s">
        <v>5256</v>
      </c>
      <c r="E30" s="160">
        <f>[10]Summary!E29</f>
        <v>0.27</v>
      </c>
      <c r="F30" s="161">
        <f>[10]Summary!F29</f>
        <v>0</v>
      </c>
      <c r="G30" s="138">
        <f t="shared" si="0"/>
        <v>0</v>
      </c>
      <c r="H30" s="113"/>
    </row>
    <row r="31" spans="1:8" ht="23.25">
      <c r="A31" s="155">
        <v>27</v>
      </c>
      <c r="B31" s="155" t="s">
        <v>3686</v>
      </c>
      <c r="C31" s="155" t="s">
        <v>3687</v>
      </c>
      <c r="D31" s="155" t="s">
        <v>3688</v>
      </c>
      <c r="E31" s="156">
        <f>[10]Summary!E30</f>
        <v>0</v>
      </c>
      <c r="F31" s="157">
        <f>[10]Summary!F30</f>
        <v>0</v>
      </c>
      <c r="G31" s="158">
        <f t="shared" si="0"/>
        <v>0</v>
      </c>
      <c r="H31" s="155"/>
    </row>
    <row r="32" spans="1:8" ht="46.5">
      <c r="A32" s="81">
        <v>28</v>
      </c>
      <c r="B32" s="159" t="s">
        <v>3689</v>
      </c>
      <c r="C32" s="159" t="s">
        <v>3690</v>
      </c>
      <c r="D32" s="232" t="s">
        <v>5256</v>
      </c>
      <c r="E32" s="160">
        <f>[10]Summary!E31</f>
        <v>0.3</v>
      </c>
      <c r="F32" s="161">
        <f>[10]Summary!F31</f>
        <v>0</v>
      </c>
      <c r="G32" s="138">
        <f t="shared" si="0"/>
        <v>0</v>
      </c>
      <c r="H32" s="113"/>
    </row>
    <row r="33" spans="1:8" ht="46.5">
      <c r="A33" s="155">
        <v>29</v>
      </c>
      <c r="B33" s="155" t="s">
        <v>3691</v>
      </c>
      <c r="C33" s="155" t="s">
        <v>3692</v>
      </c>
      <c r="D33" s="155" t="s">
        <v>5256</v>
      </c>
      <c r="E33" s="156">
        <f>[10]Summary!E32</f>
        <v>0.65</v>
      </c>
      <c r="F33" s="157">
        <f>[10]Summary!F32</f>
        <v>275</v>
      </c>
      <c r="G33" s="158">
        <f t="shared" si="0"/>
        <v>178.75</v>
      </c>
      <c r="H33" s="155"/>
    </row>
    <row r="34" spans="1:8" ht="46.5">
      <c r="A34" s="81">
        <v>30</v>
      </c>
      <c r="B34" s="159" t="s">
        <v>3693</v>
      </c>
      <c r="C34" s="159" t="s">
        <v>3694</v>
      </c>
      <c r="D34" s="232" t="s">
        <v>5256</v>
      </c>
      <c r="E34" s="160">
        <f>[10]Summary!E33</f>
        <v>3.25</v>
      </c>
      <c r="F34" s="161">
        <f>[10]Summary!F33</f>
        <v>1</v>
      </c>
      <c r="G34" s="138">
        <f t="shared" si="0"/>
        <v>3.25</v>
      </c>
      <c r="H34" s="113"/>
    </row>
    <row r="35" spans="1:8" ht="46.5">
      <c r="A35" s="155">
        <v>31</v>
      </c>
      <c r="B35" s="155" t="s">
        <v>3695</v>
      </c>
      <c r="C35" s="155" t="s">
        <v>3696</v>
      </c>
      <c r="D35" s="155" t="s">
        <v>5256</v>
      </c>
      <c r="E35" s="156">
        <f>[10]Summary!E34</f>
        <v>0.65</v>
      </c>
      <c r="F35" s="157">
        <f>[10]Summary!F34</f>
        <v>525</v>
      </c>
      <c r="G35" s="158">
        <f t="shared" si="0"/>
        <v>341.25</v>
      </c>
      <c r="H35" s="155"/>
    </row>
    <row r="36" spans="1:8" ht="23.25">
      <c r="A36" s="81">
        <v>32</v>
      </c>
      <c r="B36" s="159" t="s">
        <v>3697</v>
      </c>
      <c r="C36" s="159" t="s">
        <v>3698</v>
      </c>
      <c r="D36" s="232" t="s">
        <v>5256</v>
      </c>
      <c r="E36" s="160">
        <f>[10]Summary!E35</f>
        <v>3.5</v>
      </c>
      <c r="F36" s="161">
        <f>[10]Summary!F35</f>
        <v>380</v>
      </c>
      <c r="G36" s="138">
        <f t="shared" si="0"/>
        <v>1330</v>
      </c>
      <c r="H36" s="113"/>
    </row>
    <row r="37" spans="1:8" ht="46.5">
      <c r="A37" s="155">
        <v>33</v>
      </c>
      <c r="B37" s="155" t="s">
        <v>3699</v>
      </c>
      <c r="C37" s="155" t="s">
        <v>3700</v>
      </c>
      <c r="D37" s="155" t="s">
        <v>5256</v>
      </c>
      <c r="E37" s="156">
        <f>[10]Summary!E36</f>
        <v>0.65</v>
      </c>
      <c r="F37" s="157">
        <f>[10]Summary!F36</f>
        <v>1505</v>
      </c>
      <c r="G37" s="158">
        <f t="shared" ref="G37:G68" si="1">F37*E37</f>
        <v>978.25</v>
      </c>
      <c r="H37" s="155"/>
    </row>
    <row r="38" spans="1:8" ht="23.25">
      <c r="A38" s="81">
        <v>34</v>
      </c>
      <c r="B38" s="159" t="s">
        <v>3701</v>
      </c>
      <c r="C38" s="159" t="s">
        <v>3702</v>
      </c>
      <c r="D38" s="232" t="s">
        <v>5256</v>
      </c>
      <c r="E38" s="160">
        <f>[10]Summary!E37</f>
        <v>32</v>
      </c>
      <c r="F38" s="161">
        <f>[10]Summary!F37</f>
        <v>0</v>
      </c>
      <c r="G38" s="138">
        <f t="shared" si="1"/>
        <v>0</v>
      </c>
      <c r="H38" s="113"/>
    </row>
    <row r="39" spans="1:8" ht="23.25">
      <c r="A39" s="155">
        <v>35</v>
      </c>
      <c r="B39" s="155" t="s">
        <v>3703</v>
      </c>
      <c r="C39" s="155" t="s">
        <v>3704</v>
      </c>
      <c r="D39" s="155" t="s">
        <v>5256</v>
      </c>
      <c r="E39" s="156">
        <f>[10]Summary!E38</f>
        <v>34</v>
      </c>
      <c r="F39" s="157">
        <f>[10]Summary!F38</f>
        <v>14</v>
      </c>
      <c r="G39" s="158">
        <f t="shared" si="1"/>
        <v>476</v>
      </c>
      <c r="H39" s="155"/>
    </row>
    <row r="40" spans="1:8" ht="23.25">
      <c r="A40" s="81">
        <v>36</v>
      </c>
      <c r="B40" s="159" t="s">
        <v>3705</v>
      </c>
      <c r="C40" s="159" t="s">
        <v>3706</v>
      </c>
      <c r="D40" s="232" t="s">
        <v>5256</v>
      </c>
      <c r="E40" s="160">
        <f>[10]Summary!E39</f>
        <v>0</v>
      </c>
      <c r="F40" s="161">
        <f>[10]Summary!F39</f>
        <v>24</v>
      </c>
      <c r="G40" s="138">
        <f t="shared" si="1"/>
        <v>0</v>
      </c>
      <c r="H40" s="113"/>
    </row>
    <row r="41" spans="1:8" ht="23.25">
      <c r="A41" s="155">
        <v>37</v>
      </c>
      <c r="B41" s="155" t="s">
        <v>3707</v>
      </c>
      <c r="C41" s="155" t="s">
        <v>3708</v>
      </c>
      <c r="D41" s="155" t="s">
        <v>5256</v>
      </c>
      <c r="E41" s="156">
        <f>[10]Summary!E40</f>
        <v>15</v>
      </c>
      <c r="F41" s="157">
        <f>[10]Summary!F40</f>
        <v>19</v>
      </c>
      <c r="G41" s="158">
        <f t="shared" si="1"/>
        <v>285</v>
      </c>
      <c r="H41" s="155"/>
    </row>
    <row r="42" spans="1:8" ht="23.25">
      <c r="A42" s="81">
        <v>38</v>
      </c>
      <c r="B42" s="159" t="s">
        <v>3709</v>
      </c>
      <c r="C42" s="159" t="s">
        <v>3710</v>
      </c>
      <c r="D42" s="232" t="s">
        <v>5256</v>
      </c>
      <c r="E42" s="160">
        <f>[10]Summary!E41</f>
        <v>5.5</v>
      </c>
      <c r="F42" s="161">
        <f>[10]Summary!F41</f>
        <v>0</v>
      </c>
      <c r="G42" s="138">
        <f t="shared" si="1"/>
        <v>0</v>
      </c>
      <c r="H42" s="113"/>
    </row>
    <row r="43" spans="1:8" ht="46.5">
      <c r="A43" s="155">
        <v>39</v>
      </c>
      <c r="B43" s="155" t="s">
        <v>3711</v>
      </c>
      <c r="C43" s="155" t="s">
        <v>3712</v>
      </c>
      <c r="D43" s="155" t="s">
        <v>5256</v>
      </c>
      <c r="E43" s="156">
        <f>[10]Summary!E42</f>
        <v>7.86</v>
      </c>
      <c r="F43" s="157">
        <f>[10]Summary!F42</f>
        <v>0</v>
      </c>
      <c r="G43" s="158">
        <f t="shared" si="1"/>
        <v>0</v>
      </c>
      <c r="H43" s="155"/>
    </row>
    <row r="44" spans="1:8" ht="46.5">
      <c r="A44" s="81">
        <v>40</v>
      </c>
      <c r="B44" s="159" t="s">
        <v>3713</v>
      </c>
      <c r="C44" s="159" t="s">
        <v>3714</v>
      </c>
      <c r="D44" s="232" t="s">
        <v>5256</v>
      </c>
      <c r="E44" s="160">
        <f>[10]Summary!E43</f>
        <v>25</v>
      </c>
      <c r="F44" s="161">
        <f>[10]Summary!F43</f>
        <v>0</v>
      </c>
      <c r="G44" s="138">
        <f t="shared" si="1"/>
        <v>0</v>
      </c>
      <c r="H44" s="113"/>
    </row>
    <row r="45" spans="1:8" ht="23.25">
      <c r="A45" s="155">
        <v>41</v>
      </c>
      <c r="B45" s="155" t="s">
        <v>3715</v>
      </c>
      <c r="C45" s="155" t="s">
        <v>3716</v>
      </c>
      <c r="D45" s="155" t="s">
        <v>3717</v>
      </c>
      <c r="E45" s="156">
        <f>[10]Summary!E44</f>
        <v>0</v>
      </c>
      <c r="F45" s="157">
        <f>[10]Summary!F44</f>
        <v>6</v>
      </c>
      <c r="G45" s="158">
        <f t="shared" si="1"/>
        <v>0</v>
      </c>
      <c r="H45" s="155"/>
    </row>
    <row r="46" spans="1:8" ht="23.25">
      <c r="A46" s="81">
        <v>42</v>
      </c>
      <c r="B46" s="159" t="s">
        <v>3718</v>
      </c>
      <c r="C46" s="159" t="s">
        <v>3719</v>
      </c>
      <c r="D46" s="232" t="s">
        <v>3717</v>
      </c>
      <c r="E46" s="160">
        <f>[10]Summary!E45</f>
        <v>0</v>
      </c>
      <c r="F46" s="161">
        <f>[10]Summary!F45</f>
        <v>32</v>
      </c>
      <c r="G46" s="138">
        <f t="shared" si="1"/>
        <v>0</v>
      </c>
      <c r="H46" s="113"/>
    </row>
    <row r="47" spans="1:8" ht="23.25">
      <c r="A47" s="155">
        <v>43</v>
      </c>
      <c r="B47" s="155" t="s">
        <v>3720</v>
      </c>
      <c r="C47" s="155" t="s">
        <v>3721</v>
      </c>
      <c r="D47" s="155" t="s">
        <v>3717</v>
      </c>
      <c r="E47" s="156">
        <f>[10]Summary!E46</f>
        <v>0</v>
      </c>
      <c r="F47" s="157">
        <f>[10]Summary!F46</f>
        <v>70</v>
      </c>
      <c r="G47" s="158">
        <f t="shared" si="1"/>
        <v>0</v>
      </c>
      <c r="H47" s="155"/>
    </row>
    <row r="48" spans="1:8" ht="46.5">
      <c r="A48" s="81">
        <v>44</v>
      </c>
      <c r="B48" s="159" t="s">
        <v>3722</v>
      </c>
      <c r="C48" s="159" t="s">
        <v>3723</v>
      </c>
      <c r="D48" s="232" t="s">
        <v>5256</v>
      </c>
      <c r="E48" s="160">
        <f>[10]Summary!E47</f>
        <v>29.728999999999999</v>
      </c>
      <c r="F48" s="161">
        <f>[10]Summary!F47</f>
        <v>2</v>
      </c>
      <c r="G48" s="138">
        <f t="shared" si="1"/>
        <v>59.457999999999998</v>
      </c>
      <c r="H48" s="113"/>
    </row>
    <row r="49" spans="1:8" ht="23.25">
      <c r="A49" s="155">
        <v>45</v>
      </c>
      <c r="B49" s="155" t="s">
        <v>3724</v>
      </c>
      <c r="C49" s="155" t="s">
        <v>3725</v>
      </c>
      <c r="D49" s="155" t="s">
        <v>5256</v>
      </c>
      <c r="E49" s="156">
        <f>[10]Summary!E48</f>
        <v>6.7560000000000002</v>
      </c>
      <c r="F49" s="157">
        <f>[10]Summary!F48</f>
        <v>2</v>
      </c>
      <c r="G49" s="158">
        <f t="shared" si="1"/>
        <v>13.512</v>
      </c>
      <c r="H49" s="155"/>
    </row>
    <row r="50" spans="1:8" ht="23.25">
      <c r="A50" s="81">
        <v>46</v>
      </c>
      <c r="B50" s="159" t="s">
        <v>3726</v>
      </c>
      <c r="C50" s="159" t="s">
        <v>3727</v>
      </c>
      <c r="D50" s="232" t="s">
        <v>5256</v>
      </c>
      <c r="E50" s="160">
        <f>[10]Summary!E49</f>
        <v>1.25</v>
      </c>
      <c r="F50" s="161">
        <f>[10]Summary!F49</f>
        <v>0</v>
      </c>
      <c r="G50" s="138">
        <f t="shared" si="1"/>
        <v>0</v>
      </c>
      <c r="H50" s="113"/>
    </row>
    <row r="51" spans="1:8" ht="23.25">
      <c r="A51" s="155">
        <v>47</v>
      </c>
      <c r="B51" s="155" t="s">
        <v>3728</v>
      </c>
      <c r="C51" s="155" t="s">
        <v>3729</v>
      </c>
      <c r="D51" s="155" t="s">
        <v>5256</v>
      </c>
      <c r="E51" s="156">
        <f>[10]Summary!E50</f>
        <v>2.4820000000000002</v>
      </c>
      <c r="F51" s="157">
        <f>[10]Summary!F50</f>
        <v>0</v>
      </c>
      <c r="G51" s="158">
        <f t="shared" si="1"/>
        <v>0</v>
      </c>
      <c r="H51" s="155"/>
    </row>
    <row r="52" spans="1:8" ht="23.25">
      <c r="A52" s="81">
        <v>48</v>
      </c>
      <c r="B52" s="159" t="s">
        <v>3730</v>
      </c>
      <c r="C52" s="159" t="s">
        <v>3731</v>
      </c>
      <c r="D52" s="232" t="s">
        <v>5256</v>
      </c>
      <c r="E52" s="160">
        <f>[10]Summary!E51</f>
        <v>6.5</v>
      </c>
      <c r="F52" s="161">
        <f>[10]Summary!F51</f>
        <v>6</v>
      </c>
      <c r="G52" s="138">
        <f t="shared" si="1"/>
        <v>39</v>
      </c>
      <c r="H52" s="113"/>
    </row>
    <row r="53" spans="1:8" ht="23.25">
      <c r="A53" s="155">
        <v>49</v>
      </c>
      <c r="B53" s="155" t="s">
        <v>3732</v>
      </c>
      <c r="C53" s="155" t="s">
        <v>3733</v>
      </c>
      <c r="D53" s="155" t="s">
        <v>5256</v>
      </c>
      <c r="E53" s="156">
        <f>[10]Summary!E52</f>
        <v>0.6</v>
      </c>
      <c r="F53" s="157">
        <f>[10]Summary!F52</f>
        <v>0</v>
      </c>
      <c r="G53" s="158">
        <f t="shared" si="1"/>
        <v>0</v>
      </c>
      <c r="H53" s="155"/>
    </row>
    <row r="54" spans="1:8" ht="23.25">
      <c r="A54" s="81">
        <v>50</v>
      </c>
      <c r="B54" s="159" t="s">
        <v>3734</v>
      </c>
      <c r="C54" s="159" t="s">
        <v>3735</v>
      </c>
      <c r="D54" s="232" t="s">
        <v>5256</v>
      </c>
      <c r="E54" s="160">
        <f>[10]Summary!E53</f>
        <v>4</v>
      </c>
      <c r="F54" s="161">
        <f>[10]Summary!F53</f>
        <v>1041</v>
      </c>
      <c r="G54" s="138">
        <f t="shared" si="1"/>
        <v>4164</v>
      </c>
      <c r="H54" s="113"/>
    </row>
    <row r="55" spans="1:8" ht="23.25">
      <c r="A55" s="155">
        <v>51</v>
      </c>
      <c r="B55" s="155" t="s">
        <v>3776</v>
      </c>
      <c r="C55" s="155" t="s">
        <v>3777</v>
      </c>
      <c r="D55" s="155" t="s">
        <v>131</v>
      </c>
      <c r="E55" s="156">
        <f>[10]Summary!E76</f>
        <v>27</v>
      </c>
      <c r="F55" s="157">
        <f>[10]Summary!F76</f>
        <v>1</v>
      </c>
      <c r="G55" s="158">
        <f t="shared" si="1"/>
        <v>27</v>
      </c>
      <c r="H55" s="155"/>
    </row>
    <row r="56" spans="1:8" ht="23.25">
      <c r="A56" s="81">
        <v>52</v>
      </c>
      <c r="B56" s="159" t="s">
        <v>3739</v>
      </c>
      <c r="C56" s="159" t="s">
        <v>3740</v>
      </c>
      <c r="D56" s="232" t="s">
        <v>5256</v>
      </c>
      <c r="E56" s="160">
        <f>[10]Summary!E55</f>
        <v>0</v>
      </c>
      <c r="F56" s="161">
        <f>[10]Summary!F55</f>
        <v>3</v>
      </c>
      <c r="G56" s="138">
        <f t="shared" si="1"/>
        <v>0</v>
      </c>
      <c r="H56" s="113"/>
    </row>
    <row r="57" spans="1:8" ht="23.25">
      <c r="A57" s="155">
        <v>53</v>
      </c>
      <c r="B57" s="155" t="s">
        <v>3741</v>
      </c>
      <c r="C57" s="155" t="s">
        <v>3742</v>
      </c>
      <c r="D57" s="155" t="s">
        <v>5256</v>
      </c>
      <c r="E57" s="156">
        <f>[10]Summary!E56</f>
        <v>0</v>
      </c>
      <c r="F57" s="157">
        <f>[10]Summary!F56</f>
        <v>5866</v>
      </c>
      <c r="G57" s="158">
        <f t="shared" si="1"/>
        <v>0</v>
      </c>
      <c r="H57" s="155"/>
    </row>
    <row r="58" spans="1:8" ht="23.25">
      <c r="A58" s="81">
        <v>54</v>
      </c>
      <c r="B58" s="159" t="s">
        <v>3743</v>
      </c>
      <c r="C58" s="159" t="s">
        <v>3744</v>
      </c>
      <c r="D58" s="232" t="s">
        <v>5256</v>
      </c>
      <c r="E58" s="160">
        <f>[10]Summary!E57</f>
        <v>0.75</v>
      </c>
      <c r="F58" s="161">
        <f>[10]Summary!F57</f>
        <v>0</v>
      </c>
      <c r="G58" s="138">
        <f t="shared" si="1"/>
        <v>0</v>
      </c>
      <c r="H58" s="113"/>
    </row>
    <row r="59" spans="1:8" ht="46.5">
      <c r="A59" s="155">
        <v>55</v>
      </c>
      <c r="B59" s="155" t="s">
        <v>3745</v>
      </c>
      <c r="C59" s="155" t="s">
        <v>3746</v>
      </c>
      <c r="D59" s="155" t="s">
        <v>5256</v>
      </c>
      <c r="E59" s="156">
        <f>[10]Summary!E58</f>
        <v>2.15</v>
      </c>
      <c r="F59" s="157">
        <f>[10]Summary!F58</f>
        <v>0</v>
      </c>
      <c r="G59" s="158">
        <f t="shared" si="1"/>
        <v>0</v>
      </c>
      <c r="H59" s="155"/>
    </row>
    <row r="60" spans="1:8" ht="46.5">
      <c r="A60" s="81">
        <v>56</v>
      </c>
      <c r="B60" s="159" t="s">
        <v>3747</v>
      </c>
      <c r="C60" s="159" t="s">
        <v>3748</v>
      </c>
      <c r="D60" s="232" t="s">
        <v>5256</v>
      </c>
      <c r="E60" s="160">
        <f>[10]Summary!E59</f>
        <v>3.375</v>
      </c>
      <c r="F60" s="161">
        <f>[10]Summary!F59</f>
        <v>0</v>
      </c>
      <c r="G60" s="138">
        <f t="shared" si="1"/>
        <v>0</v>
      </c>
      <c r="H60" s="113"/>
    </row>
    <row r="61" spans="1:8" ht="23.25">
      <c r="A61" s="155">
        <v>57</v>
      </c>
      <c r="B61" s="155" t="s">
        <v>3749</v>
      </c>
      <c r="C61" s="155" t="s">
        <v>3750</v>
      </c>
      <c r="D61" s="155" t="s">
        <v>5256</v>
      </c>
      <c r="E61" s="156">
        <f>[10]Summary!E60</f>
        <v>0</v>
      </c>
      <c r="F61" s="157">
        <f>[10]Summary!F60</f>
        <v>300</v>
      </c>
      <c r="G61" s="158">
        <f t="shared" si="1"/>
        <v>0</v>
      </c>
      <c r="H61" s="155"/>
    </row>
    <row r="62" spans="1:8" ht="46.5">
      <c r="A62" s="81">
        <v>58</v>
      </c>
      <c r="B62" s="159" t="s">
        <v>5506</v>
      </c>
      <c r="C62" s="159" t="s">
        <v>3751</v>
      </c>
      <c r="D62" s="232" t="s">
        <v>5256</v>
      </c>
      <c r="E62" s="160">
        <f>[10]Summary!E61</f>
        <v>30.3</v>
      </c>
      <c r="F62" s="161">
        <f>[10]Summary!F61</f>
        <v>120</v>
      </c>
      <c r="G62" s="138">
        <f t="shared" si="1"/>
        <v>3636</v>
      </c>
      <c r="H62" s="113"/>
    </row>
    <row r="63" spans="1:8" ht="46.5">
      <c r="A63" s="155">
        <v>59</v>
      </c>
      <c r="B63" s="155" t="s">
        <v>5507</v>
      </c>
      <c r="C63" s="155" t="s">
        <v>5508</v>
      </c>
      <c r="D63" s="155" t="s">
        <v>5256</v>
      </c>
      <c r="E63" s="156">
        <f>[10]Summary!E62</f>
        <v>25.8</v>
      </c>
      <c r="F63" s="157">
        <f>[10]Summary!F62</f>
        <v>36</v>
      </c>
      <c r="G63" s="158">
        <f t="shared" si="1"/>
        <v>928.80000000000007</v>
      </c>
      <c r="H63" s="155"/>
    </row>
    <row r="64" spans="1:8" ht="23.25">
      <c r="A64" s="81">
        <v>60</v>
      </c>
      <c r="B64" s="159" t="s">
        <v>5680</v>
      </c>
      <c r="C64" s="159" t="s">
        <v>3752</v>
      </c>
      <c r="D64" s="232" t="s">
        <v>5256</v>
      </c>
      <c r="E64" s="160">
        <f>[10]Summary!E63</f>
        <v>24</v>
      </c>
      <c r="F64" s="161">
        <f>[10]Summary!F63</f>
        <v>14</v>
      </c>
      <c r="G64" s="138">
        <f t="shared" si="1"/>
        <v>336</v>
      </c>
      <c r="H64" s="113"/>
    </row>
    <row r="65" spans="1:8" ht="46.5">
      <c r="A65" s="155">
        <v>61</v>
      </c>
      <c r="B65" s="155" t="s">
        <v>3753</v>
      </c>
      <c r="C65" s="155" t="s">
        <v>3754</v>
      </c>
      <c r="D65" s="155" t="s">
        <v>5256</v>
      </c>
      <c r="E65" s="156">
        <f>[10]Summary!E64</f>
        <v>28</v>
      </c>
      <c r="F65" s="157">
        <f>[10]Summary!F64</f>
        <v>0</v>
      </c>
      <c r="G65" s="158">
        <f t="shared" si="1"/>
        <v>0</v>
      </c>
      <c r="H65" s="155"/>
    </row>
    <row r="66" spans="1:8" ht="23.25">
      <c r="A66" s="81">
        <v>62</v>
      </c>
      <c r="B66" s="159" t="s">
        <v>3755</v>
      </c>
      <c r="C66" s="159" t="s">
        <v>3756</v>
      </c>
      <c r="D66" s="232" t="s">
        <v>3688</v>
      </c>
      <c r="E66" s="160">
        <f>[10]Summary!E65</f>
        <v>0</v>
      </c>
      <c r="F66" s="161">
        <f>[10]Summary!F65</f>
        <v>39</v>
      </c>
      <c r="G66" s="138">
        <f t="shared" si="1"/>
        <v>0</v>
      </c>
      <c r="H66" s="113"/>
    </row>
    <row r="67" spans="1:8" ht="23.25">
      <c r="A67" s="155">
        <v>63</v>
      </c>
      <c r="B67" s="159" t="s">
        <v>3914</v>
      </c>
      <c r="C67" s="159" t="s">
        <v>3915</v>
      </c>
      <c r="D67" s="232" t="s">
        <v>131</v>
      </c>
      <c r="E67" s="160">
        <f>[10]Summary!E137</f>
        <v>27</v>
      </c>
      <c r="F67" s="161">
        <f>[10]Summary!F137</f>
        <v>56</v>
      </c>
      <c r="G67" s="138">
        <f t="shared" si="1"/>
        <v>1512</v>
      </c>
      <c r="H67" s="113"/>
    </row>
    <row r="68" spans="1:8" ht="46.5">
      <c r="A68" s="81">
        <v>64</v>
      </c>
      <c r="B68" s="159" t="s">
        <v>3759</v>
      </c>
      <c r="C68" s="159" t="s">
        <v>3760</v>
      </c>
      <c r="D68" s="232" t="s">
        <v>5256</v>
      </c>
      <c r="E68" s="160">
        <f>[10]Summary!E67</f>
        <v>0.3</v>
      </c>
      <c r="F68" s="161">
        <f>[10]Summary!F67</f>
        <v>0</v>
      </c>
      <c r="G68" s="138">
        <f t="shared" si="1"/>
        <v>0</v>
      </c>
      <c r="H68" s="113"/>
    </row>
    <row r="69" spans="1:8" ht="46.5">
      <c r="A69" s="155">
        <v>65</v>
      </c>
      <c r="B69" s="155" t="s">
        <v>3761</v>
      </c>
      <c r="C69" s="155" t="s">
        <v>3762</v>
      </c>
      <c r="D69" s="155" t="s">
        <v>5256</v>
      </c>
      <c r="E69" s="156">
        <f>[10]Summary!E68</f>
        <v>45</v>
      </c>
      <c r="F69" s="157">
        <f>[10]Summary!F68</f>
        <v>0</v>
      </c>
      <c r="G69" s="158">
        <f t="shared" ref="G69:G100" si="2">F69*E69</f>
        <v>0</v>
      </c>
      <c r="H69" s="155"/>
    </row>
    <row r="70" spans="1:8" ht="46.5">
      <c r="A70" s="81">
        <v>66</v>
      </c>
      <c r="B70" s="159" t="s">
        <v>3925</v>
      </c>
      <c r="C70" s="159" t="s">
        <v>3926</v>
      </c>
      <c r="D70" s="232" t="s">
        <v>131</v>
      </c>
      <c r="E70" s="160">
        <f>[10]Summary!E143</f>
        <v>57</v>
      </c>
      <c r="F70" s="161">
        <f>[10]Summary!F143</f>
        <v>0</v>
      </c>
      <c r="G70" s="138">
        <f t="shared" si="2"/>
        <v>0</v>
      </c>
      <c r="H70" s="113"/>
    </row>
    <row r="71" spans="1:8" ht="46.5">
      <c r="A71" s="155">
        <v>67</v>
      </c>
      <c r="B71" s="155" t="s">
        <v>3927</v>
      </c>
      <c r="C71" s="155" t="s">
        <v>3928</v>
      </c>
      <c r="D71" s="155" t="s">
        <v>131</v>
      </c>
      <c r="E71" s="156">
        <f>[10]Summary!E144</f>
        <v>66.5</v>
      </c>
      <c r="F71" s="157">
        <f>[10]Summary!F144</f>
        <v>0</v>
      </c>
      <c r="G71" s="158">
        <f t="shared" si="2"/>
        <v>0</v>
      </c>
      <c r="H71" s="155"/>
    </row>
    <row r="72" spans="1:8" ht="23.25">
      <c r="A72" s="81">
        <v>68</v>
      </c>
      <c r="B72" s="159" t="s">
        <v>3766</v>
      </c>
      <c r="C72" s="159" t="s">
        <v>3767</v>
      </c>
      <c r="D72" s="232" t="s">
        <v>3658</v>
      </c>
      <c r="E72" s="160">
        <f>[10]Summary!E71</f>
        <v>4</v>
      </c>
      <c r="F72" s="161">
        <f>[10]Summary!F71</f>
        <v>0.5</v>
      </c>
      <c r="G72" s="138">
        <f t="shared" si="2"/>
        <v>2</v>
      </c>
      <c r="H72" s="113"/>
    </row>
    <row r="73" spans="1:8" ht="46.5">
      <c r="A73" s="155">
        <v>69</v>
      </c>
      <c r="B73" s="155" t="s">
        <v>3768</v>
      </c>
      <c r="C73" s="155" t="s">
        <v>3769</v>
      </c>
      <c r="D73" s="155" t="s">
        <v>5256</v>
      </c>
      <c r="E73" s="156">
        <f>[10]Summary!E72</f>
        <v>4.25</v>
      </c>
      <c r="F73" s="157">
        <f>[10]Summary!F72</f>
        <v>1</v>
      </c>
      <c r="G73" s="158">
        <f t="shared" si="2"/>
        <v>4.25</v>
      </c>
      <c r="H73" s="155"/>
    </row>
    <row r="74" spans="1:8" ht="46.5">
      <c r="A74" s="81">
        <v>70</v>
      </c>
      <c r="B74" s="159" t="s">
        <v>3770</v>
      </c>
      <c r="C74" s="159" t="s">
        <v>3771</v>
      </c>
      <c r="D74" s="232" t="s">
        <v>5256</v>
      </c>
      <c r="E74" s="160">
        <f>[10]Summary!E73</f>
        <v>19.5</v>
      </c>
      <c r="F74" s="161">
        <f>[10]Summary!F73</f>
        <v>0</v>
      </c>
      <c r="G74" s="138">
        <f t="shared" si="2"/>
        <v>0</v>
      </c>
      <c r="H74" s="113"/>
    </row>
    <row r="75" spans="1:8" ht="23.25">
      <c r="A75" s="155">
        <v>71</v>
      </c>
      <c r="B75" s="155" t="s">
        <v>3772</v>
      </c>
      <c r="C75" s="155" t="s">
        <v>3773</v>
      </c>
      <c r="D75" s="155" t="s">
        <v>5256</v>
      </c>
      <c r="E75" s="156">
        <f>[10]Summary!E74</f>
        <v>0</v>
      </c>
      <c r="F75" s="157">
        <f>[10]Summary!F74</f>
        <v>240</v>
      </c>
      <c r="G75" s="158">
        <f t="shared" si="2"/>
        <v>0</v>
      </c>
      <c r="H75" s="155"/>
    </row>
    <row r="76" spans="1:8" ht="23.25">
      <c r="A76" s="81">
        <v>72</v>
      </c>
      <c r="B76" s="159" t="s">
        <v>3774</v>
      </c>
      <c r="C76" s="159" t="s">
        <v>3775</v>
      </c>
      <c r="D76" s="232" t="s">
        <v>131</v>
      </c>
      <c r="E76" s="160">
        <f>[10]Summary!E75</f>
        <v>0.5</v>
      </c>
      <c r="F76" s="161">
        <f>[10]Summary!F75</f>
        <v>0</v>
      </c>
      <c r="G76" s="138">
        <f t="shared" si="2"/>
        <v>0</v>
      </c>
      <c r="H76" s="113"/>
    </row>
    <row r="77" spans="1:8" ht="46.5">
      <c r="A77" s="155">
        <v>73</v>
      </c>
      <c r="B77" s="159" t="s">
        <v>3929</v>
      </c>
      <c r="C77" s="159" t="s">
        <v>3930</v>
      </c>
      <c r="D77" s="232" t="s">
        <v>131</v>
      </c>
      <c r="E77" s="160">
        <f>[10]Summary!E145</f>
        <v>123.5</v>
      </c>
      <c r="F77" s="161">
        <f>[10]Summary!F145</f>
        <v>0</v>
      </c>
      <c r="G77" s="138">
        <f t="shared" si="2"/>
        <v>0</v>
      </c>
      <c r="H77" s="113"/>
    </row>
    <row r="78" spans="1:8" ht="23.25">
      <c r="A78" s="81">
        <v>74</v>
      </c>
      <c r="B78" s="159" t="s">
        <v>3778</v>
      </c>
      <c r="C78" s="159" t="s">
        <v>3779</v>
      </c>
      <c r="D78" s="232" t="s">
        <v>131</v>
      </c>
      <c r="E78" s="160">
        <f>[10]Summary!E77</f>
        <v>1.8819999999999999</v>
      </c>
      <c r="F78" s="161">
        <f>[10]Summary!F77</f>
        <v>0</v>
      </c>
      <c r="G78" s="138">
        <f t="shared" si="2"/>
        <v>0</v>
      </c>
      <c r="H78" s="113"/>
    </row>
    <row r="79" spans="1:8" ht="46.5">
      <c r="A79" s="155">
        <v>75</v>
      </c>
      <c r="B79" s="155" t="s">
        <v>3798</v>
      </c>
      <c r="C79" s="155" t="s">
        <v>3799</v>
      </c>
      <c r="D79" s="155" t="s">
        <v>5256</v>
      </c>
      <c r="E79" s="156">
        <f>[10]Summary!E78</f>
        <v>30</v>
      </c>
      <c r="F79" s="157">
        <f>[10]Summary!F78</f>
        <v>0</v>
      </c>
      <c r="G79" s="158">
        <f t="shared" si="2"/>
        <v>0</v>
      </c>
      <c r="H79" s="155"/>
    </row>
    <row r="80" spans="1:8" ht="46.5">
      <c r="A80" s="81">
        <v>76</v>
      </c>
      <c r="B80" s="159" t="s">
        <v>3800</v>
      </c>
      <c r="C80" s="159" t="s">
        <v>3801</v>
      </c>
      <c r="D80" s="232" t="s">
        <v>5256</v>
      </c>
      <c r="E80" s="160">
        <f>[10]Summary!E79</f>
        <v>0.5</v>
      </c>
      <c r="F80" s="161">
        <f>[10]Summary!F79</f>
        <v>38</v>
      </c>
      <c r="G80" s="138">
        <f t="shared" si="2"/>
        <v>19</v>
      </c>
      <c r="H80" s="113"/>
    </row>
    <row r="81" spans="1:8" ht="23.25">
      <c r="A81" s="155">
        <v>77</v>
      </c>
      <c r="B81" s="155" t="s">
        <v>3802</v>
      </c>
      <c r="C81" s="155" t="s">
        <v>3803</v>
      </c>
      <c r="D81" s="155" t="s">
        <v>5256</v>
      </c>
      <c r="E81" s="156">
        <f>[10]Summary!E80</f>
        <v>0.5</v>
      </c>
      <c r="F81" s="157">
        <f>[10]Summary!F80</f>
        <v>35</v>
      </c>
      <c r="G81" s="158">
        <f t="shared" si="2"/>
        <v>17.5</v>
      </c>
      <c r="H81" s="155"/>
    </row>
    <row r="82" spans="1:8" ht="23.25">
      <c r="A82" s="81">
        <v>78</v>
      </c>
      <c r="B82" s="159" t="s">
        <v>3804</v>
      </c>
      <c r="C82" s="159" t="s">
        <v>3805</v>
      </c>
      <c r="D82" s="232" t="s">
        <v>5256</v>
      </c>
      <c r="E82" s="160">
        <f>[10]Summary!E81</f>
        <v>1</v>
      </c>
      <c r="F82" s="161">
        <f>[10]Summary!F81</f>
        <v>0</v>
      </c>
      <c r="G82" s="138">
        <f t="shared" si="2"/>
        <v>0</v>
      </c>
      <c r="H82" s="113"/>
    </row>
    <row r="83" spans="1:8" ht="23.25">
      <c r="A83" s="155">
        <v>79</v>
      </c>
      <c r="B83" s="155" t="s">
        <v>3806</v>
      </c>
      <c r="C83" s="155" t="s">
        <v>3807</v>
      </c>
      <c r="D83" s="155" t="s">
        <v>5256</v>
      </c>
      <c r="E83" s="156">
        <f>[10]Summary!E82</f>
        <v>0</v>
      </c>
      <c r="F83" s="157">
        <f>[10]Summary!F82</f>
        <v>154</v>
      </c>
      <c r="G83" s="158">
        <f t="shared" si="2"/>
        <v>0</v>
      </c>
      <c r="H83" s="155"/>
    </row>
    <row r="84" spans="1:8" ht="23.25">
      <c r="A84" s="81">
        <v>80</v>
      </c>
      <c r="B84" s="159" t="s">
        <v>3808</v>
      </c>
      <c r="C84" s="159" t="s">
        <v>3809</v>
      </c>
      <c r="D84" s="232" t="s">
        <v>5256</v>
      </c>
      <c r="E84" s="160">
        <f>[10]Summary!E83</f>
        <v>39</v>
      </c>
      <c r="F84" s="161">
        <f>[10]Summary!F83</f>
        <v>90</v>
      </c>
      <c r="G84" s="138">
        <f t="shared" si="2"/>
        <v>3510</v>
      </c>
      <c r="H84" s="113"/>
    </row>
    <row r="85" spans="1:8" ht="23.25">
      <c r="A85" s="155">
        <v>81</v>
      </c>
      <c r="B85" s="155" t="s">
        <v>3810</v>
      </c>
      <c r="C85" s="155" t="s">
        <v>3811</v>
      </c>
      <c r="D85" s="155" t="s">
        <v>5256</v>
      </c>
      <c r="E85" s="156">
        <f>[10]Summary!E84</f>
        <v>0</v>
      </c>
      <c r="F85" s="157">
        <f>[10]Summary!F84</f>
        <v>50</v>
      </c>
      <c r="G85" s="158">
        <f t="shared" si="2"/>
        <v>0</v>
      </c>
      <c r="H85" s="155"/>
    </row>
    <row r="86" spans="1:8" ht="23.25">
      <c r="A86" s="81">
        <v>82</v>
      </c>
      <c r="B86" s="159" t="s">
        <v>3812</v>
      </c>
      <c r="C86" s="159" t="s">
        <v>3813</v>
      </c>
      <c r="D86" s="232" t="s">
        <v>5256</v>
      </c>
      <c r="E86" s="160">
        <f>[10]Summary!E85</f>
        <v>39</v>
      </c>
      <c r="F86" s="161">
        <f>[10]Summary!F85</f>
        <v>255</v>
      </c>
      <c r="G86" s="138">
        <f t="shared" si="2"/>
        <v>9945</v>
      </c>
      <c r="H86" s="113"/>
    </row>
    <row r="87" spans="1:8" ht="46.5">
      <c r="A87" s="155">
        <v>83</v>
      </c>
      <c r="B87" s="155" t="s">
        <v>3814</v>
      </c>
      <c r="C87" s="155" t="s">
        <v>3815</v>
      </c>
      <c r="D87" s="155" t="s">
        <v>5256</v>
      </c>
      <c r="E87" s="156">
        <f>[10]Summary!E86</f>
        <v>6.66</v>
      </c>
      <c r="F87" s="157">
        <f>[10]Summary!F86</f>
        <v>0</v>
      </c>
      <c r="G87" s="158">
        <f t="shared" si="2"/>
        <v>0</v>
      </c>
      <c r="H87" s="155"/>
    </row>
    <row r="88" spans="1:8" ht="23.25">
      <c r="A88" s="81">
        <v>84</v>
      </c>
      <c r="B88" s="159" t="s">
        <v>3816</v>
      </c>
      <c r="C88" s="159" t="s">
        <v>3817</v>
      </c>
      <c r="D88" s="232" t="s">
        <v>5256</v>
      </c>
      <c r="E88" s="160">
        <f>[10]Summary!E87</f>
        <v>16.616</v>
      </c>
      <c r="F88" s="161">
        <f>[10]Summary!F87</f>
        <v>0</v>
      </c>
      <c r="G88" s="138">
        <f t="shared" si="2"/>
        <v>0</v>
      </c>
      <c r="H88" s="113"/>
    </row>
    <row r="89" spans="1:8" ht="46.5">
      <c r="A89" s="155">
        <v>85</v>
      </c>
      <c r="B89" s="155" t="s">
        <v>3818</v>
      </c>
      <c r="C89" s="155" t="s">
        <v>3819</v>
      </c>
      <c r="D89" s="155" t="s">
        <v>5256</v>
      </c>
      <c r="E89" s="156">
        <f>[10]Summary!E88</f>
        <v>0.02</v>
      </c>
      <c r="F89" s="157">
        <f>[10]Summary!F88</f>
        <v>0</v>
      </c>
      <c r="G89" s="158">
        <f t="shared" si="2"/>
        <v>0</v>
      </c>
      <c r="H89" s="155"/>
    </row>
    <row r="90" spans="1:8" ht="46.5">
      <c r="A90" s="81">
        <v>86</v>
      </c>
      <c r="B90" s="159" t="s">
        <v>3820</v>
      </c>
      <c r="C90" s="159" t="s">
        <v>3821</v>
      </c>
      <c r="D90" s="232" t="s">
        <v>5256</v>
      </c>
      <c r="E90" s="160">
        <f>[10]Summary!E89</f>
        <v>3.4</v>
      </c>
      <c r="F90" s="161">
        <f>[10]Summary!F89</f>
        <v>0</v>
      </c>
      <c r="G90" s="138">
        <f t="shared" si="2"/>
        <v>0</v>
      </c>
      <c r="H90" s="113"/>
    </row>
    <row r="91" spans="1:8" ht="46.5">
      <c r="A91" s="155">
        <v>87</v>
      </c>
      <c r="B91" s="155" t="s">
        <v>3822</v>
      </c>
      <c r="C91" s="155" t="s">
        <v>3823</v>
      </c>
      <c r="D91" s="155" t="s">
        <v>5256</v>
      </c>
      <c r="E91" s="156">
        <f>[10]Summary!E90</f>
        <v>5</v>
      </c>
      <c r="F91" s="157">
        <f>[10]Summary!F90</f>
        <v>307</v>
      </c>
      <c r="G91" s="158">
        <f t="shared" si="2"/>
        <v>1535</v>
      </c>
      <c r="H91" s="155"/>
    </row>
    <row r="92" spans="1:8" ht="46.5">
      <c r="A92" s="81">
        <v>88</v>
      </c>
      <c r="B92" s="159" t="s">
        <v>3824</v>
      </c>
      <c r="C92" s="159" t="s">
        <v>3825</v>
      </c>
      <c r="D92" s="232" t="s">
        <v>5256</v>
      </c>
      <c r="E92" s="160">
        <f>[10]Summary!E91</f>
        <v>6.5</v>
      </c>
      <c r="F92" s="161">
        <f>[10]Summary!F91</f>
        <v>30</v>
      </c>
      <c r="G92" s="138">
        <f t="shared" si="2"/>
        <v>195</v>
      </c>
      <c r="H92" s="113"/>
    </row>
    <row r="93" spans="1:8" ht="46.5">
      <c r="A93" s="155">
        <v>89</v>
      </c>
      <c r="B93" s="155" t="s">
        <v>3826</v>
      </c>
      <c r="C93" s="155" t="s">
        <v>3827</v>
      </c>
      <c r="D93" s="155" t="s">
        <v>5256</v>
      </c>
      <c r="E93" s="156">
        <f>[10]Summary!E92</f>
        <v>3.4</v>
      </c>
      <c r="F93" s="157">
        <f>[10]Summary!F92</f>
        <v>155</v>
      </c>
      <c r="G93" s="158">
        <f t="shared" si="2"/>
        <v>527</v>
      </c>
      <c r="H93" s="155"/>
    </row>
    <row r="94" spans="1:8" ht="46.5">
      <c r="A94" s="81">
        <v>90</v>
      </c>
      <c r="B94" s="159" t="s">
        <v>3828</v>
      </c>
      <c r="C94" s="159" t="s">
        <v>3829</v>
      </c>
      <c r="D94" s="232" t="s">
        <v>5256</v>
      </c>
      <c r="E94" s="160">
        <f>[10]Summary!E93</f>
        <v>5</v>
      </c>
      <c r="F94" s="161">
        <f>[10]Summary!F93</f>
        <v>194</v>
      </c>
      <c r="G94" s="138">
        <f t="shared" si="2"/>
        <v>970</v>
      </c>
      <c r="H94" s="113"/>
    </row>
    <row r="95" spans="1:8" ht="23.25">
      <c r="A95" s="155">
        <v>91</v>
      </c>
      <c r="B95" s="155" t="s">
        <v>3830</v>
      </c>
      <c r="C95" s="155" t="s">
        <v>3831</v>
      </c>
      <c r="D95" s="155" t="s">
        <v>131</v>
      </c>
      <c r="E95" s="156">
        <f>[10]Summary!E94</f>
        <v>70</v>
      </c>
      <c r="F95" s="157">
        <f>[10]Summary!F94</f>
        <v>0</v>
      </c>
      <c r="G95" s="158">
        <f t="shared" si="2"/>
        <v>0</v>
      </c>
      <c r="H95" s="155"/>
    </row>
    <row r="96" spans="1:8" ht="23.25">
      <c r="A96" s="81">
        <v>92</v>
      </c>
      <c r="B96" s="159" t="s">
        <v>3832</v>
      </c>
      <c r="C96" s="159" t="s">
        <v>3833</v>
      </c>
      <c r="D96" s="232" t="s">
        <v>5256</v>
      </c>
      <c r="E96" s="160">
        <f>[10]Summary!E95</f>
        <v>22.6</v>
      </c>
      <c r="F96" s="161">
        <f>[10]Summary!F95</f>
        <v>13</v>
      </c>
      <c r="G96" s="138">
        <f t="shared" si="2"/>
        <v>293.8</v>
      </c>
      <c r="H96" s="113"/>
    </row>
    <row r="97" spans="1:8" ht="23.25">
      <c r="A97" s="155">
        <v>93</v>
      </c>
      <c r="B97" s="155" t="s">
        <v>3834</v>
      </c>
      <c r="C97" s="155" t="s">
        <v>3835</v>
      </c>
      <c r="D97" s="155" t="s">
        <v>5256</v>
      </c>
      <c r="E97" s="156">
        <f>[10]Summary!E96</f>
        <v>16.25</v>
      </c>
      <c r="F97" s="157">
        <f>[10]Summary!F96</f>
        <v>1</v>
      </c>
      <c r="G97" s="158">
        <f t="shared" si="2"/>
        <v>16.25</v>
      </c>
      <c r="H97" s="155"/>
    </row>
    <row r="98" spans="1:8" ht="23.25">
      <c r="A98" s="81">
        <v>94</v>
      </c>
      <c r="B98" s="159" t="s">
        <v>3836</v>
      </c>
      <c r="C98" s="159" t="s">
        <v>3837</v>
      </c>
      <c r="D98" s="232" t="s">
        <v>5256</v>
      </c>
      <c r="E98" s="160">
        <f>[10]Summary!E97</f>
        <v>22</v>
      </c>
      <c r="F98" s="161">
        <f>[10]Summary!F97</f>
        <v>25</v>
      </c>
      <c r="G98" s="138">
        <f t="shared" si="2"/>
        <v>550</v>
      </c>
      <c r="H98" s="113"/>
    </row>
    <row r="99" spans="1:8" ht="46.5">
      <c r="A99" s="155">
        <v>95</v>
      </c>
      <c r="B99" s="155" t="s">
        <v>3838</v>
      </c>
      <c r="C99" s="155" t="s">
        <v>3839</v>
      </c>
      <c r="D99" s="155" t="s">
        <v>5256</v>
      </c>
      <c r="E99" s="156">
        <f>[10]Summary!E98</f>
        <v>5.2</v>
      </c>
      <c r="F99" s="157">
        <f>[10]Summary!F98</f>
        <v>8</v>
      </c>
      <c r="G99" s="158">
        <f t="shared" si="2"/>
        <v>41.6</v>
      </c>
      <c r="H99" s="155"/>
    </row>
    <row r="100" spans="1:8" ht="46.5">
      <c r="A100" s="81">
        <v>96</v>
      </c>
      <c r="B100" s="159" t="s">
        <v>3840</v>
      </c>
      <c r="C100" s="159" t="s">
        <v>3841</v>
      </c>
      <c r="D100" s="232" t="s">
        <v>131</v>
      </c>
      <c r="E100" s="160">
        <f>[10]Summary!E99</f>
        <v>13</v>
      </c>
      <c r="F100" s="161">
        <f>[10]Summary!F99</f>
        <v>2</v>
      </c>
      <c r="G100" s="138">
        <f t="shared" si="2"/>
        <v>26</v>
      </c>
      <c r="H100" s="113"/>
    </row>
    <row r="101" spans="1:8" ht="46.5">
      <c r="A101" s="155">
        <v>97</v>
      </c>
      <c r="B101" s="155" t="s">
        <v>3842</v>
      </c>
      <c r="C101" s="155" t="s">
        <v>3843</v>
      </c>
      <c r="D101" s="155" t="s">
        <v>3688</v>
      </c>
      <c r="E101" s="156">
        <f>[10]Summary!E100</f>
        <v>16.562999999999999</v>
      </c>
      <c r="F101" s="157">
        <f>[10]Summary!F100</f>
        <v>26</v>
      </c>
      <c r="G101" s="158">
        <f t="shared" ref="G101:G132" si="3">F101*E101</f>
        <v>430.63799999999998</v>
      </c>
      <c r="H101" s="155"/>
    </row>
    <row r="102" spans="1:8" ht="23.25">
      <c r="A102" s="81">
        <v>98</v>
      </c>
      <c r="B102" s="159" t="s">
        <v>3844</v>
      </c>
      <c r="C102" s="159" t="s">
        <v>3845</v>
      </c>
      <c r="D102" s="232" t="s">
        <v>5256</v>
      </c>
      <c r="E102" s="160">
        <f>[10]Summary!E101</f>
        <v>72</v>
      </c>
      <c r="F102" s="161">
        <f>[10]Summary!F101</f>
        <v>9</v>
      </c>
      <c r="G102" s="138">
        <f t="shared" si="3"/>
        <v>648</v>
      </c>
      <c r="H102" s="113"/>
    </row>
    <row r="103" spans="1:8" ht="46.5">
      <c r="A103" s="155">
        <v>99</v>
      </c>
      <c r="B103" s="155" t="s">
        <v>3846</v>
      </c>
      <c r="C103" s="155" t="s">
        <v>3847</v>
      </c>
      <c r="D103" s="155" t="s">
        <v>5256</v>
      </c>
      <c r="E103" s="156">
        <f>[10]Summary!E102</f>
        <v>68</v>
      </c>
      <c r="F103" s="157">
        <f>[10]Summary!F102</f>
        <v>0</v>
      </c>
      <c r="G103" s="158">
        <f t="shared" si="3"/>
        <v>0</v>
      </c>
      <c r="H103" s="155"/>
    </row>
    <row r="104" spans="1:8" ht="23.25">
      <c r="A104" s="81">
        <v>100</v>
      </c>
      <c r="B104" s="159" t="s">
        <v>3848</v>
      </c>
      <c r="C104" s="159" t="s">
        <v>3849</v>
      </c>
      <c r="D104" s="232" t="s">
        <v>5256</v>
      </c>
      <c r="E104" s="160">
        <f>[10]Summary!E103</f>
        <v>46.35</v>
      </c>
      <c r="F104" s="161">
        <f>[10]Summary!F103</f>
        <v>0</v>
      </c>
      <c r="G104" s="138">
        <f t="shared" si="3"/>
        <v>0</v>
      </c>
      <c r="H104" s="113"/>
    </row>
    <row r="105" spans="1:8" ht="46.5">
      <c r="A105" s="155">
        <v>101</v>
      </c>
      <c r="B105" s="155" t="s">
        <v>3850</v>
      </c>
      <c r="C105" s="155" t="s">
        <v>3851</v>
      </c>
      <c r="D105" s="155" t="s">
        <v>5256</v>
      </c>
      <c r="E105" s="156">
        <f>[10]Summary!E104</f>
        <v>40.31</v>
      </c>
      <c r="F105" s="157">
        <f>[10]Summary!F104</f>
        <v>0</v>
      </c>
      <c r="G105" s="158">
        <f t="shared" si="3"/>
        <v>0</v>
      </c>
      <c r="H105" s="155"/>
    </row>
    <row r="106" spans="1:8" ht="46.5">
      <c r="A106" s="81">
        <v>102</v>
      </c>
      <c r="B106" s="159" t="s">
        <v>3852</v>
      </c>
      <c r="C106" s="159" t="s">
        <v>3853</v>
      </c>
      <c r="D106" s="232" t="s">
        <v>5256</v>
      </c>
      <c r="E106" s="160">
        <f>[10]Summary!E105</f>
        <v>54</v>
      </c>
      <c r="F106" s="161">
        <f>[10]Summary!F105</f>
        <v>66</v>
      </c>
      <c r="G106" s="138">
        <f t="shared" si="3"/>
        <v>3564</v>
      </c>
      <c r="H106" s="113"/>
    </row>
    <row r="107" spans="1:8" ht="46.5">
      <c r="A107" s="155">
        <v>103</v>
      </c>
      <c r="B107" s="155" t="s">
        <v>3854</v>
      </c>
      <c r="C107" s="155" t="s">
        <v>3855</v>
      </c>
      <c r="D107" s="155" t="s">
        <v>5256</v>
      </c>
      <c r="E107" s="156">
        <f>[10]Summary!E106</f>
        <v>73.424000000000007</v>
      </c>
      <c r="F107" s="157">
        <f>[10]Summary!F106</f>
        <v>2</v>
      </c>
      <c r="G107" s="158">
        <f t="shared" si="3"/>
        <v>146.84800000000001</v>
      </c>
      <c r="H107" s="155"/>
    </row>
    <row r="108" spans="1:8" ht="46.5">
      <c r="A108" s="81">
        <v>104</v>
      </c>
      <c r="B108" s="159" t="s">
        <v>3856</v>
      </c>
      <c r="C108" s="159" t="s">
        <v>3857</v>
      </c>
      <c r="D108" s="232" t="s">
        <v>5256</v>
      </c>
      <c r="E108" s="160">
        <f>[10]Summary!E107</f>
        <v>83.2</v>
      </c>
      <c r="F108" s="161">
        <f>[10]Summary!F107</f>
        <v>6</v>
      </c>
      <c r="G108" s="138">
        <f t="shared" si="3"/>
        <v>499.20000000000005</v>
      </c>
      <c r="H108" s="113"/>
    </row>
    <row r="109" spans="1:8" ht="23.25">
      <c r="A109" s="155">
        <v>105</v>
      </c>
      <c r="B109" s="155" t="s">
        <v>3858</v>
      </c>
      <c r="C109" s="155" t="s">
        <v>3859</v>
      </c>
      <c r="D109" s="155" t="s">
        <v>5256</v>
      </c>
      <c r="E109" s="156">
        <f>[10]Summary!E108</f>
        <v>54</v>
      </c>
      <c r="F109" s="157">
        <f>[10]Summary!F108</f>
        <v>72</v>
      </c>
      <c r="G109" s="158">
        <f t="shared" si="3"/>
        <v>3888</v>
      </c>
      <c r="H109" s="155"/>
    </row>
    <row r="110" spans="1:8" ht="23.25">
      <c r="A110" s="81">
        <v>106</v>
      </c>
      <c r="B110" s="159" t="s">
        <v>3860</v>
      </c>
      <c r="C110" s="159" t="s">
        <v>3861</v>
      </c>
      <c r="D110" s="232" t="s">
        <v>5256</v>
      </c>
      <c r="E110" s="160">
        <f>[10]Summary!E109</f>
        <v>37</v>
      </c>
      <c r="F110" s="161">
        <f>[10]Summary!F109</f>
        <v>12</v>
      </c>
      <c r="G110" s="138">
        <f t="shared" si="3"/>
        <v>444</v>
      </c>
      <c r="H110" s="113"/>
    </row>
    <row r="111" spans="1:8" ht="46.5">
      <c r="A111" s="155">
        <v>107</v>
      </c>
      <c r="B111" s="155" t="s">
        <v>3862</v>
      </c>
      <c r="C111" s="155" t="s">
        <v>3863</v>
      </c>
      <c r="D111" s="155" t="s">
        <v>5256</v>
      </c>
      <c r="E111" s="156">
        <f>[10]Summary!E110</f>
        <v>32.256</v>
      </c>
      <c r="F111" s="157">
        <f>[10]Summary!F110</f>
        <v>26</v>
      </c>
      <c r="G111" s="158">
        <f t="shared" si="3"/>
        <v>838.65599999999995</v>
      </c>
      <c r="H111" s="155"/>
    </row>
    <row r="112" spans="1:8" ht="46.5">
      <c r="A112" s="81">
        <v>108</v>
      </c>
      <c r="B112" s="159" t="s">
        <v>3864</v>
      </c>
      <c r="C112" s="159" t="s">
        <v>3865</v>
      </c>
      <c r="D112" s="232" t="s">
        <v>131</v>
      </c>
      <c r="E112" s="160">
        <f>[10]Summary!E111</f>
        <v>0</v>
      </c>
      <c r="F112" s="161">
        <f>[10]Summary!F111</f>
        <v>0</v>
      </c>
      <c r="G112" s="138">
        <f t="shared" si="3"/>
        <v>0</v>
      </c>
      <c r="H112" s="113"/>
    </row>
    <row r="113" spans="1:8" ht="46.5">
      <c r="A113" s="155">
        <v>109</v>
      </c>
      <c r="B113" s="155" t="s">
        <v>3866</v>
      </c>
      <c r="C113" s="155" t="s">
        <v>3867</v>
      </c>
      <c r="D113" s="155" t="s">
        <v>5256</v>
      </c>
      <c r="E113" s="156">
        <f>[10]Summary!E112</f>
        <v>1.2</v>
      </c>
      <c r="F113" s="157">
        <f>[10]Summary!F112</f>
        <v>0</v>
      </c>
      <c r="G113" s="158">
        <f t="shared" si="3"/>
        <v>0</v>
      </c>
      <c r="H113" s="155"/>
    </row>
    <row r="114" spans="1:8" ht="46.5">
      <c r="A114" s="81">
        <v>110</v>
      </c>
      <c r="B114" s="159" t="s">
        <v>3868</v>
      </c>
      <c r="C114" s="159" t="s">
        <v>3869</v>
      </c>
      <c r="D114" s="232" t="s">
        <v>5256</v>
      </c>
      <c r="E114" s="160">
        <f>[10]Summary!E113</f>
        <v>0.13</v>
      </c>
      <c r="F114" s="161">
        <f>[10]Summary!F113</f>
        <v>75</v>
      </c>
      <c r="G114" s="138">
        <f t="shared" si="3"/>
        <v>9.75</v>
      </c>
      <c r="H114" s="113"/>
    </row>
    <row r="115" spans="1:8" ht="46.5">
      <c r="A115" s="155">
        <v>111</v>
      </c>
      <c r="B115" s="155" t="s">
        <v>3870</v>
      </c>
      <c r="C115" s="155" t="s">
        <v>3871</v>
      </c>
      <c r="D115" s="155" t="s">
        <v>5256</v>
      </c>
      <c r="E115" s="156">
        <f>[10]Summary!E114</f>
        <v>6.66</v>
      </c>
      <c r="F115" s="157">
        <f>[10]Summary!F114</f>
        <v>0</v>
      </c>
      <c r="G115" s="158">
        <f t="shared" si="3"/>
        <v>0</v>
      </c>
      <c r="H115" s="155"/>
    </row>
    <row r="116" spans="1:8" ht="23.25">
      <c r="A116" s="81">
        <v>112</v>
      </c>
      <c r="B116" s="159" t="s">
        <v>3872</v>
      </c>
      <c r="C116" s="159" t="s">
        <v>3873</v>
      </c>
      <c r="D116" s="232" t="s">
        <v>5256</v>
      </c>
      <c r="E116" s="160">
        <f>[10]Summary!E115</f>
        <v>84.9</v>
      </c>
      <c r="F116" s="161">
        <f>[10]Summary!F115</f>
        <v>0</v>
      </c>
      <c r="G116" s="138">
        <f t="shared" si="3"/>
        <v>0</v>
      </c>
      <c r="H116" s="113"/>
    </row>
    <row r="117" spans="1:8" ht="23.25">
      <c r="A117" s="155">
        <v>113</v>
      </c>
      <c r="B117" s="155" t="s">
        <v>3874</v>
      </c>
      <c r="C117" s="155" t="s">
        <v>3875</v>
      </c>
      <c r="D117" s="155" t="s">
        <v>5256</v>
      </c>
      <c r="E117" s="156">
        <f>[10]Summary!E116</f>
        <v>35.1</v>
      </c>
      <c r="F117" s="157">
        <f>[10]Summary!F116</f>
        <v>30</v>
      </c>
      <c r="G117" s="158">
        <f t="shared" si="3"/>
        <v>1053</v>
      </c>
      <c r="H117" s="155"/>
    </row>
    <row r="118" spans="1:8" ht="46.5">
      <c r="A118" s="81">
        <v>114</v>
      </c>
      <c r="B118" s="159" t="s">
        <v>3876</v>
      </c>
      <c r="C118" s="159" t="s">
        <v>3877</v>
      </c>
      <c r="D118" s="232" t="s">
        <v>5256</v>
      </c>
      <c r="E118" s="160">
        <f>[10]Summary!E117</f>
        <v>31.2</v>
      </c>
      <c r="F118" s="161">
        <f>[10]Summary!F117</f>
        <v>30</v>
      </c>
      <c r="G118" s="138">
        <f t="shared" si="3"/>
        <v>936</v>
      </c>
      <c r="H118" s="113"/>
    </row>
    <row r="119" spans="1:8" ht="46.5">
      <c r="A119" s="155">
        <v>115</v>
      </c>
      <c r="B119" s="155" t="s">
        <v>3878</v>
      </c>
      <c r="C119" s="155" t="s">
        <v>3879</v>
      </c>
      <c r="D119" s="155" t="s">
        <v>5256</v>
      </c>
      <c r="E119" s="156">
        <f>[10]Summary!E118</f>
        <v>48.84</v>
      </c>
      <c r="F119" s="157">
        <f>[10]Summary!F118</f>
        <v>4</v>
      </c>
      <c r="G119" s="158">
        <f t="shared" si="3"/>
        <v>195.36</v>
      </c>
      <c r="H119" s="155"/>
    </row>
    <row r="120" spans="1:8" ht="46.5">
      <c r="A120" s="81">
        <v>116</v>
      </c>
      <c r="B120" s="159" t="s">
        <v>3880</v>
      </c>
      <c r="C120" s="159" t="s">
        <v>3881</v>
      </c>
      <c r="D120" s="232" t="s">
        <v>5256</v>
      </c>
      <c r="E120" s="160">
        <f>[10]Summary!E119</f>
        <v>52.91</v>
      </c>
      <c r="F120" s="161">
        <f>[10]Summary!F119</f>
        <v>101</v>
      </c>
      <c r="G120" s="138">
        <f t="shared" si="3"/>
        <v>5343.91</v>
      </c>
      <c r="H120" s="113"/>
    </row>
    <row r="121" spans="1:8" ht="46.5">
      <c r="A121" s="155">
        <v>117</v>
      </c>
      <c r="B121" s="155" t="s">
        <v>3882</v>
      </c>
      <c r="C121" s="155" t="s">
        <v>3883</v>
      </c>
      <c r="D121" s="155" t="s">
        <v>5256</v>
      </c>
      <c r="E121" s="156">
        <f>[10]Summary!E120</f>
        <v>52</v>
      </c>
      <c r="F121" s="157">
        <f>[10]Summary!F120</f>
        <v>0</v>
      </c>
      <c r="G121" s="158">
        <f t="shared" si="3"/>
        <v>0</v>
      </c>
      <c r="H121" s="155"/>
    </row>
    <row r="122" spans="1:8" ht="23.25">
      <c r="A122" s="81">
        <v>118</v>
      </c>
      <c r="B122" s="159" t="s">
        <v>3884</v>
      </c>
      <c r="C122" s="159" t="s">
        <v>3885</v>
      </c>
      <c r="D122" s="232" t="s">
        <v>5256</v>
      </c>
      <c r="E122" s="160">
        <f>[10]Summary!E121</f>
        <v>66</v>
      </c>
      <c r="F122" s="161">
        <f>[10]Summary!F121</f>
        <v>0</v>
      </c>
      <c r="G122" s="138">
        <f t="shared" si="3"/>
        <v>0</v>
      </c>
      <c r="H122" s="113"/>
    </row>
    <row r="123" spans="1:8" ht="23.25">
      <c r="A123" s="155">
        <v>119</v>
      </c>
      <c r="B123" s="155" t="s">
        <v>3886</v>
      </c>
      <c r="C123" s="155" t="s">
        <v>3887</v>
      </c>
      <c r="D123" s="155" t="s">
        <v>5256</v>
      </c>
      <c r="E123" s="156">
        <f>[10]Summary!E122</f>
        <v>80</v>
      </c>
      <c r="F123" s="157">
        <f>[10]Summary!F122</f>
        <v>0</v>
      </c>
      <c r="G123" s="158">
        <f t="shared" si="3"/>
        <v>0</v>
      </c>
      <c r="H123" s="155"/>
    </row>
    <row r="124" spans="1:8" ht="46.5">
      <c r="A124" s="81">
        <v>120</v>
      </c>
      <c r="B124" s="159" t="s">
        <v>3880</v>
      </c>
      <c r="C124" s="159" t="s">
        <v>3888</v>
      </c>
      <c r="D124" s="232" t="s">
        <v>5256</v>
      </c>
      <c r="E124" s="160">
        <f>[10]Summary!E123</f>
        <v>46.54</v>
      </c>
      <c r="F124" s="161">
        <f>[10]Summary!F123</f>
        <v>25</v>
      </c>
      <c r="G124" s="138">
        <f t="shared" si="3"/>
        <v>1163.5</v>
      </c>
      <c r="H124" s="113"/>
    </row>
    <row r="125" spans="1:8" ht="46.5">
      <c r="A125" s="155">
        <v>121</v>
      </c>
      <c r="B125" s="155" t="s">
        <v>3889</v>
      </c>
      <c r="C125" s="155" t="s">
        <v>3890</v>
      </c>
      <c r="D125" s="155" t="s">
        <v>5256</v>
      </c>
      <c r="E125" s="156">
        <f>[10]Summary!E124</f>
        <v>22.2</v>
      </c>
      <c r="F125" s="157">
        <f>[10]Summary!F124</f>
        <v>0</v>
      </c>
      <c r="G125" s="158">
        <f t="shared" si="3"/>
        <v>0</v>
      </c>
      <c r="H125" s="155"/>
    </row>
    <row r="126" spans="1:8" ht="46.5">
      <c r="A126" s="81">
        <v>122</v>
      </c>
      <c r="B126" s="159" t="s">
        <v>3889</v>
      </c>
      <c r="C126" s="159" t="s">
        <v>3891</v>
      </c>
      <c r="D126" s="232" t="s">
        <v>5256</v>
      </c>
      <c r="E126" s="160">
        <f>[10]Summary!E125</f>
        <v>24.05</v>
      </c>
      <c r="F126" s="161">
        <f>[10]Summary!F125</f>
        <v>12</v>
      </c>
      <c r="G126" s="138">
        <f t="shared" si="3"/>
        <v>288.60000000000002</v>
      </c>
      <c r="H126" s="113"/>
    </row>
    <row r="127" spans="1:8" ht="23.25">
      <c r="A127" s="155">
        <v>123</v>
      </c>
      <c r="B127" s="155" t="s">
        <v>3892</v>
      </c>
      <c r="C127" s="155" t="s">
        <v>3893</v>
      </c>
      <c r="D127" s="155" t="s">
        <v>5256</v>
      </c>
      <c r="E127" s="156">
        <f>[10]Summary!E126</f>
        <v>17</v>
      </c>
      <c r="F127" s="157">
        <f>[10]Summary!F126</f>
        <v>0</v>
      </c>
      <c r="G127" s="158">
        <f t="shared" si="3"/>
        <v>0</v>
      </c>
      <c r="H127" s="155"/>
    </row>
    <row r="128" spans="1:8" ht="23.25">
      <c r="A128" s="81">
        <v>124</v>
      </c>
      <c r="B128" s="159" t="s">
        <v>3894</v>
      </c>
      <c r="C128" s="159" t="s">
        <v>3895</v>
      </c>
      <c r="D128" s="232" t="s">
        <v>5256</v>
      </c>
      <c r="E128" s="160">
        <f>[10]Summary!E127</f>
        <v>35.200000000000003</v>
      </c>
      <c r="F128" s="161">
        <f>[10]Summary!F127</f>
        <v>0</v>
      </c>
      <c r="G128" s="138">
        <f t="shared" si="3"/>
        <v>0</v>
      </c>
      <c r="H128" s="113"/>
    </row>
    <row r="129" spans="1:8" ht="23.25">
      <c r="A129" s="155">
        <v>125</v>
      </c>
      <c r="B129" s="155" t="s">
        <v>3896</v>
      </c>
      <c r="C129" s="155" t="s">
        <v>3897</v>
      </c>
      <c r="D129" s="155" t="s">
        <v>5256</v>
      </c>
      <c r="E129" s="156">
        <f>[10]Summary!E128</f>
        <v>32.4</v>
      </c>
      <c r="F129" s="157">
        <f>[10]Summary!F128</f>
        <v>0</v>
      </c>
      <c r="G129" s="158">
        <f t="shared" si="3"/>
        <v>0</v>
      </c>
      <c r="H129" s="155"/>
    </row>
    <row r="130" spans="1:8" ht="46.5">
      <c r="A130" s="81">
        <v>126</v>
      </c>
      <c r="B130" s="159" t="s">
        <v>3898</v>
      </c>
      <c r="C130" s="159" t="s">
        <v>3899</v>
      </c>
      <c r="D130" s="232" t="s">
        <v>5256</v>
      </c>
      <c r="E130" s="160">
        <f>[10]Summary!E129</f>
        <v>35.1</v>
      </c>
      <c r="F130" s="161">
        <f>[10]Summary!F129</f>
        <v>0</v>
      </c>
      <c r="G130" s="138">
        <f t="shared" si="3"/>
        <v>0</v>
      </c>
      <c r="H130" s="113"/>
    </row>
    <row r="131" spans="1:8" ht="23.25">
      <c r="A131" s="155">
        <v>127</v>
      </c>
      <c r="B131" s="155" t="s">
        <v>3900</v>
      </c>
      <c r="C131" s="155" t="s">
        <v>3901</v>
      </c>
      <c r="D131" s="155" t="s">
        <v>5256</v>
      </c>
      <c r="E131" s="156">
        <f>[10]Summary!E130</f>
        <v>27.9</v>
      </c>
      <c r="F131" s="157">
        <f>[10]Summary!F130</f>
        <v>0</v>
      </c>
      <c r="G131" s="158">
        <f t="shared" si="3"/>
        <v>0</v>
      </c>
      <c r="H131" s="155"/>
    </row>
    <row r="132" spans="1:8" ht="23.25">
      <c r="A132" s="81">
        <v>128</v>
      </c>
      <c r="B132" s="159" t="s">
        <v>3902</v>
      </c>
      <c r="C132" s="159" t="s">
        <v>3903</v>
      </c>
      <c r="D132" s="232" t="s">
        <v>5256</v>
      </c>
      <c r="E132" s="160">
        <f>[10]Summary!E131</f>
        <v>41.4</v>
      </c>
      <c r="F132" s="161">
        <f>[10]Summary!F131</f>
        <v>0</v>
      </c>
      <c r="G132" s="138">
        <f t="shared" si="3"/>
        <v>0</v>
      </c>
      <c r="H132" s="113"/>
    </row>
    <row r="133" spans="1:8" ht="23.25">
      <c r="A133" s="155">
        <v>129</v>
      </c>
      <c r="B133" s="155" t="s">
        <v>3904</v>
      </c>
      <c r="C133" s="155" t="s">
        <v>3905</v>
      </c>
      <c r="D133" s="155" t="s">
        <v>5256</v>
      </c>
      <c r="E133" s="156">
        <f>[10]Summary!E132</f>
        <v>37</v>
      </c>
      <c r="F133" s="157">
        <f>[10]Summary!F132</f>
        <v>114</v>
      </c>
      <c r="G133" s="158">
        <f t="shared" ref="G133:G164" si="4">F133*E133</f>
        <v>4218</v>
      </c>
      <c r="H133" s="155"/>
    </row>
    <row r="134" spans="1:8" ht="23.25">
      <c r="A134" s="81">
        <v>130</v>
      </c>
      <c r="B134" s="159" t="s">
        <v>3906</v>
      </c>
      <c r="C134" s="159" t="s">
        <v>3907</v>
      </c>
      <c r="D134" s="232" t="s">
        <v>5256</v>
      </c>
      <c r="E134" s="160">
        <f>[10]Summary!E133</f>
        <v>55</v>
      </c>
      <c r="F134" s="161">
        <f>[10]Summary!F133</f>
        <v>0</v>
      </c>
      <c r="G134" s="138">
        <f t="shared" si="4"/>
        <v>0</v>
      </c>
      <c r="H134" s="113"/>
    </row>
    <row r="135" spans="1:8" ht="23.25">
      <c r="A135" s="155">
        <v>131</v>
      </c>
      <c r="B135" s="155" t="s">
        <v>3908</v>
      </c>
      <c r="C135" s="155" t="s">
        <v>3909</v>
      </c>
      <c r="D135" s="155" t="s">
        <v>5256</v>
      </c>
      <c r="E135" s="156">
        <f>[10]Summary!E134</f>
        <v>64.5</v>
      </c>
      <c r="F135" s="157">
        <f>[10]Summary!F134</f>
        <v>0</v>
      </c>
      <c r="G135" s="158">
        <f t="shared" si="4"/>
        <v>0</v>
      </c>
      <c r="H135" s="155"/>
    </row>
    <row r="136" spans="1:8" ht="46.5">
      <c r="A136" s="81">
        <v>132</v>
      </c>
      <c r="B136" s="159" t="s">
        <v>3910</v>
      </c>
      <c r="C136" s="159" t="s">
        <v>3911</v>
      </c>
      <c r="D136" s="232" t="s">
        <v>5256</v>
      </c>
      <c r="E136" s="160">
        <f>[10]Summary!E135</f>
        <v>45.9</v>
      </c>
      <c r="F136" s="161">
        <f>[10]Summary!F135</f>
        <v>133</v>
      </c>
      <c r="G136" s="138">
        <f t="shared" si="4"/>
        <v>6104.7</v>
      </c>
      <c r="H136" s="113"/>
    </row>
    <row r="137" spans="1:8" ht="23.25">
      <c r="A137" s="155">
        <v>133</v>
      </c>
      <c r="B137" s="155" t="s">
        <v>3764</v>
      </c>
      <c r="C137" s="155" t="s">
        <v>3765</v>
      </c>
      <c r="D137" s="155" t="s">
        <v>131</v>
      </c>
      <c r="E137" s="156">
        <f>[10]Summary!E70</f>
        <v>170.1</v>
      </c>
      <c r="F137" s="157">
        <f>[10]Summary!F70</f>
        <v>1</v>
      </c>
      <c r="G137" s="158">
        <f t="shared" si="4"/>
        <v>170.1</v>
      </c>
      <c r="H137" s="155"/>
    </row>
    <row r="138" spans="1:8" ht="23.25">
      <c r="A138" s="81">
        <v>134</v>
      </c>
      <c r="B138" s="155" t="s">
        <v>3676</v>
      </c>
      <c r="C138" s="155" t="s">
        <v>3677</v>
      </c>
      <c r="D138" s="155" t="s">
        <v>131</v>
      </c>
      <c r="E138" s="156">
        <f>[10]Summary!E26</f>
        <v>230</v>
      </c>
      <c r="F138" s="157">
        <f>[10]Summary!F26</f>
        <v>12</v>
      </c>
      <c r="G138" s="158">
        <f t="shared" si="4"/>
        <v>2760</v>
      </c>
      <c r="H138" s="155"/>
    </row>
    <row r="139" spans="1:8" ht="46.5">
      <c r="A139" s="155">
        <v>135</v>
      </c>
      <c r="B139" s="155" t="s">
        <v>3632</v>
      </c>
      <c r="C139" s="155" t="s">
        <v>3916</v>
      </c>
      <c r="D139" s="155" t="s">
        <v>5256</v>
      </c>
      <c r="E139" s="156">
        <f>[10]Summary!E138</f>
        <v>44</v>
      </c>
      <c r="F139" s="157">
        <f>[10]Summary!F138</f>
        <v>0</v>
      </c>
      <c r="G139" s="158">
        <f t="shared" si="4"/>
        <v>0</v>
      </c>
      <c r="H139" s="155"/>
    </row>
    <row r="140" spans="1:8" ht="46.5">
      <c r="A140" s="81">
        <v>136</v>
      </c>
      <c r="B140" s="159" t="s">
        <v>3917</v>
      </c>
      <c r="C140" s="159" t="s">
        <v>3918</v>
      </c>
      <c r="D140" s="232" t="s">
        <v>5256</v>
      </c>
      <c r="E140" s="160">
        <f>[10]Summary!E139</f>
        <v>4</v>
      </c>
      <c r="F140" s="161">
        <f>[10]Summary!F139</f>
        <v>65</v>
      </c>
      <c r="G140" s="138">
        <f t="shared" si="4"/>
        <v>260</v>
      </c>
      <c r="H140" s="113"/>
    </row>
    <row r="141" spans="1:8" ht="23.25">
      <c r="A141" s="155">
        <v>137</v>
      </c>
      <c r="B141" s="155" t="s">
        <v>3919</v>
      </c>
      <c r="C141" s="155" t="s">
        <v>3920</v>
      </c>
      <c r="D141" s="155" t="s">
        <v>5256</v>
      </c>
      <c r="E141" s="156">
        <f>[10]Summary!E140</f>
        <v>5</v>
      </c>
      <c r="F141" s="157">
        <f>[10]Summary!F140</f>
        <v>32</v>
      </c>
      <c r="G141" s="158">
        <f t="shared" si="4"/>
        <v>160</v>
      </c>
      <c r="H141" s="155"/>
    </row>
    <row r="142" spans="1:8" ht="46.5">
      <c r="A142" s="81">
        <v>138</v>
      </c>
      <c r="B142" s="159" t="s">
        <v>3921</v>
      </c>
      <c r="C142" s="159" t="s">
        <v>3922</v>
      </c>
      <c r="D142" s="232" t="s">
        <v>5256</v>
      </c>
      <c r="E142" s="160">
        <f>[10]Summary!E141</f>
        <v>2.1</v>
      </c>
      <c r="F142" s="161">
        <f>[10]Summary!F141</f>
        <v>19</v>
      </c>
      <c r="G142" s="138">
        <f t="shared" si="4"/>
        <v>39.9</v>
      </c>
      <c r="H142" s="113"/>
    </row>
    <row r="143" spans="1:8" ht="46.5">
      <c r="A143" s="155">
        <v>139</v>
      </c>
      <c r="B143" s="155" t="s">
        <v>3923</v>
      </c>
      <c r="C143" s="155" t="s">
        <v>3924</v>
      </c>
      <c r="D143" s="155" t="s">
        <v>5256</v>
      </c>
      <c r="E143" s="156">
        <f>[10]Summary!E142</f>
        <v>3.2</v>
      </c>
      <c r="F143" s="157">
        <f>[10]Summary!F142</f>
        <v>53</v>
      </c>
      <c r="G143" s="158">
        <f t="shared" si="4"/>
        <v>169.60000000000002</v>
      </c>
      <c r="H143" s="155"/>
    </row>
    <row r="144" spans="1:8" ht="23.25">
      <c r="A144" s="81">
        <v>140</v>
      </c>
      <c r="B144" s="155" t="s">
        <v>3736</v>
      </c>
      <c r="C144" s="155" t="s">
        <v>3737</v>
      </c>
      <c r="D144" s="155" t="s">
        <v>131</v>
      </c>
      <c r="E144" s="156">
        <f>[10]Summary!E54</f>
        <v>230</v>
      </c>
      <c r="F144" s="157">
        <f>[10]Summary!F54</f>
        <v>27.700000000000003</v>
      </c>
      <c r="G144" s="158">
        <f t="shared" si="4"/>
        <v>6371.0000000000009</v>
      </c>
      <c r="H144" s="155"/>
    </row>
    <row r="145" spans="1:8" ht="23.25">
      <c r="A145" s="155">
        <v>141</v>
      </c>
      <c r="B145" s="159" t="s">
        <v>3757</v>
      </c>
      <c r="C145" s="159" t="s">
        <v>3763</v>
      </c>
      <c r="D145" s="232" t="s">
        <v>131</v>
      </c>
      <c r="E145" s="160">
        <f>[10]Summary!E69</f>
        <v>230</v>
      </c>
      <c r="F145" s="161">
        <f>[10]Summary!F69</f>
        <v>27.216000000000008</v>
      </c>
      <c r="G145" s="138">
        <f t="shared" si="4"/>
        <v>6259.6800000000021</v>
      </c>
      <c r="H145" s="113"/>
    </row>
    <row r="146" spans="1:8" ht="23.25">
      <c r="A146" s="81">
        <v>142</v>
      </c>
      <c r="B146" s="155" t="s">
        <v>3912</v>
      </c>
      <c r="C146" s="155" t="s">
        <v>3913</v>
      </c>
      <c r="D146" s="155" t="s">
        <v>131</v>
      </c>
      <c r="E146" s="156">
        <f>[10]Summary!E136</f>
        <v>230</v>
      </c>
      <c r="F146" s="157">
        <f>[10]Summary!F136</f>
        <v>7</v>
      </c>
      <c r="G146" s="158">
        <f t="shared" si="4"/>
        <v>1610</v>
      </c>
      <c r="H146" s="155"/>
    </row>
    <row r="147" spans="1:8" ht="46.5">
      <c r="A147" s="155">
        <v>143</v>
      </c>
      <c r="B147" s="155" t="s">
        <v>3931</v>
      </c>
      <c r="C147" s="155" t="s">
        <v>3932</v>
      </c>
      <c r="D147" s="155" t="s">
        <v>5256</v>
      </c>
      <c r="E147" s="156">
        <f>[10]Summary!E146</f>
        <v>0.6</v>
      </c>
      <c r="F147" s="157">
        <f>[10]Summary!F146</f>
        <v>0</v>
      </c>
      <c r="G147" s="158">
        <f t="shared" si="4"/>
        <v>0</v>
      </c>
      <c r="H147" s="155"/>
    </row>
    <row r="148" spans="1:8" ht="46.5">
      <c r="A148" s="81">
        <v>144</v>
      </c>
      <c r="B148" s="159" t="s">
        <v>3933</v>
      </c>
      <c r="C148" s="159" t="s">
        <v>3934</v>
      </c>
      <c r="D148" s="232" t="s">
        <v>5256</v>
      </c>
      <c r="E148" s="160">
        <f>[10]Summary!E147</f>
        <v>51</v>
      </c>
      <c r="F148" s="161">
        <f>[10]Summary!F147</f>
        <v>0</v>
      </c>
      <c r="G148" s="138">
        <f t="shared" si="4"/>
        <v>0</v>
      </c>
      <c r="H148" s="113"/>
    </row>
    <row r="149" spans="1:8" ht="46.5">
      <c r="A149" s="155">
        <v>145</v>
      </c>
      <c r="B149" s="155" t="s">
        <v>3935</v>
      </c>
      <c r="C149" s="155" t="s">
        <v>3936</v>
      </c>
      <c r="D149" s="155" t="s">
        <v>5256</v>
      </c>
      <c r="E149" s="156">
        <f>[10]Summary!E148</f>
        <v>53</v>
      </c>
      <c r="F149" s="157">
        <f>[10]Summary!F148</f>
        <v>0</v>
      </c>
      <c r="G149" s="158">
        <f t="shared" si="4"/>
        <v>0</v>
      </c>
      <c r="H149" s="155"/>
    </row>
    <row r="150" spans="1:8" ht="46.5">
      <c r="A150" s="81">
        <v>146</v>
      </c>
      <c r="B150" s="159" t="s">
        <v>3937</v>
      </c>
      <c r="C150" s="159" t="s">
        <v>3938</v>
      </c>
      <c r="D150" s="232" t="s">
        <v>5256</v>
      </c>
      <c r="E150" s="160">
        <f>[10]Summary!E149</f>
        <v>6</v>
      </c>
      <c r="F150" s="161">
        <f>[10]Summary!F149</f>
        <v>0</v>
      </c>
      <c r="G150" s="138">
        <f t="shared" si="4"/>
        <v>0</v>
      </c>
      <c r="H150" s="113"/>
    </row>
    <row r="151" spans="1:8" ht="46.5">
      <c r="A151" s="155">
        <v>147</v>
      </c>
      <c r="B151" s="155" t="s">
        <v>3939</v>
      </c>
      <c r="C151" s="155" t="s">
        <v>3940</v>
      </c>
      <c r="D151" s="155" t="s">
        <v>5256</v>
      </c>
      <c r="E151" s="156">
        <f>[10]Summary!E150</f>
        <v>17.5</v>
      </c>
      <c r="F151" s="157">
        <f>[10]Summary!F150</f>
        <v>65</v>
      </c>
      <c r="G151" s="158">
        <f t="shared" si="4"/>
        <v>1137.5</v>
      </c>
      <c r="H151" s="155"/>
    </row>
    <row r="152" spans="1:8" ht="46.5">
      <c r="A152" s="81">
        <v>148</v>
      </c>
      <c r="B152" s="159" t="s">
        <v>3941</v>
      </c>
      <c r="C152" s="159" t="s">
        <v>3942</v>
      </c>
      <c r="D152" s="232" t="s">
        <v>5256</v>
      </c>
      <c r="E152" s="160">
        <f>[10]Summary!E151</f>
        <v>17.5</v>
      </c>
      <c r="F152" s="161">
        <f>[10]Summary!F151</f>
        <v>0</v>
      </c>
      <c r="G152" s="138">
        <f t="shared" si="4"/>
        <v>0</v>
      </c>
      <c r="H152" s="113"/>
    </row>
    <row r="153" spans="1:8" ht="23.25">
      <c r="A153" s="155">
        <v>149</v>
      </c>
      <c r="B153" s="155" t="s">
        <v>3945</v>
      </c>
      <c r="C153" s="155" t="s">
        <v>3946</v>
      </c>
      <c r="D153" s="155" t="s">
        <v>5256</v>
      </c>
      <c r="E153" s="156">
        <f>[10]Summary!E152</f>
        <v>3.25</v>
      </c>
      <c r="F153" s="157">
        <f>[10]Summary!F152</f>
        <v>0</v>
      </c>
      <c r="G153" s="158">
        <f t="shared" si="4"/>
        <v>0</v>
      </c>
      <c r="H153" s="155"/>
    </row>
    <row r="154" spans="1:8" ht="23.25">
      <c r="A154" s="81">
        <v>150</v>
      </c>
      <c r="B154" s="159" t="s">
        <v>3947</v>
      </c>
      <c r="C154" s="159" t="s">
        <v>3948</v>
      </c>
      <c r="D154" s="232" t="s">
        <v>5256</v>
      </c>
      <c r="E154" s="160">
        <f>[10]Summary!E153</f>
        <v>2.8</v>
      </c>
      <c r="F154" s="161">
        <f>[10]Summary!F153</f>
        <v>0</v>
      </c>
      <c r="G154" s="138">
        <f t="shared" si="4"/>
        <v>0</v>
      </c>
      <c r="H154" s="113"/>
    </row>
    <row r="155" spans="1:8" ht="23.25">
      <c r="A155" s="155">
        <v>151</v>
      </c>
      <c r="B155" s="155" t="s">
        <v>3949</v>
      </c>
      <c r="C155" s="155" t="s">
        <v>3950</v>
      </c>
      <c r="D155" s="155" t="s">
        <v>5256</v>
      </c>
      <c r="E155" s="156">
        <f>[10]Summary!E154</f>
        <v>7.5</v>
      </c>
      <c r="F155" s="157">
        <f>[10]Summary!F154</f>
        <v>0</v>
      </c>
      <c r="G155" s="158">
        <f t="shared" si="4"/>
        <v>0</v>
      </c>
      <c r="H155" s="155"/>
    </row>
    <row r="156" spans="1:8" ht="23.25">
      <c r="A156" s="81">
        <v>152</v>
      </c>
      <c r="B156" s="159" t="s">
        <v>3951</v>
      </c>
      <c r="C156" s="159" t="s">
        <v>3952</v>
      </c>
      <c r="D156" s="232" t="s">
        <v>5256</v>
      </c>
      <c r="E156" s="160">
        <f>[10]Summary!E155</f>
        <v>2.4</v>
      </c>
      <c r="F156" s="161">
        <f>[10]Summary!F155</f>
        <v>0</v>
      </c>
      <c r="G156" s="138">
        <f t="shared" si="4"/>
        <v>0</v>
      </c>
      <c r="H156" s="113"/>
    </row>
    <row r="157" spans="1:8" ht="23.25">
      <c r="A157" s="155">
        <v>153</v>
      </c>
      <c r="B157" s="155" t="s">
        <v>3953</v>
      </c>
      <c r="C157" s="155" t="s">
        <v>3954</v>
      </c>
      <c r="D157" s="155" t="s">
        <v>131</v>
      </c>
      <c r="E157" s="156">
        <f>[10]Summary!E156</f>
        <v>3</v>
      </c>
      <c r="F157" s="157">
        <f>[10]Summary!F156</f>
        <v>0</v>
      </c>
      <c r="G157" s="158">
        <f t="shared" si="4"/>
        <v>0</v>
      </c>
      <c r="H157" s="155"/>
    </row>
    <row r="158" spans="1:8" ht="23.25">
      <c r="A158" s="81">
        <v>154</v>
      </c>
      <c r="B158" s="159" t="s">
        <v>3955</v>
      </c>
      <c r="C158" s="159" t="s">
        <v>3956</v>
      </c>
      <c r="D158" s="232" t="s">
        <v>5256</v>
      </c>
      <c r="E158" s="160">
        <f>[10]Summary!E157</f>
        <v>14</v>
      </c>
      <c r="F158" s="161">
        <f>[10]Summary!F157</f>
        <v>0</v>
      </c>
      <c r="G158" s="138">
        <f t="shared" si="4"/>
        <v>0</v>
      </c>
      <c r="H158" s="113"/>
    </row>
    <row r="159" spans="1:8" ht="23.25">
      <c r="A159" s="155">
        <v>155</v>
      </c>
      <c r="B159" s="155" t="s">
        <v>3957</v>
      </c>
      <c r="C159" s="155" t="s">
        <v>3958</v>
      </c>
      <c r="D159" s="155" t="s">
        <v>5256</v>
      </c>
      <c r="E159" s="156">
        <f>[10]Summary!E158</f>
        <v>23.75</v>
      </c>
      <c r="F159" s="157">
        <f>[10]Summary!F158</f>
        <v>0</v>
      </c>
      <c r="G159" s="158">
        <f t="shared" si="4"/>
        <v>0</v>
      </c>
      <c r="H159" s="155"/>
    </row>
    <row r="160" spans="1:8" ht="23.25">
      <c r="A160" s="81">
        <v>156</v>
      </c>
      <c r="B160" s="159" t="s">
        <v>3959</v>
      </c>
      <c r="C160" s="159" t="s">
        <v>3960</v>
      </c>
      <c r="D160" s="232" t="s">
        <v>5256</v>
      </c>
      <c r="E160" s="160">
        <f>[10]Summary!E159</f>
        <v>12.6</v>
      </c>
      <c r="F160" s="161">
        <f>[10]Summary!F159</f>
        <v>0</v>
      </c>
      <c r="G160" s="138">
        <f t="shared" si="4"/>
        <v>0</v>
      </c>
      <c r="H160" s="113"/>
    </row>
    <row r="161" spans="1:8" ht="23.25">
      <c r="A161" s="155">
        <v>157</v>
      </c>
      <c r="B161" s="155" t="s">
        <v>3961</v>
      </c>
      <c r="C161" s="155" t="s">
        <v>3962</v>
      </c>
      <c r="D161" s="155" t="s">
        <v>5256</v>
      </c>
      <c r="E161" s="156">
        <f>[10]Summary!E160</f>
        <v>22.5</v>
      </c>
      <c r="F161" s="157">
        <f>[10]Summary!F160</f>
        <v>0</v>
      </c>
      <c r="G161" s="158">
        <f t="shared" si="4"/>
        <v>0</v>
      </c>
      <c r="H161" s="155"/>
    </row>
    <row r="162" spans="1:8" ht="46.5">
      <c r="A162" s="81">
        <v>158</v>
      </c>
      <c r="B162" s="159" t="s">
        <v>3963</v>
      </c>
      <c r="C162" s="159" t="s">
        <v>3964</v>
      </c>
      <c r="D162" s="232" t="s">
        <v>5256</v>
      </c>
      <c r="E162" s="160">
        <f>[10]Summary!E161</f>
        <v>19</v>
      </c>
      <c r="F162" s="161">
        <f>[10]Summary!F161</f>
        <v>0</v>
      </c>
      <c r="G162" s="138">
        <f t="shared" si="4"/>
        <v>0</v>
      </c>
      <c r="H162" s="113"/>
    </row>
    <row r="163" spans="1:8" ht="23.25">
      <c r="A163" s="155">
        <v>159</v>
      </c>
      <c r="B163" s="155" t="s">
        <v>3965</v>
      </c>
      <c r="C163" s="155" t="s">
        <v>3966</v>
      </c>
      <c r="D163" s="155" t="s">
        <v>5256</v>
      </c>
      <c r="E163" s="156">
        <f>[10]Summary!E162</f>
        <v>4.16</v>
      </c>
      <c r="F163" s="157">
        <f>[10]Summary!F162</f>
        <v>0</v>
      </c>
      <c r="G163" s="158">
        <f t="shared" si="4"/>
        <v>0</v>
      </c>
      <c r="H163" s="155"/>
    </row>
    <row r="164" spans="1:8" ht="23.25">
      <c r="A164" s="81">
        <v>160</v>
      </c>
      <c r="B164" s="159" t="s">
        <v>3967</v>
      </c>
      <c r="C164" s="159" t="s">
        <v>3968</v>
      </c>
      <c r="D164" s="232" t="s">
        <v>5256</v>
      </c>
      <c r="E164" s="160">
        <f>[10]Summary!E163</f>
        <v>3.44</v>
      </c>
      <c r="F164" s="161">
        <f>[10]Summary!F163</f>
        <v>0</v>
      </c>
      <c r="G164" s="138">
        <f t="shared" si="4"/>
        <v>0</v>
      </c>
      <c r="H164" s="113"/>
    </row>
    <row r="165" spans="1:8" ht="23.25">
      <c r="A165" s="155">
        <v>161</v>
      </c>
      <c r="B165" s="155" t="s">
        <v>3969</v>
      </c>
      <c r="C165" s="155" t="s">
        <v>3970</v>
      </c>
      <c r="D165" s="155" t="s">
        <v>5256</v>
      </c>
      <c r="E165" s="156">
        <f>[10]Summary!E164</f>
        <v>6.2</v>
      </c>
      <c r="F165" s="157">
        <f>[10]Summary!F164</f>
        <v>0</v>
      </c>
      <c r="G165" s="158">
        <f t="shared" ref="G165:G179" si="5">F165*E165</f>
        <v>0</v>
      </c>
      <c r="H165" s="155"/>
    </row>
    <row r="166" spans="1:8" ht="23.25">
      <c r="A166" s="81">
        <v>162</v>
      </c>
      <c r="B166" s="159" t="s">
        <v>3971</v>
      </c>
      <c r="C166" s="159" t="s">
        <v>3972</v>
      </c>
      <c r="D166" s="232" t="s">
        <v>131</v>
      </c>
      <c r="E166" s="160">
        <f>[10]Summary!E165</f>
        <v>20</v>
      </c>
      <c r="F166" s="161">
        <f>[10]Summary!F165</f>
        <v>0</v>
      </c>
      <c r="G166" s="138">
        <f t="shared" si="5"/>
        <v>0</v>
      </c>
      <c r="H166" s="113"/>
    </row>
    <row r="167" spans="1:8" ht="46.5">
      <c r="A167" s="155">
        <v>163</v>
      </c>
      <c r="B167" s="155" t="s">
        <v>3973</v>
      </c>
      <c r="C167" s="155" t="s">
        <v>3974</v>
      </c>
      <c r="D167" s="155" t="s">
        <v>5256</v>
      </c>
      <c r="E167" s="156">
        <f>[10]Summary!E166</f>
        <v>38</v>
      </c>
      <c r="F167" s="157">
        <f>[10]Summary!F166</f>
        <v>0</v>
      </c>
      <c r="G167" s="158">
        <f t="shared" si="5"/>
        <v>0</v>
      </c>
      <c r="H167" s="155"/>
    </row>
    <row r="168" spans="1:8" ht="46.5">
      <c r="A168" s="81">
        <v>164</v>
      </c>
      <c r="B168" s="159" t="s">
        <v>3975</v>
      </c>
      <c r="C168" s="159" t="s">
        <v>3976</v>
      </c>
      <c r="D168" s="232" t="s">
        <v>5256</v>
      </c>
      <c r="E168" s="160">
        <f>[10]Summary!E167</f>
        <v>9</v>
      </c>
      <c r="F168" s="161">
        <f>[10]Summary!F167</f>
        <v>0</v>
      </c>
      <c r="G168" s="138">
        <f t="shared" si="5"/>
        <v>0</v>
      </c>
      <c r="H168" s="113"/>
    </row>
    <row r="169" spans="1:8" ht="23.25">
      <c r="A169" s="155">
        <v>165</v>
      </c>
      <c r="B169" s="155" t="s">
        <v>3977</v>
      </c>
      <c r="C169" s="155" t="s">
        <v>3978</v>
      </c>
      <c r="D169" s="155" t="s">
        <v>5256</v>
      </c>
      <c r="E169" s="156">
        <f>[10]Summary!E168</f>
        <v>14.5</v>
      </c>
      <c r="F169" s="157">
        <f>[10]Summary!F168</f>
        <v>0</v>
      </c>
      <c r="G169" s="158">
        <f t="shared" si="5"/>
        <v>0</v>
      </c>
      <c r="H169" s="155"/>
    </row>
    <row r="170" spans="1:8" ht="23.25">
      <c r="A170" s="81">
        <v>166</v>
      </c>
      <c r="B170" s="159" t="s">
        <v>3979</v>
      </c>
      <c r="C170" s="159" t="s">
        <v>3980</v>
      </c>
      <c r="D170" s="232" t="s">
        <v>131</v>
      </c>
      <c r="E170" s="160">
        <f>[10]Summary!E169</f>
        <v>23</v>
      </c>
      <c r="F170" s="161">
        <f>[10]Summary!F169</f>
        <v>0</v>
      </c>
      <c r="G170" s="138">
        <f t="shared" si="5"/>
        <v>0</v>
      </c>
      <c r="H170" s="113"/>
    </row>
    <row r="171" spans="1:8" ht="46.5">
      <c r="A171" s="155">
        <v>167</v>
      </c>
      <c r="B171" s="155" t="s">
        <v>3981</v>
      </c>
      <c r="C171" s="155" t="s">
        <v>3982</v>
      </c>
      <c r="D171" s="155" t="s">
        <v>131</v>
      </c>
      <c r="E171" s="156">
        <f>[10]Summary!E170</f>
        <v>1.05</v>
      </c>
      <c r="F171" s="157">
        <f>[10]Summary!F170</f>
        <v>0</v>
      </c>
      <c r="G171" s="158">
        <f t="shared" si="5"/>
        <v>0</v>
      </c>
      <c r="H171" s="155"/>
    </row>
    <row r="172" spans="1:8" ht="23.25">
      <c r="A172" s="81">
        <v>168</v>
      </c>
      <c r="B172" s="159" t="s">
        <v>3983</v>
      </c>
      <c r="C172" s="159" t="s">
        <v>3984</v>
      </c>
      <c r="D172" s="232" t="s">
        <v>5256</v>
      </c>
      <c r="E172" s="160">
        <f>[10]Summary!E171</f>
        <v>35</v>
      </c>
      <c r="F172" s="161">
        <f>[10]Summary!F171</f>
        <v>0</v>
      </c>
      <c r="G172" s="138">
        <f t="shared" si="5"/>
        <v>0</v>
      </c>
      <c r="H172" s="113"/>
    </row>
    <row r="173" spans="1:8" ht="23.25">
      <c r="A173" s="155">
        <v>169</v>
      </c>
      <c r="B173" s="155" t="s">
        <v>3985</v>
      </c>
      <c r="C173" s="155" t="s">
        <v>3986</v>
      </c>
      <c r="D173" s="155" t="s">
        <v>5256</v>
      </c>
      <c r="E173" s="156">
        <f>[10]Summary!E172</f>
        <v>32</v>
      </c>
      <c r="F173" s="157">
        <f>[10]Summary!F172</f>
        <v>13</v>
      </c>
      <c r="G173" s="158">
        <f t="shared" si="5"/>
        <v>416</v>
      </c>
      <c r="H173" s="155"/>
    </row>
    <row r="174" spans="1:8" ht="46.5">
      <c r="A174" s="81">
        <v>170</v>
      </c>
      <c r="B174" s="159" t="s">
        <v>3987</v>
      </c>
      <c r="C174" s="159" t="s">
        <v>3988</v>
      </c>
      <c r="D174" s="232" t="s">
        <v>5256</v>
      </c>
      <c r="E174" s="160">
        <f>[10]Summary!E173</f>
        <v>16</v>
      </c>
      <c r="F174" s="161">
        <f>[10]Summary!F173</f>
        <v>22</v>
      </c>
      <c r="G174" s="138">
        <f t="shared" si="5"/>
        <v>352</v>
      </c>
      <c r="H174" s="113"/>
    </row>
    <row r="175" spans="1:8" ht="46.5">
      <c r="A175" s="155">
        <v>171</v>
      </c>
      <c r="B175" s="155" t="s">
        <v>3943</v>
      </c>
      <c r="C175" s="155" t="s">
        <v>3944</v>
      </c>
      <c r="D175" s="155" t="s">
        <v>5256</v>
      </c>
      <c r="E175" s="156">
        <f>[10]Summary!E174</f>
        <v>16</v>
      </c>
      <c r="F175" s="157">
        <f>[10]Summary!F174</f>
        <v>342</v>
      </c>
      <c r="G175" s="158">
        <f t="shared" si="5"/>
        <v>5472</v>
      </c>
      <c r="H175" s="155"/>
    </row>
    <row r="176" spans="1:8" ht="46.5">
      <c r="A176" s="81">
        <v>172</v>
      </c>
      <c r="B176" s="159" t="s">
        <v>3678</v>
      </c>
      <c r="C176" s="159" t="s">
        <v>3679</v>
      </c>
      <c r="D176" s="232" t="s">
        <v>5256</v>
      </c>
      <c r="E176" s="160">
        <f>[10]Summary!E175</f>
        <v>0</v>
      </c>
      <c r="F176" s="161">
        <f>[10]Summary!F175</f>
        <v>20</v>
      </c>
      <c r="G176" s="138">
        <f t="shared" si="5"/>
        <v>0</v>
      </c>
      <c r="H176" s="113"/>
    </row>
    <row r="177" spans="1:8" ht="46.5">
      <c r="A177" s="155">
        <v>173</v>
      </c>
      <c r="B177" s="155" t="s">
        <v>3678</v>
      </c>
      <c r="C177" s="155" t="s">
        <v>3738</v>
      </c>
      <c r="D177" s="155" t="s">
        <v>5256</v>
      </c>
      <c r="E177" s="156">
        <f>[10]Summary!E176</f>
        <v>0</v>
      </c>
      <c r="F177" s="157">
        <f>[10]Summary!F176</f>
        <v>383</v>
      </c>
      <c r="G177" s="158">
        <f t="shared" si="5"/>
        <v>0</v>
      </c>
      <c r="H177" s="155"/>
    </row>
    <row r="178" spans="1:8" ht="46.5">
      <c r="A178" s="81">
        <v>174</v>
      </c>
      <c r="B178" s="159" t="s">
        <v>3780</v>
      </c>
      <c r="C178" s="159" t="s">
        <v>3781</v>
      </c>
      <c r="D178" s="232" t="s">
        <v>5256</v>
      </c>
      <c r="E178" s="160">
        <f>[10]Summary!E177</f>
        <v>0</v>
      </c>
      <c r="F178" s="161">
        <f>[10]Summary!F177</f>
        <v>67.5</v>
      </c>
      <c r="G178" s="138">
        <f t="shared" si="5"/>
        <v>0</v>
      </c>
      <c r="H178" s="113"/>
    </row>
    <row r="179" spans="1:8" ht="46.5">
      <c r="A179" s="155">
        <v>175</v>
      </c>
      <c r="B179" s="155" t="s">
        <v>5874</v>
      </c>
      <c r="C179" s="155" t="s">
        <v>5875</v>
      </c>
      <c r="D179" s="155" t="s">
        <v>1584</v>
      </c>
      <c r="E179" s="156">
        <f>[10]Summary!E178</f>
        <v>43.2</v>
      </c>
      <c r="F179" s="157">
        <f>[10]Summary!F178</f>
        <v>0</v>
      </c>
      <c r="G179" s="158">
        <f t="shared" si="5"/>
        <v>0</v>
      </c>
      <c r="H179" s="155"/>
    </row>
    <row r="180" spans="1:8" ht="18.75" customHeight="1">
      <c r="A180" s="75"/>
      <c r="B180" s="76"/>
      <c r="C180" s="76"/>
      <c r="D180" s="77"/>
      <c r="F180" s="77"/>
    </row>
    <row r="181" spans="1:8" ht="26.25" customHeight="1">
      <c r="A181" s="270" t="s">
        <v>7</v>
      </c>
      <c r="B181" s="271"/>
      <c r="C181" s="271"/>
      <c r="D181" s="271"/>
      <c r="E181" s="294"/>
      <c r="F181" s="226">
        <f>SUM(F5:F179)</f>
        <v>25176.865999999998</v>
      </c>
      <c r="G181" s="174">
        <f>SUM(G5:G179)</f>
        <v>105199.63700000002</v>
      </c>
    </row>
    <row r="182" spans="1:8" ht="20.25" customHeight="1">
      <c r="A182" s="75"/>
      <c r="B182" s="76"/>
      <c r="C182" s="76"/>
      <c r="D182" s="77"/>
      <c r="F182" s="77"/>
    </row>
    <row r="183" spans="1:8" ht="18.75" customHeight="1">
      <c r="A183" s="75"/>
      <c r="B183" s="76"/>
      <c r="C183" s="76"/>
      <c r="D183" s="77"/>
      <c r="F183" s="77"/>
    </row>
    <row r="184" spans="1:8" ht="20.25" customHeight="1"/>
    <row r="185" spans="1:8" ht="23.25">
      <c r="A185" s="75"/>
      <c r="B185" s="76"/>
      <c r="C185" s="76"/>
      <c r="D185" s="77"/>
      <c r="F185" s="77"/>
    </row>
    <row r="186" spans="1:8" ht="19.5" customHeight="1"/>
    <row r="187" spans="1:8" ht="23.25">
      <c r="A187" s="75"/>
      <c r="B187" s="76"/>
      <c r="C187" s="76"/>
      <c r="D187" s="77"/>
      <c r="F187" s="77"/>
    </row>
    <row r="188" spans="1:8" ht="19.5" customHeight="1"/>
    <row r="189" spans="1:8" ht="23.25">
      <c r="A189" s="75"/>
      <c r="B189" s="76"/>
      <c r="C189" s="76"/>
      <c r="D189" s="77"/>
      <c r="F189" s="77"/>
    </row>
    <row r="190" spans="1:8" ht="19.5" customHeight="1"/>
    <row r="191" spans="1:8" ht="23.25">
      <c r="A191" s="75"/>
      <c r="B191" s="76"/>
      <c r="C191" s="76"/>
      <c r="D191" s="77"/>
      <c r="F191" s="77"/>
    </row>
    <row r="192" spans="1:8" ht="20.25" customHeight="1"/>
    <row r="193" spans="1:6" ht="23.25">
      <c r="A193" s="75"/>
      <c r="B193" s="76"/>
      <c r="C193" s="76"/>
      <c r="D193" s="77"/>
      <c r="F193" s="77"/>
    </row>
    <row r="194" spans="1:6" ht="21.75" customHeight="1"/>
    <row r="195" spans="1:6" ht="23.25">
      <c r="A195" s="75"/>
      <c r="B195" s="76"/>
      <c r="C195" s="76"/>
      <c r="D195" s="77"/>
      <c r="F195" s="77"/>
    </row>
    <row r="196" spans="1:6" ht="21" customHeight="1"/>
    <row r="197" spans="1:6" ht="23.25">
      <c r="A197" s="75"/>
      <c r="B197" s="76"/>
      <c r="C197" s="76"/>
      <c r="D197" s="77"/>
      <c r="F197" s="77"/>
    </row>
    <row r="198" spans="1:6" ht="19.5" customHeight="1"/>
    <row r="199" spans="1:6" ht="23.25">
      <c r="A199" s="75"/>
      <c r="B199" s="76"/>
      <c r="C199" s="76"/>
      <c r="D199" s="77"/>
      <c r="F199" s="77"/>
    </row>
    <row r="200" spans="1:6" ht="21.75" customHeight="1"/>
    <row r="201" spans="1:6" ht="23.25">
      <c r="A201" s="75"/>
      <c r="B201" s="76"/>
      <c r="C201" s="76"/>
      <c r="D201" s="77"/>
      <c r="F201" s="77"/>
    </row>
    <row r="202" spans="1:6" ht="19.5" customHeight="1"/>
    <row r="203" spans="1:6" ht="23.25">
      <c r="A203" s="75"/>
      <c r="B203" s="76"/>
      <c r="C203" s="76"/>
      <c r="D203" s="77"/>
      <c r="F203" s="77"/>
    </row>
    <row r="204" spans="1:6" ht="21.75" customHeight="1"/>
    <row r="205" spans="1:6" ht="23.25">
      <c r="A205" s="75"/>
      <c r="B205" s="76"/>
      <c r="C205" s="76"/>
      <c r="D205" s="77"/>
      <c r="F205" s="77"/>
    </row>
    <row r="206" spans="1:6" ht="23.25" customHeight="1"/>
    <row r="207" spans="1:6" ht="23.25">
      <c r="A207" s="75"/>
      <c r="B207" s="76"/>
      <c r="C207" s="76"/>
      <c r="D207" s="77"/>
      <c r="F207" s="77"/>
    </row>
    <row r="208" spans="1:6" ht="18.75" customHeight="1"/>
    <row r="209" spans="1:6" ht="23.25">
      <c r="A209" s="75"/>
      <c r="B209" s="76"/>
      <c r="C209" s="76"/>
      <c r="D209" s="77"/>
      <c r="F209" s="77"/>
    </row>
    <row r="210" spans="1:6" ht="21" customHeight="1"/>
    <row r="211" spans="1:6" ht="23.25">
      <c r="A211" s="75"/>
      <c r="B211" s="76"/>
      <c r="C211" s="76"/>
      <c r="D211" s="77"/>
      <c r="F211" s="77"/>
    </row>
    <row r="212" spans="1:6" ht="20.25" customHeight="1"/>
    <row r="213" spans="1:6" ht="23.25">
      <c r="A213" s="75"/>
      <c r="B213" s="76"/>
      <c r="C213" s="76"/>
      <c r="D213" s="77"/>
      <c r="F213" s="77"/>
    </row>
    <row r="214" spans="1:6" ht="19.5" customHeight="1"/>
    <row r="215" spans="1:6" ht="23.25">
      <c r="A215" s="75"/>
      <c r="B215" s="76"/>
      <c r="C215" s="76"/>
      <c r="D215" s="77"/>
      <c r="F215" s="77"/>
    </row>
    <row r="216" spans="1:6" ht="21.75" customHeight="1"/>
    <row r="217" spans="1:6" ht="23.25">
      <c r="A217" s="75"/>
      <c r="B217" s="76"/>
      <c r="C217" s="76"/>
      <c r="D217" s="77"/>
      <c r="F217" s="77"/>
    </row>
    <row r="218" spans="1:6" ht="22.5" customHeight="1"/>
    <row r="219" spans="1:6" ht="23.25">
      <c r="A219" s="75"/>
      <c r="B219" s="76"/>
      <c r="C219" s="76"/>
      <c r="D219" s="77"/>
      <c r="F219" s="77"/>
    </row>
    <row r="220" spans="1:6" ht="18.75" customHeight="1"/>
    <row r="221" spans="1:6" ht="23.25">
      <c r="A221" s="75"/>
      <c r="B221" s="76"/>
      <c r="C221" s="76"/>
      <c r="D221" s="77"/>
      <c r="F221" s="77"/>
    </row>
    <row r="222" spans="1:6" ht="18" customHeight="1"/>
    <row r="223" spans="1:6" ht="23.25">
      <c r="A223" s="75"/>
      <c r="B223" s="76"/>
      <c r="C223" s="76"/>
      <c r="D223" s="77"/>
      <c r="F223" s="77"/>
    </row>
    <row r="224" spans="1:6" ht="23.25" customHeight="1"/>
    <row r="225" spans="1:6" ht="23.25">
      <c r="A225" s="75"/>
      <c r="B225" s="76"/>
      <c r="C225" s="76"/>
      <c r="D225" s="77"/>
      <c r="F225" s="77"/>
    </row>
    <row r="226" spans="1:6" ht="19.5" customHeight="1"/>
    <row r="227" spans="1:6" ht="23.25">
      <c r="A227" s="75"/>
      <c r="B227" s="76"/>
      <c r="C227" s="76"/>
      <c r="D227" s="77"/>
      <c r="F227" s="77"/>
    </row>
    <row r="228" spans="1:6" ht="20.25" customHeight="1"/>
    <row r="229" spans="1:6" ht="23.25">
      <c r="A229" s="75"/>
      <c r="B229" s="76"/>
      <c r="C229" s="76"/>
      <c r="D229" s="77"/>
      <c r="F229" s="77"/>
    </row>
    <row r="230" spans="1:6" ht="20.25" customHeight="1"/>
    <row r="231" spans="1:6" ht="23.25">
      <c r="A231" s="75"/>
      <c r="B231" s="76"/>
      <c r="C231" s="76"/>
      <c r="D231" s="77"/>
      <c r="F231" s="77"/>
    </row>
    <row r="232" spans="1:6" ht="18.75" customHeight="1"/>
    <row r="233" spans="1:6" ht="23.25">
      <c r="A233" s="75"/>
      <c r="B233" s="76"/>
      <c r="C233" s="76"/>
      <c r="D233" s="77"/>
      <c r="F233" s="77"/>
    </row>
    <row r="234" spans="1:6" ht="18" customHeight="1"/>
    <row r="235" spans="1:6" ht="23.25">
      <c r="A235" s="75"/>
      <c r="B235" s="76"/>
      <c r="C235" s="76"/>
      <c r="D235" s="77"/>
      <c r="F235" s="77"/>
    </row>
    <row r="236" spans="1:6" ht="19.5" customHeight="1"/>
    <row r="237" spans="1:6" ht="23.25">
      <c r="A237" s="75"/>
      <c r="B237" s="76"/>
      <c r="C237" s="76"/>
      <c r="D237" s="77"/>
      <c r="F237" s="77"/>
    </row>
    <row r="238" spans="1:6" ht="23.25" customHeight="1"/>
    <row r="239" spans="1:6" ht="23.25">
      <c r="A239" s="75"/>
      <c r="B239" s="76"/>
      <c r="C239" s="76"/>
      <c r="D239" s="77"/>
      <c r="F239" s="77"/>
    </row>
    <row r="240" spans="1:6" ht="19.5" customHeight="1"/>
    <row r="241" spans="1:6" ht="23.25">
      <c r="A241" s="75"/>
      <c r="B241" s="76"/>
      <c r="C241" s="76"/>
      <c r="D241" s="77"/>
      <c r="F241" s="77"/>
    </row>
  </sheetData>
  <autoFilter ref="A4:H178" xr:uid="{8018555E-1D2E-4DA7-A07C-D00612C3268D}"/>
  <mergeCells count="3">
    <mergeCell ref="A181:E181"/>
    <mergeCell ref="A3:H3"/>
    <mergeCell ref="A2:H2"/>
  </mergeCells>
  <conditionalFormatting sqref="D6 D8 D10 D12 D14 D16 D18 D20 D22 D24 D26 D28 D30 D32 D34 D36 D38 D40 D42 D44 D46 D48 D50 D52 D54 D56 D58 D60 D62 D64 D66 D68 D70 D72 D74 D76 D78 D80 D82 D84 D86 D88 D90 D92 D94 D96 D98 D100 D102 D104 D106 D108 D110 D112 D114 D116 D118 D120 D122 D124 D126 D128 D130 D132 D134 D136 D138 D140 D142 D144 D146 D148 D150 D152 D154 D156 D158 D160 D162 D164 D166 D168 D170 D172 D174 D176 D178">
    <cfRule type="expression" dxfId="7" priority="3">
      <formula>AND(#REF!&lt;&gt;"",OR(ISNUMBER(SEARCH(#REF!,#REF!,1))))</formula>
    </cfRule>
  </conditionalFormatting>
  <pageMargins left="0.22" right="0.24" top="0.26" bottom="0.08" header="0.3" footer="0.2"/>
  <pageSetup paperSize="9" scale="52"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562B2-143F-42A3-805B-9B04515CF6C9}">
  <sheetPr codeName="Sheet9">
    <pageSetUpPr fitToPage="1"/>
  </sheetPr>
  <dimension ref="A1:H119"/>
  <sheetViews>
    <sheetView zoomScale="70" zoomScaleNormal="70" workbookViewId="0">
      <selection activeCell="I1" sqref="I1:I1048576"/>
    </sheetView>
  </sheetViews>
  <sheetFormatPr defaultRowHeight="15"/>
  <cols>
    <col min="2" max="2" width="30.140625" customWidth="1"/>
    <col min="3" max="3" width="46.28515625" customWidth="1"/>
    <col min="4" max="4" width="12.28515625" customWidth="1"/>
    <col min="5" max="5" width="20.28515625" customWidth="1"/>
    <col min="6" max="6" width="13.28515625" customWidth="1"/>
    <col min="7" max="7" width="31.5703125" customWidth="1"/>
    <col min="8" max="8" width="22.42578125" customWidth="1"/>
  </cols>
  <sheetData>
    <row r="1" spans="1:8" ht="135.75" customHeight="1"/>
    <row r="2" spans="1:8" s="112" customFormat="1" ht="40.5" customHeight="1">
      <c r="A2" s="269">
        <f ca="1">TODAY()</f>
        <v>46123</v>
      </c>
      <c r="B2" s="269"/>
      <c r="C2" s="269"/>
      <c r="D2" s="269"/>
      <c r="E2" s="269"/>
      <c r="F2" s="269"/>
      <c r="G2" s="269"/>
      <c r="H2" s="269"/>
    </row>
    <row r="3" spans="1:8" ht="36" customHeight="1">
      <c r="A3" s="296" t="s">
        <v>3989</v>
      </c>
      <c r="B3" s="297"/>
      <c r="C3" s="297"/>
      <c r="D3" s="297"/>
      <c r="E3" s="297"/>
      <c r="F3" s="297"/>
      <c r="G3" s="297"/>
      <c r="H3" s="298"/>
    </row>
    <row r="4" spans="1:8" ht="105">
      <c r="A4" s="118" t="s">
        <v>0</v>
      </c>
      <c r="B4" s="119" t="s">
        <v>1</v>
      </c>
      <c r="C4" s="119" t="s">
        <v>2</v>
      </c>
      <c r="D4" s="120" t="s">
        <v>129</v>
      </c>
      <c r="E4" s="121" t="s">
        <v>1763</v>
      </c>
      <c r="F4" s="122" t="s">
        <v>130</v>
      </c>
      <c r="G4" s="123" t="s">
        <v>3990</v>
      </c>
      <c r="H4" s="123" t="s">
        <v>1766</v>
      </c>
    </row>
    <row r="5" spans="1:8" ht="23.25">
      <c r="A5" s="124">
        <v>1</v>
      </c>
      <c r="B5" s="125" t="s">
        <v>3991</v>
      </c>
      <c r="C5" s="126" t="s">
        <v>3992</v>
      </c>
      <c r="D5" s="127" t="s">
        <v>5835</v>
      </c>
      <c r="E5" s="128">
        <f>'[11] Helmet Safety MSA	'!$E$42</f>
        <v>5</v>
      </c>
      <c r="F5" s="124">
        <f>'[11] Helmet Safety MSA	'!$I$42</f>
        <v>9</v>
      </c>
      <c r="G5" s="129">
        <f t="shared" ref="G5:G68" si="0">E5*F5</f>
        <v>45</v>
      </c>
      <c r="H5" s="126"/>
    </row>
    <row r="6" spans="1:8" ht="23.25">
      <c r="A6" s="69">
        <v>2</v>
      </c>
      <c r="B6" s="1" t="s">
        <v>3991</v>
      </c>
      <c r="C6" s="1" t="s">
        <v>3993</v>
      </c>
      <c r="D6" s="130" t="s">
        <v>5835</v>
      </c>
      <c r="E6" s="47">
        <f>'[11] Helmet Safety SM905    '!$E$31</f>
        <v>5</v>
      </c>
      <c r="F6" s="69">
        <f>'[11] Helmet Safety SM905    '!$I$31</f>
        <v>0</v>
      </c>
      <c r="G6" s="48">
        <f t="shared" si="0"/>
        <v>0</v>
      </c>
      <c r="H6" s="92"/>
    </row>
    <row r="7" spans="1:8" ht="23.25">
      <c r="A7" s="124">
        <v>3</v>
      </c>
      <c r="B7" s="125" t="s">
        <v>3994</v>
      </c>
      <c r="C7" s="126" t="s">
        <v>3995</v>
      </c>
      <c r="D7" s="127" t="s">
        <v>5835</v>
      </c>
      <c r="E7" s="128">
        <f>'[11] Jersey Barrier Plastic'!$E$31</f>
        <v>55</v>
      </c>
      <c r="F7" s="124">
        <f>'[11] Jersey Barrier Plastic'!$I$31</f>
        <v>0</v>
      </c>
      <c r="G7" s="129">
        <f t="shared" si="0"/>
        <v>0</v>
      </c>
      <c r="H7" s="126"/>
    </row>
    <row r="8" spans="1:8" ht="46.5">
      <c r="A8" s="69">
        <v>4</v>
      </c>
      <c r="B8" s="1" t="s">
        <v>3996</v>
      </c>
      <c r="C8" s="1" t="s">
        <v>3997</v>
      </c>
      <c r="D8" s="130" t="s">
        <v>5835</v>
      </c>
      <c r="E8" s="47">
        <f>'[11] light Recharge For Cone'!$E$31</f>
        <v>18</v>
      </c>
      <c r="F8" s="69">
        <f>'[11] light Recharge For Cone'!$I$31</f>
        <v>0</v>
      </c>
      <c r="G8" s="48">
        <f t="shared" si="0"/>
        <v>0</v>
      </c>
      <c r="H8" s="92"/>
    </row>
    <row r="9" spans="1:8" ht="23.25">
      <c r="A9" s="124">
        <v>5</v>
      </c>
      <c r="B9" s="125" t="s">
        <v>3998</v>
      </c>
      <c r="C9" s="126" t="s">
        <v>3999</v>
      </c>
      <c r="D9" s="127" t="s">
        <v>5835</v>
      </c>
      <c r="E9" s="128">
        <f>'[11] Medical Gloves '!$E$31</f>
        <v>5</v>
      </c>
      <c r="F9" s="124">
        <f>'[11] Medical Gloves '!$I$31</f>
        <v>0</v>
      </c>
      <c r="G9" s="129">
        <f t="shared" si="0"/>
        <v>0</v>
      </c>
      <c r="H9" s="126"/>
    </row>
    <row r="10" spans="1:8" ht="23.25">
      <c r="A10" s="69">
        <v>6</v>
      </c>
      <c r="B10" s="1" t="s">
        <v>4000</v>
      </c>
      <c r="C10" s="1" t="s">
        <v>4001</v>
      </c>
      <c r="D10" s="130" t="s">
        <v>5835</v>
      </c>
      <c r="E10" s="47">
        <f>'[11] Safety lenses Elvex SG-37C'!$E$31</f>
        <v>10</v>
      </c>
      <c r="F10" s="69">
        <f>'[11] Safety lenses Elvex SG-37C'!$I$31</f>
        <v>0</v>
      </c>
      <c r="G10" s="48">
        <f t="shared" si="0"/>
        <v>0</v>
      </c>
      <c r="H10" s="92"/>
    </row>
    <row r="11" spans="1:8" ht="23.25">
      <c r="A11" s="124">
        <v>7</v>
      </c>
      <c r="B11" s="125" t="s">
        <v>4002</v>
      </c>
      <c r="C11" s="126" t="s">
        <v>4003</v>
      </c>
      <c r="D11" s="127" t="s">
        <v>5835</v>
      </c>
      <c r="E11" s="128">
        <f>'[11]Amoxillin 500mg'!$E$57</f>
        <v>2.41</v>
      </c>
      <c r="F11" s="124">
        <f>'[11]Amoxillin 500mg'!$I$57</f>
        <v>0</v>
      </c>
      <c r="G11" s="129">
        <f t="shared" si="0"/>
        <v>0</v>
      </c>
      <c r="H11" s="126"/>
    </row>
    <row r="12" spans="1:8" ht="23.25">
      <c r="A12" s="69">
        <v>8</v>
      </c>
      <c r="B12" s="1" t="s">
        <v>4004</v>
      </c>
      <c r="C12" s="1" t="s">
        <v>4005</v>
      </c>
      <c r="D12" s="130" t="s">
        <v>5835</v>
      </c>
      <c r="E12" s="47">
        <f>'[11]Anaerobex 500mg'!$E$57</f>
        <v>4.13</v>
      </c>
      <c r="F12" s="69">
        <f>'[11]Anaerobex 500mg'!$I$57</f>
        <v>0</v>
      </c>
      <c r="G12" s="48">
        <f t="shared" si="0"/>
        <v>0</v>
      </c>
      <c r="H12" s="92"/>
    </row>
    <row r="13" spans="1:8" ht="23.25">
      <c r="A13" s="124">
        <v>9</v>
      </c>
      <c r="B13" s="125" t="s">
        <v>4006</v>
      </c>
      <c r="C13" s="126" t="s">
        <v>4007</v>
      </c>
      <c r="D13" s="127" t="s">
        <v>5835</v>
      </c>
      <c r="E13" s="128">
        <f>'[11]Apron Welding '!$E$31</f>
        <v>11</v>
      </c>
      <c r="F13" s="124">
        <f>'[11]Apron Welding '!$I$31</f>
        <v>3</v>
      </c>
      <c r="G13" s="129">
        <f t="shared" si="0"/>
        <v>33</v>
      </c>
      <c r="H13" s="126"/>
    </row>
    <row r="14" spans="1:8" ht="23.25">
      <c r="A14" s="69">
        <v>10</v>
      </c>
      <c r="B14" s="1" t="s">
        <v>4008</v>
      </c>
      <c r="C14" s="1" t="s">
        <v>4009</v>
      </c>
      <c r="D14" s="130" t="s">
        <v>5835</v>
      </c>
      <c r="E14" s="47">
        <f>'[11]Azitro 500mg '!$E$31</f>
        <v>2.5</v>
      </c>
      <c r="F14" s="69">
        <f>'[11]Azitro 500mg '!$I$31</f>
        <v>0</v>
      </c>
      <c r="G14" s="48">
        <f t="shared" si="0"/>
        <v>0</v>
      </c>
      <c r="H14" s="92"/>
    </row>
    <row r="15" spans="1:8" ht="23.25">
      <c r="A15" s="124">
        <v>11</v>
      </c>
      <c r="B15" s="125" t="s">
        <v>4010</v>
      </c>
      <c r="C15" s="126" t="s">
        <v>4011</v>
      </c>
      <c r="D15" s="127" t="s">
        <v>5835</v>
      </c>
      <c r="E15" s="128">
        <f>'[11]Big Sticker Alucoband FNC '!$E$31</f>
        <v>22.5</v>
      </c>
      <c r="F15" s="124">
        <f>'[11]Big Sticker Alucoband FNC '!$I$31</f>
        <v>12</v>
      </c>
      <c r="G15" s="129">
        <f t="shared" si="0"/>
        <v>270</v>
      </c>
      <c r="H15" s="126"/>
    </row>
    <row r="16" spans="1:8" ht="23.25">
      <c r="A16" s="69">
        <v>12</v>
      </c>
      <c r="B16" s="1" t="s">
        <v>4012</v>
      </c>
      <c r="C16" s="1" t="s">
        <v>4013</v>
      </c>
      <c r="D16" s="130" t="s">
        <v>5835</v>
      </c>
      <c r="E16" s="47">
        <f>'[11]Black Safety lenses'!$E$42</f>
        <v>2.5</v>
      </c>
      <c r="F16" s="69">
        <f>'[11]Black Safety lenses'!$I$42</f>
        <v>65</v>
      </c>
      <c r="G16" s="48">
        <f t="shared" si="0"/>
        <v>162.5</v>
      </c>
      <c r="H16" s="92"/>
    </row>
    <row r="17" spans="1:8" ht="46.5">
      <c r="A17" s="124">
        <v>13</v>
      </c>
      <c r="B17" s="125" t="s">
        <v>4014</v>
      </c>
      <c r="C17" s="126" t="s">
        <v>4015</v>
      </c>
      <c r="D17" s="127" t="s">
        <v>5835</v>
      </c>
      <c r="E17" s="128">
        <f>'[11]Black+Yellow Glue Sticker	'!$E$116</f>
        <v>2.5</v>
      </c>
      <c r="F17" s="124">
        <f>'[11]Black+Yellow Glue Sticker	'!$I$116</f>
        <v>12</v>
      </c>
      <c r="G17" s="129">
        <f t="shared" si="0"/>
        <v>30</v>
      </c>
      <c r="H17" s="126"/>
    </row>
    <row r="18" spans="1:8" ht="23.25">
      <c r="A18" s="69">
        <v>14</v>
      </c>
      <c r="B18" s="1" t="s">
        <v>4016</v>
      </c>
      <c r="C18" s="1" t="s">
        <v>4017</v>
      </c>
      <c r="D18" s="130" t="s">
        <v>5835</v>
      </c>
      <c r="E18" s="47">
        <f>'[11]Blue Gloves worker'!$E$124</f>
        <v>0.41660000000000003</v>
      </c>
      <c r="F18" s="69">
        <f>'[11]Blue Gloves worker'!$I$124</f>
        <v>384</v>
      </c>
      <c r="G18" s="48">
        <f t="shared" si="0"/>
        <v>159.9744</v>
      </c>
      <c r="H18" s="92"/>
    </row>
    <row r="19" spans="1:8" ht="46.5">
      <c r="A19" s="124">
        <v>15</v>
      </c>
      <c r="B19" s="125" t="s">
        <v>4018</v>
      </c>
      <c r="C19" s="126" t="s">
        <v>4019</v>
      </c>
      <c r="D19" s="127" t="s">
        <v>5835</v>
      </c>
      <c r="E19" s="128">
        <f>'[11]Caution Tape Electrical Orange'!$E$32</f>
        <v>24</v>
      </c>
      <c r="F19" s="124">
        <f>'[11]Caution Tape Electrical Orange'!$I$32</f>
        <v>0</v>
      </c>
      <c r="G19" s="129">
        <f t="shared" si="0"/>
        <v>0</v>
      </c>
      <c r="H19" s="126"/>
    </row>
    <row r="20" spans="1:8" ht="46.5">
      <c r="A20" s="69">
        <v>16</v>
      </c>
      <c r="B20" s="1" t="s">
        <v>4020</v>
      </c>
      <c r="C20" s="1" t="s">
        <v>4021</v>
      </c>
      <c r="D20" s="130" t="s">
        <v>5835</v>
      </c>
      <c r="E20" s="47">
        <f>'[11]Caution Tape Electrical RED'!$E$32</f>
        <v>20</v>
      </c>
      <c r="F20" s="69">
        <f>'[11]Caution Tape Electrical RED'!$I$32</f>
        <v>0</v>
      </c>
      <c r="G20" s="48">
        <f t="shared" si="0"/>
        <v>0</v>
      </c>
      <c r="H20" s="92"/>
    </row>
    <row r="21" spans="1:8" ht="23.25">
      <c r="A21" s="124">
        <v>17</v>
      </c>
      <c r="B21" s="125" t="s">
        <v>4022</v>
      </c>
      <c r="C21" s="126" t="s">
        <v>4023</v>
      </c>
      <c r="D21" s="127" t="s">
        <v>5835</v>
      </c>
      <c r="E21" s="128">
        <f>'[11]Caution Tape Wster Blue'!$E$32</f>
        <v>10</v>
      </c>
      <c r="F21" s="124">
        <f>'[11]Caution Tape Wster Blue'!$I$32</f>
        <v>8</v>
      </c>
      <c r="G21" s="129">
        <f t="shared" si="0"/>
        <v>80</v>
      </c>
      <c r="H21" s="126"/>
    </row>
    <row r="22" spans="1:8" ht="46.5">
      <c r="A22" s="69">
        <v>18</v>
      </c>
      <c r="B22" s="1" t="s">
        <v>4024</v>
      </c>
      <c r="C22" s="1" t="s">
        <v>4025</v>
      </c>
      <c r="D22" s="130" t="s">
        <v>5835</v>
      </c>
      <c r="E22" s="47">
        <f>'[11]Caution Tape Electrical Yellow'!$E$42</f>
        <v>10</v>
      </c>
      <c r="F22" s="69">
        <f>'[11]Caution Tape Electrical Yellow'!$I$42</f>
        <v>9</v>
      </c>
      <c r="G22" s="48">
        <f t="shared" si="0"/>
        <v>90</v>
      </c>
      <c r="H22" s="92"/>
    </row>
    <row r="23" spans="1:8" ht="46.5">
      <c r="A23" s="124">
        <v>19</v>
      </c>
      <c r="B23" s="125" t="s">
        <v>4026</v>
      </c>
      <c r="C23" s="126" t="s">
        <v>4027</v>
      </c>
      <c r="D23" s="127" t="s">
        <v>5835</v>
      </c>
      <c r="E23" s="128">
        <f>'[11]Circular Helmet Safety MSA'!$E$42</f>
        <v>12</v>
      </c>
      <c r="F23" s="124">
        <f>'[11]Circular Helmet Safety MSA'!$I$42</f>
        <v>0</v>
      </c>
      <c r="G23" s="129">
        <f t="shared" si="0"/>
        <v>0</v>
      </c>
      <c r="H23" s="126"/>
    </row>
    <row r="24" spans="1:8" ht="46.5">
      <c r="A24" s="69">
        <v>20</v>
      </c>
      <c r="B24" s="1" t="s">
        <v>4028</v>
      </c>
      <c r="C24" s="1" t="s">
        <v>4029</v>
      </c>
      <c r="D24" s="130" t="s">
        <v>131</v>
      </c>
      <c r="E24" s="47">
        <f>'[11]Device For Check O2 Heart Beat	'!$E$31</f>
        <v>10</v>
      </c>
      <c r="F24" s="69">
        <f>'[11]Device For Check O2 Heart Beat	'!$I$31</f>
        <v>0</v>
      </c>
      <c r="G24" s="48">
        <f t="shared" si="0"/>
        <v>0</v>
      </c>
      <c r="H24" s="92"/>
    </row>
    <row r="25" spans="1:8" ht="46.5">
      <c r="A25" s="124">
        <v>21</v>
      </c>
      <c r="B25" s="125" t="s">
        <v>4030</v>
      </c>
      <c r="C25" s="126" t="s">
        <v>4031</v>
      </c>
      <c r="D25" s="127" t="s">
        <v>5835</v>
      </c>
      <c r="E25" s="128">
        <f>'[11]Disposable Nylon Blue Shoes Cov'!$E$31</f>
        <v>8.3299999999999999E-2</v>
      </c>
      <c r="F25" s="124">
        <f>'[11]Disposable Nylon Blue Shoes Cov'!$I$31</f>
        <v>0</v>
      </c>
      <c r="G25" s="129">
        <f t="shared" si="0"/>
        <v>0</v>
      </c>
      <c r="H25" s="126"/>
    </row>
    <row r="26" spans="1:8" ht="46.5">
      <c r="A26" s="69">
        <v>22</v>
      </c>
      <c r="B26" s="1" t="s">
        <v>4032</v>
      </c>
      <c r="C26" s="1" t="s">
        <v>4033</v>
      </c>
      <c r="D26" s="130" t="s">
        <v>131</v>
      </c>
      <c r="E26" s="47">
        <f>'[11]Disposable Procedural Face Mask'!$E$95</f>
        <v>1.1499999999999999</v>
      </c>
      <c r="F26" s="69">
        <f>'[11]Disposable Procedural Face Mask'!$I$95</f>
        <v>5</v>
      </c>
      <c r="G26" s="48">
        <f t="shared" si="0"/>
        <v>5.75</v>
      </c>
      <c r="H26" s="92"/>
    </row>
    <row r="27" spans="1:8" ht="46.5">
      <c r="A27" s="124">
        <v>23</v>
      </c>
      <c r="B27" s="125" t="s">
        <v>4034</v>
      </c>
      <c r="C27" s="126" t="s">
        <v>4035</v>
      </c>
      <c r="D27" s="127" t="s">
        <v>5835</v>
      </c>
      <c r="E27" s="128">
        <f>'[11]Eagle Sticker 80cm Circular'!$E$31</f>
        <v>20</v>
      </c>
      <c r="F27" s="124">
        <f>'[11]Eagle Sticker 80cm Circular'!$I$31</f>
        <v>0</v>
      </c>
      <c r="G27" s="129">
        <f t="shared" si="0"/>
        <v>0</v>
      </c>
      <c r="H27" s="126"/>
    </row>
    <row r="28" spans="1:8" ht="23.25">
      <c r="A28" s="69">
        <v>24</v>
      </c>
      <c r="B28" s="1" t="s">
        <v>4036</v>
      </c>
      <c r="C28" s="1" t="s">
        <v>4037</v>
      </c>
      <c r="D28" s="130" t="s">
        <v>5835</v>
      </c>
      <c r="E28" s="47">
        <f>'[11]Ear Muff With Extra Thick'!$E$31</f>
        <v>8</v>
      </c>
      <c r="F28" s="69">
        <f>'[11]Ear Muff With Extra Thick'!$I$31</f>
        <v>2</v>
      </c>
      <c r="G28" s="48">
        <f t="shared" si="0"/>
        <v>16</v>
      </c>
      <c r="H28" s="92"/>
    </row>
    <row r="29" spans="1:8" ht="23.25">
      <c r="A29" s="124">
        <v>25</v>
      </c>
      <c r="B29" s="125" t="s">
        <v>4038</v>
      </c>
      <c r="C29" s="126" t="s">
        <v>4039</v>
      </c>
      <c r="D29" s="127" t="s">
        <v>5835</v>
      </c>
      <c r="E29" s="128">
        <f>'[11]Filter Face Mask Painter'!$E$31</f>
        <v>9</v>
      </c>
      <c r="F29" s="124">
        <f>'[11]Filter Face Mask Painter'!$I$31</f>
        <v>0</v>
      </c>
      <c r="G29" s="129">
        <f t="shared" si="0"/>
        <v>0</v>
      </c>
      <c r="H29" s="126"/>
    </row>
    <row r="30" spans="1:8" ht="23.25">
      <c r="A30" s="69">
        <v>26</v>
      </c>
      <c r="B30" s="1" t="s">
        <v>4040</v>
      </c>
      <c r="C30" s="1" t="s">
        <v>4041</v>
      </c>
      <c r="D30" s="130" t="s">
        <v>5835</v>
      </c>
      <c r="E30" s="47">
        <f>'[11]EYE WASH			'!$E$31</f>
        <v>550</v>
      </c>
      <c r="F30" s="69">
        <f>'[11]EYE WASH			'!$I$31</f>
        <v>0</v>
      </c>
      <c r="G30" s="48">
        <f t="shared" si="0"/>
        <v>0</v>
      </c>
      <c r="H30" s="92"/>
    </row>
    <row r="31" spans="1:8" ht="46.5">
      <c r="A31" s="124">
        <v>27</v>
      </c>
      <c r="B31" s="125" t="s">
        <v>4042</v>
      </c>
      <c r="C31" s="126" t="s">
        <v>4043</v>
      </c>
      <c r="D31" s="127" t="s">
        <v>5835</v>
      </c>
      <c r="E31" s="128">
        <f>'[11]Face Mask With filter Painter		'!$E$31</f>
        <v>23</v>
      </c>
      <c r="F31" s="124">
        <f>'[11]Face Mask With filter Painter		'!$I$31</f>
        <v>0</v>
      </c>
      <c r="G31" s="129">
        <f t="shared" si="0"/>
        <v>0</v>
      </c>
      <c r="H31" s="126"/>
    </row>
    <row r="32" spans="1:8" ht="23.25">
      <c r="A32" s="69">
        <v>28</v>
      </c>
      <c r="B32" s="1" t="s">
        <v>4044</v>
      </c>
      <c r="C32" s="1" t="s">
        <v>4045</v>
      </c>
      <c r="D32" s="130" t="s">
        <v>5835</v>
      </c>
      <c r="E32" s="47">
        <f>'[11]Face Msck N95'!$E$26</f>
        <v>4</v>
      </c>
      <c r="F32" s="69">
        <f>'[11]Face Msck N95'!$I$26</f>
        <v>11</v>
      </c>
      <c r="G32" s="48">
        <f t="shared" si="0"/>
        <v>44</v>
      </c>
      <c r="H32" s="92"/>
    </row>
    <row r="33" spans="1:8" ht="23.25">
      <c r="A33" s="124">
        <v>29</v>
      </c>
      <c r="B33" s="125" t="s">
        <v>4046</v>
      </c>
      <c r="C33" s="126" t="s">
        <v>4047</v>
      </c>
      <c r="D33" s="127" t="s">
        <v>5835</v>
      </c>
      <c r="E33" s="128">
        <f>'[11]Face Shild	'!$E$31</f>
        <v>1.0269999999999999</v>
      </c>
      <c r="F33" s="124">
        <f>'[11]Face Shild	'!$I$31</f>
        <v>0</v>
      </c>
      <c r="G33" s="129">
        <f t="shared" si="0"/>
        <v>0</v>
      </c>
      <c r="H33" s="126"/>
    </row>
    <row r="34" spans="1:8" ht="46.5">
      <c r="A34" s="69">
        <v>30</v>
      </c>
      <c r="B34" s="1" t="s">
        <v>5916</v>
      </c>
      <c r="C34" s="1" t="s">
        <v>4048</v>
      </c>
      <c r="D34" s="130" t="s">
        <v>5835</v>
      </c>
      <c r="E34" s="47">
        <f>'[11]Face Shild Grinder With Base '!$E$88</f>
        <v>0</v>
      </c>
      <c r="F34" s="69">
        <f>'[11]Face Shild Grinder With Base '!$I$88</f>
        <v>7</v>
      </c>
      <c r="G34" s="48">
        <f t="shared" si="0"/>
        <v>0</v>
      </c>
      <c r="H34" s="92"/>
    </row>
    <row r="35" spans="1:8" ht="23.25">
      <c r="A35" s="124">
        <v>31</v>
      </c>
      <c r="B35" s="125" t="s">
        <v>4049</v>
      </c>
      <c r="C35" s="126" t="s">
        <v>4050</v>
      </c>
      <c r="D35" s="127" t="s">
        <v>5835</v>
      </c>
      <c r="E35" s="128">
        <f>'[11]Fill Fire Extinguisher '!$E$90</f>
        <v>0</v>
      </c>
      <c r="F35" s="124">
        <f>'[11]Fill Fire Extinguisher '!$I$90</f>
        <v>0</v>
      </c>
      <c r="G35" s="129">
        <f t="shared" si="0"/>
        <v>0</v>
      </c>
      <c r="H35" s="126"/>
    </row>
    <row r="36" spans="1:8" ht="46.5">
      <c r="A36" s="69">
        <v>32</v>
      </c>
      <c r="B36" s="1" t="s">
        <v>4051</v>
      </c>
      <c r="C36" s="1" t="s">
        <v>4052</v>
      </c>
      <c r="D36" s="130" t="s">
        <v>5835</v>
      </c>
      <c r="E36" s="47">
        <f>'[11]Filter Face Mask Painter'!$E$31</f>
        <v>9</v>
      </c>
      <c r="F36" s="69">
        <f>'[11]Filter Face Mask Painter'!$I$31</f>
        <v>0</v>
      </c>
      <c r="G36" s="48">
        <f t="shared" si="0"/>
        <v>0</v>
      </c>
      <c r="H36" s="92"/>
    </row>
    <row r="37" spans="1:8" ht="23.25">
      <c r="A37" s="124">
        <v>33</v>
      </c>
      <c r="B37" s="125" t="s">
        <v>4053</v>
      </c>
      <c r="C37" s="126" t="s">
        <v>4054</v>
      </c>
      <c r="D37" s="127" t="s">
        <v>5835</v>
      </c>
      <c r="E37" s="128">
        <f>'[11]Fire Blanket 1.2 1.8mt'!$E$26</f>
        <v>25</v>
      </c>
      <c r="F37" s="124">
        <f>'[11]Fire Blanket 1.2 1.8mt'!$I$26</f>
        <v>0</v>
      </c>
      <c r="G37" s="129">
        <f t="shared" si="0"/>
        <v>0</v>
      </c>
      <c r="H37" s="126"/>
    </row>
    <row r="38" spans="1:8" ht="23.25">
      <c r="A38" s="69">
        <v>34</v>
      </c>
      <c r="B38" s="1" t="s">
        <v>4055</v>
      </c>
      <c r="C38" s="1" t="s">
        <v>4056</v>
      </c>
      <c r="D38" s="130" t="s">
        <v>5835</v>
      </c>
      <c r="E38" s="47">
        <f>'[11]Fire Extinguisher 1k HBR'!$E$26</f>
        <v>8.5</v>
      </c>
      <c r="F38" s="69">
        <f>'[11]Fire Extinguisher 1k HBR'!$I$26</f>
        <v>0</v>
      </c>
      <c r="G38" s="48">
        <f t="shared" si="0"/>
        <v>0</v>
      </c>
      <c r="H38" s="92"/>
    </row>
    <row r="39" spans="1:8" ht="23.25">
      <c r="A39" s="124">
        <v>35</v>
      </c>
      <c r="B39" s="125" t="s">
        <v>4055</v>
      </c>
      <c r="C39" s="126" t="s">
        <v>4057</v>
      </c>
      <c r="D39" s="127" t="s">
        <v>5835</v>
      </c>
      <c r="E39" s="128">
        <f>'[11]Fire Extinguisher 1k With Hose'!$E$26</f>
        <v>30</v>
      </c>
      <c r="F39" s="124">
        <f>'[11]Fire Extinguisher 1k With Hose'!$I$26</f>
        <v>0</v>
      </c>
      <c r="G39" s="129">
        <f t="shared" si="0"/>
        <v>0</v>
      </c>
      <c r="H39" s="126"/>
    </row>
    <row r="40" spans="1:8" ht="23.25">
      <c r="A40" s="69">
        <v>36</v>
      </c>
      <c r="B40" s="1" t="s">
        <v>4055</v>
      </c>
      <c r="C40" s="1" t="s">
        <v>4058</v>
      </c>
      <c r="D40" s="130" t="s">
        <v>5835</v>
      </c>
      <c r="E40" s="47">
        <f>'[11]Fire Extinguisher 25k '!$E$26</f>
        <v>0</v>
      </c>
      <c r="F40" s="69">
        <f>'[11]Fire Extinguisher 25k '!$I$26</f>
        <v>0</v>
      </c>
      <c r="G40" s="48">
        <f t="shared" si="0"/>
        <v>0</v>
      </c>
      <c r="H40" s="92"/>
    </row>
    <row r="41" spans="1:8" ht="46.5">
      <c r="A41" s="124">
        <v>37</v>
      </c>
      <c r="B41" s="125" t="s">
        <v>4055</v>
      </c>
      <c r="C41" s="126" t="s">
        <v>4059</v>
      </c>
      <c r="D41" s="127" t="s">
        <v>5835</v>
      </c>
      <c r="E41" s="128">
        <f>'[11]Fire Extinguisher 3lt Wet Chemi'!$E$26</f>
        <v>75</v>
      </c>
      <c r="F41" s="124">
        <f>'[11]Fire Extinguisher 3lt Wet Chemi'!$I$26</f>
        <v>0</v>
      </c>
      <c r="G41" s="129">
        <f t="shared" si="0"/>
        <v>0</v>
      </c>
      <c r="H41" s="126"/>
    </row>
    <row r="42" spans="1:8" ht="23.25">
      <c r="A42" s="69">
        <v>38</v>
      </c>
      <c r="B42" s="1" t="s">
        <v>4055</v>
      </c>
      <c r="C42" s="1" t="s">
        <v>4060</v>
      </c>
      <c r="D42" s="130" t="s">
        <v>1602</v>
      </c>
      <c r="E42" s="47">
        <f>'[11]Fire Extinguisher 6 kilo  HBR'!$E$109</f>
        <v>33</v>
      </c>
      <c r="F42" s="69">
        <f>'[11]Fire Extinguisher 6 kilo  HBR'!$I$109</f>
        <v>0</v>
      </c>
      <c r="G42" s="48">
        <f t="shared" si="0"/>
        <v>0</v>
      </c>
      <c r="H42" s="92"/>
    </row>
    <row r="43" spans="1:8" ht="23.25">
      <c r="A43" s="124">
        <v>39</v>
      </c>
      <c r="B43" s="125" t="s">
        <v>4055</v>
      </c>
      <c r="C43" s="126" t="s">
        <v>4061</v>
      </c>
      <c r="D43" s="127" t="s">
        <v>5835</v>
      </c>
      <c r="E43" s="128">
        <f>'[11]Fire Extinguisher 6 kilo SFFECO'!$E$40</f>
        <v>35</v>
      </c>
      <c r="F43" s="124">
        <f>'[11]Fire Extinguisher 6 kilo SFFECO'!$I$40</f>
        <v>0</v>
      </c>
      <c r="G43" s="129">
        <f t="shared" si="0"/>
        <v>0</v>
      </c>
      <c r="H43" s="126"/>
    </row>
    <row r="44" spans="1:8" ht="46.5">
      <c r="A44" s="69">
        <v>40</v>
      </c>
      <c r="B44" s="1" t="s">
        <v>4055</v>
      </c>
      <c r="C44" s="1" t="s">
        <v>4062</v>
      </c>
      <c r="D44" s="130" t="s">
        <v>5835</v>
      </c>
      <c r="E44" s="47">
        <f>'[11]Fire Extinguisher Co2 5k SFFECO'!$E$26</f>
        <v>90</v>
      </c>
      <c r="F44" s="69">
        <f>'[11]Fire Extinguisher Co2 5k SFFECO'!$I$26</f>
        <v>0</v>
      </c>
      <c r="G44" s="48">
        <f t="shared" si="0"/>
        <v>0</v>
      </c>
      <c r="H44" s="92"/>
    </row>
    <row r="45" spans="1:8" ht="23.25">
      <c r="A45" s="124">
        <v>41</v>
      </c>
      <c r="B45" s="125" t="s">
        <v>4055</v>
      </c>
      <c r="C45" s="126" t="s">
        <v>4063</v>
      </c>
      <c r="D45" s="127" t="s">
        <v>5835</v>
      </c>
      <c r="E45" s="128">
        <f>'[11]Fire Extinguisher Co2 6k HBR'!$E$26</f>
        <v>60</v>
      </c>
      <c r="F45" s="124">
        <f>'[11]Fire Extinguisher Co2 6k HBR'!$I$26</f>
        <v>0</v>
      </c>
      <c r="G45" s="129">
        <f t="shared" si="0"/>
        <v>0</v>
      </c>
      <c r="H45" s="126"/>
    </row>
    <row r="46" spans="1:8" ht="46.5">
      <c r="A46" s="69">
        <v>42</v>
      </c>
      <c r="B46" s="1" t="s">
        <v>4055</v>
      </c>
      <c r="C46" s="1" t="s">
        <v>4064</v>
      </c>
      <c r="D46" s="130" t="s">
        <v>5835</v>
      </c>
      <c r="E46" s="47">
        <f>'[11]Fire Extinguisher Foam 25k HBR'!$E$26</f>
        <v>125</v>
      </c>
      <c r="F46" s="69">
        <f>'[11]Fire Extinguisher Foam 25k HBR'!$I$26</f>
        <v>0</v>
      </c>
      <c r="G46" s="48">
        <f t="shared" si="0"/>
        <v>0</v>
      </c>
      <c r="H46" s="92"/>
    </row>
    <row r="47" spans="1:8" ht="23.25">
      <c r="A47" s="124">
        <v>43</v>
      </c>
      <c r="B47" s="125" t="s">
        <v>4065</v>
      </c>
      <c r="C47" s="126" t="s">
        <v>4066</v>
      </c>
      <c r="D47" s="127" t="s">
        <v>5835</v>
      </c>
      <c r="E47" s="128">
        <f>'[11]first aid box			'!$E$42</f>
        <v>18</v>
      </c>
      <c r="F47" s="124">
        <f>'[11]first aid box			'!$I$42</f>
        <v>0</v>
      </c>
      <c r="G47" s="129">
        <f t="shared" si="0"/>
        <v>0</v>
      </c>
      <c r="H47" s="126"/>
    </row>
    <row r="48" spans="1:8" ht="46.5">
      <c r="A48" s="69">
        <v>44</v>
      </c>
      <c r="B48" s="1" t="s">
        <v>4067</v>
      </c>
      <c r="C48" s="1" t="s">
        <v>4068</v>
      </c>
      <c r="D48" s="130" t="s">
        <v>5835</v>
      </c>
      <c r="E48" s="47">
        <f>'[11]Glass Grinder Safety Clear Plas'!$E$39</f>
        <v>2.5</v>
      </c>
      <c r="F48" s="69">
        <f>'[11]Glass Grinder Safety Clear Plas'!$I$39</f>
        <v>0</v>
      </c>
      <c r="G48" s="48">
        <f t="shared" si="0"/>
        <v>0</v>
      </c>
      <c r="H48" s="92"/>
    </row>
    <row r="49" spans="1:8" ht="23.25">
      <c r="A49" s="124">
        <v>45</v>
      </c>
      <c r="B49" s="125" t="s">
        <v>4069</v>
      </c>
      <c r="C49" s="126" t="s">
        <v>4070</v>
      </c>
      <c r="D49" s="127" t="s">
        <v>5835</v>
      </c>
      <c r="E49" s="128">
        <f>'[11]Gloves Defender Medium		'!$E$93</f>
        <v>2.5</v>
      </c>
      <c r="F49" s="124">
        <f>'[11]Gloves Defender Medium		'!$I$93</f>
        <v>20</v>
      </c>
      <c r="G49" s="129">
        <f t="shared" si="0"/>
        <v>50</v>
      </c>
      <c r="H49" s="126"/>
    </row>
    <row r="50" spans="1:8" ht="23.25">
      <c r="A50" s="69">
        <v>46</v>
      </c>
      <c r="B50" s="1" t="s">
        <v>4071</v>
      </c>
      <c r="C50" s="1" t="s">
        <v>4072</v>
      </c>
      <c r="D50" s="130" t="s">
        <v>5835</v>
      </c>
      <c r="E50" s="47">
        <f>'[11]Gloves Nylon	'!$E$31</f>
        <v>0.3</v>
      </c>
      <c r="F50" s="69">
        <f>'[11]Gloves Nylon	'!$I$31</f>
        <v>0</v>
      </c>
      <c r="G50" s="48">
        <f t="shared" si="0"/>
        <v>0</v>
      </c>
      <c r="H50" s="92"/>
    </row>
    <row r="51" spans="1:8" ht="23.25">
      <c r="A51" s="124">
        <v>47</v>
      </c>
      <c r="B51" s="125" t="s">
        <v>4073</v>
      </c>
      <c r="C51" s="126" t="s">
        <v>4074</v>
      </c>
      <c r="D51" s="127" t="s">
        <v>5835</v>
      </c>
      <c r="E51" s="128">
        <f>'[11]Gloves thermal	'!$E$31</f>
        <v>5</v>
      </c>
      <c r="F51" s="124">
        <f>'[11]Gloves thermal	'!$I$31</f>
        <v>0</v>
      </c>
      <c r="G51" s="129">
        <f t="shared" si="0"/>
        <v>0</v>
      </c>
      <c r="H51" s="126"/>
    </row>
    <row r="52" spans="1:8" ht="23.25">
      <c r="A52" s="69">
        <v>48</v>
      </c>
      <c r="B52" s="1" t="s">
        <v>4075</v>
      </c>
      <c r="C52" s="1" t="s">
        <v>4076</v>
      </c>
      <c r="D52" s="130" t="s">
        <v>5835</v>
      </c>
      <c r="E52" s="47">
        <f>'[11]Gloves Worker Dewalt DP670'!$E$31</f>
        <v>6.25</v>
      </c>
      <c r="F52" s="69">
        <f>'[11]Gloves Worker Dewalt DP670'!$I$31</f>
        <v>0</v>
      </c>
      <c r="G52" s="48">
        <f t="shared" si="0"/>
        <v>0</v>
      </c>
      <c r="H52" s="92"/>
    </row>
    <row r="53" spans="1:8" ht="23.25">
      <c r="A53" s="124">
        <v>49</v>
      </c>
      <c r="B53" s="125" t="s">
        <v>4077</v>
      </c>
      <c r="C53" s="126" t="s">
        <v>4078</v>
      </c>
      <c r="D53" s="127" t="s">
        <v>5835</v>
      </c>
      <c r="E53" s="128">
        <f>'[11]Glue Sticker FNC '!$E$57</f>
        <v>1</v>
      </c>
      <c r="F53" s="124">
        <f>'[11]Glue Sticker FNC '!$I$57</f>
        <v>133</v>
      </c>
      <c r="G53" s="129">
        <f t="shared" si="0"/>
        <v>133</v>
      </c>
      <c r="H53" s="126"/>
    </row>
    <row r="54" spans="1:8" ht="23.25">
      <c r="A54" s="69">
        <v>50</v>
      </c>
      <c r="B54" s="1" t="s">
        <v>4079</v>
      </c>
      <c r="C54" s="1" t="s">
        <v>4080</v>
      </c>
      <c r="D54" s="130" t="s">
        <v>5835</v>
      </c>
      <c r="E54" s="47">
        <f>'[11]Green Gloves Worker'!$E$429</f>
        <v>0</v>
      </c>
      <c r="F54" s="69">
        <f>'[11]Green Gloves Worker'!$I$429</f>
        <v>466</v>
      </c>
      <c r="G54" s="48">
        <f t="shared" si="0"/>
        <v>0</v>
      </c>
      <c r="H54" s="92"/>
    </row>
    <row r="55" spans="1:8" ht="23.25">
      <c r="A55" s="124">
        <v>51</v>
      </c>
      <c r="B55" s="125" t="s">
        <v>4081</v>
      </c>
      <c r="C55" s="126" t="s">
        <v>4082</v>
      </c>
      <c r="D55" s="127" t="s">
        <v>5835</v>
      </c>
      <c r="E55" s="128">
        <f>'[11]Gumboots	'!$E$31</f>
        <v>16</v>
      </c>
      <c r="F55" s="124">
        <f>'[11]Gumboots	'!$I$31</f>
        <v>2</v>
      </c>
      <c r="G55" s="129">
        <f t="shared" si="0"/>
        <v>32</v>
      </c>
      <c r="H55" s="126"/>
    </row>
    <row r="56" spans="1:8" ht="23.25">
      <c r="A56" s="69">
        <v>52</v>
      </c>
      <c r="B56" s="1" t="s">
        <v>4083</v>
      </c>
      <c r="C56" s="1" t="s">
        <v>4084</v>
      </c>
      <c r="D56" s="130" t="s">
        <v>5835</v>
      </c>
      <c r="E56" s="47">
        <f>'[11]Hand Operated Siren		'!$E$31</f>
        <v>200</v>
      </c>
      <c r="F56" s="69">
        <f>'[11]Hand Operated Siren		'!$I$31</f>
        <v>0</v>
      </c>
      <c r="G56" s="48">
        <f t="shared" si="0"/>
        <v>0</v>
      </c>
      <c r="H56" s="92"/>
    </row>
    <row r="57" spans="1:8" ht="46.5">
      <c r="A57" s="124">
        <v>53</v>
      </c>
      <c r="B57" s="125" t="s">
        <v>4085</v>
      </c>
      <c r="C57" s="126" t="s">
        <v>4086</v>
      </c>
      <c r="D57" s="127" t="s">
        <v>5835</v>
      </c>
      <c r="E57" s="128">
        <f>'[11]Handle Safety Face Welding	'!$E$40</f>
        <v>3</v>
      </c>
      <c r="F57" s="124">
        <f>'[11]Handle Safety Face Welding	'!$I$40</f>
        <v>3</v>
      </c>
      <c r="G57" s="129">
        <f t="shared" si="0"/>
        <v>9</v>
      </c>
      <c r="H57" s="126"/>
    </row>
    <row r="58" spans="1:8" ht="46.5">
      <c r="A58" s="69">
        <v>54</v>
      </c>
      <c r="B58" s="1" t="s">
        <v>4087</v>
      </c>
      <c r="C58" s="1" t="s">
        <v>4088</v>
      </c>
      <c r="D58" s="130" t="s">
        <v>5835</v>
      </c>
      <c r="E58" s="47">
        <f>'[11]Hzithro-Penk 500mg'!$E$31</f>
        <v>7.0833000000000004</v>
      </c>
      <c r="F58" s="69">
        <f>'[11]Hzithro-Penk 500mg'!$I$31</f>
        <v>0</v>
      </c>
      <c r="G58" s="48">
        <f t="shared" si="0"/>
        <v>0</v>
      </c>
      <c r="H58" s="92"/>
    </row>
    <row r="59" spans="1:8" ht="23.25">
      <c r="A59" s="124">
        <v>55</v>
      </c>
      <c r="B59" s="125" t="s">
        <v>4089</v>
      </c>
      <c r="C59" s="126" t="s">
        <v>4090</v>
      </c>
      <c r="D59" s="127" t="s">
        <v>5835</v>
      </c>
      <c r="E59" s="128">
        <f>'[11]Industrial Safety Jacket'!$E$80</f>
        <v>0</v>
      </c>
      <c r="F59" s="124">
        <f>'[11]Industrial Safety Jacket'!$I$80</f>
        <v>38</v>
      </c>
      <c r="G59" s="129">
        <f t="shared" si="0"/>
        <v>0</v>
      </c>
      <c r="H59" s="126"/>
    </row>
    <row r="60" spans="1:8" ht="23.25">
      <c r="A60" s="69">
        <v>56</v>
      </c>
      <c r="B60" s="1" t="s">
        <v>4091</v>
      </c>
      <c r="C60" s="1" t="s">
        <v>4092</v>
      </c>
      <c r="D60" s="130" t="s">
        <v>5835</v>
      </c>
      <c r="E60" s="47">
        <f>'[11]Kitchen Apron'!$E$26</f>
        <v>8</v>
      </c>
      <c r="F60" s="69">
        <f>'[11]Kitchen Apron'!$I$26</f>
        <v>0</v>
      </c>
      <c r="G60" s="48">
        <f t="shared" si="0"/>
        <v>0</v>
      </c>
      <c r="H60" s="92"/>
    </row>
    <row r="61" spans="1:8" ht="23.25">
      <c r="A61" s="124">
        <v>57</v>
      </c>
      <c r="B61" s="125" t="s">
        <v>4093</v>
      </c>
      <c r="C61" s="126" t="s">
        <v>4094</v>
      </c>
      <c r="D61" s="127" t="s">
        <v>5835</v>
      </c>
      <c r="E61" s="128">
        <f>'[11]Knee Pads '!$E$26</f>
        <v>10</v>
      </c>
      <c r="F61" s="124">
        <f>'[11]Knee Pads '!$I$26</f>
        <v>0</v>
      </c>
      <c r="G61" s="129">
        <f t="shared" si="0"/>
        <v>0</v>
      </c>
      <c r="H61" s="126"/>
    </row>
    <row r="62" spans="1:8" ht="23.25">
      <c r="A62" s="69">
        <v>58</v>
      </c>
      <c r="B62" s="1" t="s">
        <v>4095</v>
      </c>
      <c r="C62" s="1" t="s">
        <v>4096</v>
      </c>
      <c r="D62" s="130" t="s">
        <v>5835</v>
      </c>
      <c r="E62" s="47">
        <f>'[11]Laser Temperature Gauge'!$E$31</f>
        <v>35</v>
      </c>
      <c r="F62" s="69">
        <f>'[11]Laser Temperature Gauge'!$I$31</f>
        <v>0</v>
      </c>
      <c r="G62" s="48">
        <f t="shared" si="0"/>
        <v>0</v>
      </c>
      <c r="H62" s="92"/>
    </row>
    <row r="63" spans="1:8" ht="23.25">
      <c r="A63" s="124">
        <v>59</v>
      </c>
      <c r="B63" s="125" t="s">
        <v>4097</v>
      </c>
      <c r="C63" s="126" t="s">
        <v>4098</v>
      </c>
      <c r="D63" s="127" t="s">
        <v>5835</v>
      </c>
      <c r="E63" s="128">
        <f>'[11]Lift point Sticker	'!$E$69</f>
        <v>1</v>
      </c>
      <c r="F63" s="124">
        <f>'[11]Lift point Sticker	'!$I$69</f>
        <v>2</v>
      </c>
      <c r="G63" s="129">
        <f t="shared" si="0"/>
        <v>2</v>
      </c>
      <c r="H63" s="126"/>
    </row>
    <row r="64" spans="1:8" ht="23.25">
      <c r="A64" s="69">
        <v>60</v>
      </c>
      <c r="B64" s="1" t="s">
        <v>4099</v>
      </c>
      <c r="C64" s="1" t="s">
        <v>4100</v>
      </c>
      <c r="D64" s="130" t="s">
        <v>5835</v>
      </c>
      <c r="E64" s="47">
        <f>'[11]Medical Bandage 10cm'!$E$57</f>
        <v>0.33700000000000002</v>
      </c>
      <c r="F64" s="69">
        <f>'[11]Medical Bandage 10cm'!$I$57</f>
        <v>24</v>
      </c>
      <c r="G64" s="48">
        <f t="shared" si="0"/>
        <v>8.088000000000001</v>
      </c>
      <c r="H64" s="92"/>
    </row>
    <row r="65" spans="1:8" ht="23.25">
      <c r="A65" s="124">
        <v>61</v>
      </c>
      <c r="B65" s="125" t="s">
        <v>4099</v>
      </c>
      <c r="C65" s="126" t="s">
        <v>4101</v>
      </c>
      <c r="D65" s="127" t="s">
        <v>5835</v>
      </c>
      <c r="E65" s="128">
        <f>'[11]Medical Bandage 7.5cm'!$E$57</f>
        <v>0.34</v>
      </c>
      <c r="F65" s="124">
        <f>'[11]Medical Bandage 7.5cm'!$I$57</f>
        <v>12</v>
      </c>
      <c r="G65" s="129">
        <f t="shared" si="0"/>
        <v>4.08</v>
      </c>
      <c r="H65" s="126"/>
    </row>
    <row r="66" spans="1:8" ht="23.25">
      <c r="A66" s="69">
        <v>62</v>
      </c>
      <c r="B66" s="1" t="s">
        <v>4102</v>
      </c>
      <c r="C66" s="1" t="s">
        <v>4103</v>
      </c>
      <c r="D66" s="130" t="s">
        <v>5835</v>
      </c>
      <c r="E66" s="47">
        <f>'[11]Medical Gauze 10 10cm'!$E$57</f>
        <v>1.36</v>
      </c>
      <c r="F66" s="69">
        <f>'[11]Medical Gauze 10 10cm'!$I$57</f>
        <v>0</v>
      </c>
      <c r="G66" s="48">
        <f t="shared" si="0"/>
        <v>0</v>
      </c>
      <c r="H66" s="92"/>
    </row>
    <row r="67" spans="1:8" ht="23.25">
      <c r="A67" s="124">
        <v>63</v>
      </c>
      <c r="B67" s="125" t="s">
        <v>4104</v>
      </c>
      <c r="C67" s="126" t="s">
        <v>4105</v>
      </c>
      <c r="D67" s="127" t="s">
        <v>5835</v>
      </c>
      <c r="E67" s="128">
        <f>'[11]Medical Gloves Black'!$E$31</f>
        <v>12.5</v>
      </c>
      <c r="F67" s="124">
        <f>'[11]Medical Gloves Black'!$I$31</f>
        <v>0</v>
      </c>
      <c r="G67" s="129">
        <f t="shared" si="0"/>
        <v>0</v>
      </c>
      <c r="H67" s="126"/>
    </row>
    <row r="68" spans="1:8" ht="23.25">
      <c r="A68" s="69">
        <v>64</v>
      </c>
      <c r="B68" s="1" t="s">
        <v>4106</v>
      </c>
      <c r="C68" s="1" t="s">
        <v>4107</v>
      </c>
      <c r="D68" s="130" t="s">
        <v>5835</v>
      </c>
      <c r="E68" s="47">
        <f>'[11]Medical Tape Octamed 10cm'!$E$57</f>
        <v>3.38</v>
      </c>
      <c r="F68" s="69">
        <f>'[11]Medical Tape Octamed 10cm'!$I$57</f>
        <v>0</v>
      </c>
      <c r="G68" s="48">
        <f t="shared" si="0"/>
        <v>0</v>
      </c>
      <c r="H68" s="92"/>
    </row>
    <row r="69" spans="1:8" ht="23.25">
      <c r="A69" s="124">
        <v>65</v>
      </c>
      <c r="B69" s="125" t="s">
        <v>4108</v>
      </c>
      <c r="C69" s="126" t="s">
        <v>4109</v>
      </c>
      <c r="D69" s="127" t="s">
        <v>5835</v>
      </c>
      <c r="E69" s="128">
        <f>'[11]Oxemas 500mg'!$E$31</f>
        <v>8.9499999999999993</v>
      </c>
      <c r="F69" s="124">
        <f>'[11]Oxemas 500mg'!$I$31</f>
        <v>0</v>
      </c>
      <c r="G69" s="129">
        <f t="shared" ref="G69:G117" si="1">E69*F69</f>
        <v>0</v>
      </c>
      <c r="H69" s="126"/>
    </row>
    <row r="70" spans="1:8" ht="23.25">
      <c r="A70" s="69">
        <v>66</v>
      </c>
      <c r="B70" s="1" t="s">
        <v>4110</v>
      </c>
      <c r="C70" s="1" t="s">
        <v>4111</v>
      </c>
      <c r="D70" s="130" t="s">
        <v>5835</v>
      </c>
      <c r="E70" s="47">
        <f>[11]Paracetamol!$E$31</f>
        <v>0.33700000000000002</v>
      </c>
      <c r="F70" s="69">
        <f>[11]Paracetamol!$I$31</f>
        <v>0</v>
      </c>
      <c r="G70" s="48">
        <f t="shared" si="1"/>
        <v>0</v>
      </c>
      <c r="H70" s="92"/>
    </row>
    <row r="71" spans="1:8" ht="46.5">
      <c r="A71" s="124">
        <v>67</v>
      </c>
      <c r="B71" s="125" t="s">
        <v>4112</v>
      </c>
      <c r="C71" s="126" t="s">
        <v>4113</v>
      </c>
      <c r="D71" s="127" t="s">
        <v>5835</v>
      </c>
      <c r="E71" s="128">
        <f>'[11]Plastic Chain Safety 6mm 25mt '!$E$31</f>
        <v>12</v>
      </c>
      <c r="F71" s="124">
        <f>'[11]Plastic Chain Safety 6mm 25mt '!$I$31</f>
        <v>7</v>
      </c>
      <c r="G71" s="129">
        <f t="shared" si="1"/>
        <v>84</v>
      </c>
      <c r="H71" s="126"/>
    </row>
    <row r="72" spans="1:8" ht="23.25">
      <c r="A72" s="69">
        <v>68</v>
      </c>
      <c r="B72" s="1" t="s">
        <v>4114</v>
      </c>
      <c r="C72" s="1" t="s">
        <v>4115</v>
      </c>
      <c r="D72" s="130" t="s">
        <v>5835</v>
      </c>
      <c r="E72" s="47">
        <f>'[11]Plastic Mesh Orange'!$E$26</f>
        <v>16</v>
      </c>
      <c r="F72" s="69">
        <f>'[11]Plastic Mesh Orange'!$I$26</f>
        <v>6</v>
      </c>
      <c r="G72" s="48">
        <f t="shared" si="1"/>
        <v>96</v>
      </c>
      <c r="H72" s="92"/>
    </row>
    <row r="73" spans="1:8" ht="46.5">
      <c r="A73" s="124">
        <v>69</v>
      </c>
      <c r="B73" s="125" t="str">
        <f>'[11]Plastic Rebar Safety Cap '!$L$4</f>
        <v xml:space="preserve">قبغ بلاستيك برتقالي لشيش تسليح </v>
      </c>
      <c r="C73" s="126" t="s">
        <v>4116</v>
      </c>
      <c r="D73" s="127" t="s">
        <v>5835</v>
      </c>
      <c r="E73" s="128">
        <f>'[11]Plastic Rebar Safety Cap '!$E$31</f>
        <v>0.18</v>
      </c>
      <c r="F73" s="124">
        <f>'[11]Plastic Rebar Safety Cap '!$I$31</f>
        <v>1734</v>
      </c>
      <c r="G73" s="129">
        <f t="shared" si="1"/>
        <v>312.12</v>
      </c>
      <c r="H73" s="126"/>
    </row>
    <row r="74" spans="1:8" ht="46.5">
      <c r="A74" s="69">
        <v>70</v>
      </c>
      <c r="B74" s="1" t="s">
        <v>4117</v>
      </c>
      <c r="C74" s="1" t="s">
        <v>4118</v>
      </c>
      <c r="D74" s="130" t="s">
        <v>5835</v>
      </c>
      <c r="E74" s="47">
        <f>'[11]Rain Suit AAA	'!$E$40</f>
        <v>6</v>
      </c>
      <c r="F74" s="69">
        <f>'[11]Rain Suit AAA	'!$I$40</f>
        <v>39</v>
      </c>
      <c r="G74" s="48">
        <f t="shared" si="1"/>
        <v>234</v>
      </c>
      <c r="H74" s="92"/>
    </row>
    <row r="75" spans="1:8" ht="23.25">
      <c r="A75" s="124">
        <v>71</v>
      </c>
      <c r="B75" s="125" t="s">
        <v>4119</v>
      </c>
      <c r="C75" s="126" t="s">
        <v>4120</v>
      </c>
      <c r="D75" s="127" t="s">
        <v>5835</v>
      </c>
      <c r="E75" s="128">
        <f>'[11]Rain Suit AAA Two Piece	'!$E$40</f>
        <v>11</v>
      </c>
      <c r="F75" s="124">
        <f>'[11]Rain Suit AAA Two Piece	'!$I$40</f>
        <v>0</v>
      </c>
      <c r="G75" s="129">
        <f t="shared" si="1"/>
        <v>0</v>
      </c>
      <c r="H75" s="126"/>
    </row>
    <row r="76" spans="1:8" ht="23.25">
      <c r="A76" s="69">
        <v>72</v>
      </c>
      <c r="B76" s="1" t="s">
        <v>4121</v>
      </c>
      <c r="C76" s="1" t="s">
        <v>4122</v>
      </c>
      <c r="D76" s="130" t="s">
        <v>5835</v>
      </c>
      <c r="E76" s="47">
        <f>'[11]Rivotril 0.5mg '!$E$31</f>
        <v>17.91</v>
      </c>
      <c r="F76" s="69">
        <f>'[11]Rivotril 0.5mg '!$I$31</f>
        <v>0</v>
      </c>
      <c r="G76" s="48">
        <f t="shared" si="1"/>
        <v>0</v>
      </c>
      <c r="H76" s="92"/>
    </row>
    <row r="77" spans="1:8" ht="23.25">
      <c r="A77" s="124">
        <v>73</v>
      </c>
      <c r="B77" s="125" t="s">
        <v>4123</v>
      </c>
      <c r="C77" s="126" t="s">
        <v>4124</v>
      </c>
      <c r="D77" s="127" t="s">
        <v>5835</v>
      </c>
      <c r="E77" s="128">
        <f>'[11]Rope Tough Guyline GT'!$E$31</f>
        <v>55</v>
      </c>
      <c r="F77" s="124">
        <f>'[11]Rope Tough Guyline GT'!$I$31</f>
        <v>0</v>
      </c>
      <c r="G77" s="129">
        <f t="shared" si="1"/>
        <v>0</v>
      </c>
      <c r="H77" s="126"/>
    </row>
    <row r="78" spans="1:8" ht="23.25">
      <c r="A78" s="69">
        <v>74</v>
      </c>
      <c r="B78" s="1" t="s">
        <v>4125</v>
      </c>
      <c r="C78" s="1" t="s">
        <v>4126</v>
      </c>
      <c r="D78" s="130" t="s">
        <v>5835</v>
      </c>
      <c r="E78" s="47">
        <f>'[11]Rubber Gloves Worker 	'!$E$249</f>
        <v>0</v>
      </c>
      <c r="F78" s="69">
        <f>'[11]Rubber Gloves Worker 	'!$I$249</f>
        <v>73</v>
      </c>
      <c r="G78" s="48">
        <f t="shared" si="1"/>
        <v>0</v>
      </c>
      <c r="H78" s="92"/>
    </row>
    <row r="79" spans="1:8" ht="46.5">
      <c r="A79" s="124">
        <v>75</v>
      </c>
      <c r="B79" s="125" t="s">
        <v>4127</v>
      </c>
      <c r="C79" s="126" t="s">
        <v>4128</v>
      </c>
      <c r="D79" s="127" t="s">
        <v>5835</v>
      </c>
      <c r="E79" s="128">
        <f>'[11]Safety Cone With Light		'!$E$31</f>
        <v>33</v>
      </c>
      <c r="F79" s="124">
        <f>'[11]Safety Cone With Light		'!$I$31</f>
        <v>0</v>
      </c>
      <c r="G79" s="129">
        <f t="shared" si="1"/>
        <v>0</v>
      </c>
      <c r="H79" s="126"/>
    </row>
    <row r="80" spans="1:8" ht="23.25">
      <c r="A80" s="69">
        <v>76</v>
      </c>
      <c r="B80" s="1" t="s">
        <v>4129</v>
      </c>
      <c r="C80" s="1" t="s">
        <v>4130</v>
      </c>
      <c r="D80" s="130" t="s">
        <v>5835</v>
      </c>
      <c r="E80" s="47">
        <f>'[11]Safety Ear plug	'!$E$45</f>
        <v>0.35</v>
      </c>
      <c r="F80" s="69">
        <f>'[11]Safety Ear plug	'!$I$45</f>
        <v>397</v>
      </c>
      <c r="G80" s="48">
        <f t="shared" si="1"/>
        <v>138.94999999999999</v>
      </c>
      <c r="H80" s="92"/>
    </row>
    <row r="81" spans="1:8" ht="23.25">
      <c r="A81" s="124">
        <v>77</v>
      </c>
      <c r="B81" s="125" t="str">
        <f>'[11]Safety Jacket'!$L$4</f>
        <v xml:space="preserve">يلك سيفتي صيني  </v>
      </c>
      <c r="C81" s="126" t="s">
        <v>4131</v>
      </c>
      <c r="D81" s="127" t="s">
        <v>5835</v>
      </c>
      <c r="E81" s="128">
        <f>'[11]Safety Jacket'!$E$46</f>
        <v>1.5</v>
      </c>
      <c r="F81" s="124">
        <f>'[11]Safety Jacket'!$I$46</f>
        <v>0</v>
      </c>
      <c r="G81" s="129">
        <f t="shared" si="1"/>
        <v>0</v>
      </c>
      <c r="H81" s="126"/>
    </row>
    <row r="82" spans="1:8" ht="46.5">
      <c r="A82" s="69">
        <v>78</v>
      </c>
      <c r="B82" s="1" t="s">
        <v>4132</v>
      </c>
      <c r="C82" s="1" t="s">
        <v>4133</v>
      </c>
      <c r="D82" s="130" t="s">
        <v>5835</v>
      </c>
      <c r="E82" s="47">
        <f>'[11]safety jacket Different sizes	'!$E$31</f>
        <v>25</v>
      </c>
      <c r="F82" s="69">
        <f>'[11]safety jacket Different sizes	'!$I$31</f>
        <v>0</v>
      </c>
      <c r="G82" s="48">
        <f t="shared" si="1"/>
        <v>0</v>
      </c>
      <c r="H82" s="92"/>
    </row>
    <row r="83" spans="1:8" ht="23.25">
      <c r="A83" s="124">
        <v>79</v>
      </c>
      <c r="B83" s="125" t="s">
        <v>4000</v>
      </c>
      <c r="C83" s="126" t="s">
        <v>4134</v>
      </c>
      <c r="D83" s="127" t="s">
        <v>5835</v>
      </c>
      <c r="E83" s="128">
        <f>'[11]Safety lenses'!$E$68</f>
        <v>2.5</v>
      </c>
      <c r="F83" s="124">
        <f>'[11]Safety lenses'!$I$68</f>
        <v>88</v>
      </c>
      <c r="G83" s="129">
        <f t="shared" si="1"/>
        <v>220</v>
      </c>
      <c r="H83" s="126"/>
    </row>
    <row r="84" spans="1:8" ht="23.25">
      <c r="A84" s="69">
        <v>80</v>
      </c>
      <c r="B84" s="1" t="s">
        <v>4135</v>
      </c>
      <c r="C84" s="1" t="s">
        <v>4136</v>
      </c>
      <c r="D84" s="130" t="s">
        <v>5835</v>
      </c>
      <c r="E84" s="47">
        <f>'[11]Safety Reel 4mm 15 m'!$E$24</f>
        <v>365</v>
      </c>
      <c r="F84" s="69">
        <f>'[11]Safety Reel 4mm 15 m'!$I$24</f>
        <v>0</v>
      </c>
      <c r="G84" s="48">
        <f t="shared" si="1"/>
        <v>0</v>
      </c>
      <c r="H84" s="92"/>
    </row>
    <row r="85" spans="1:8" ht="23.25">
      <c r="A85" s="124">
        <v>81</v>
      </c>
      <c r="B85" s="125" t="s">
        <v>4137</v>
      </c>
      <c r="C85" s="126" t="s">
        <v>4138</v>
      </c>
      <c r="D85" s="127" t="s">
        <v>131</v>
      </c>
      <c r="E85" s="128">
        <f>'[11]Safety Shoes	'!$E$145</f>
        <v>18</v>
      </c>
      <c r="F85" s="124">
        <f>'[11]Safety Shoes	'!$I$145</f>
        <v>0</v>
      </c>
      <c r="G85" s="129">
        <f t="shared" si="1"/>
        <v>0</v>
      </c>
      <c r="H85" s="126"/>
    </row>
    <row r="86" spans="1:8" ht="23.25">
      <c r="A86" s="69">
        <v>82</v>
      </c>
      <c r="B86" s="1" t="s">
        <v>4137</v>
      </c>
      <c r="C86" s="1" t="s">
        <v>4139</v>
      </c>
      <c r="D86" s="130"/>
      <c r="E86" s="47">
        <f>'[11]Safety Shoes BA	'!$E$38</f>
        <v>18</v>
      </c>
      <c r="F86" s="69">
        <f>'[11]Safety Shoes BA	'!$I$38</f>
        <v>0</v>
      </c>
      <c r="G86" s="48">
        <f t="shared" si="1"/>
        <v>0</v>
      </c>
      <c r="H86" s="92"/>
    </row>
    <row r="87" spans="1:8" ht="23.25">
      <c r="A87" s="124">
        <v>83</v>
      </c>
      <c r="B87" s="125" t="s">
        <v>4137</v>
      </c>
      <c r="C87" s="126" t="s">
        <v>4140</v>
      </c>
      <c r="D87" s="127" t="s">
        <v>5835</v>
      </c>
      <c r="E87" s="128">
        <f>'[11]Safety Shoes Wurth	'!$E$97</f>
        <v>0</v>
      </c>
      <c r="F87" s="124">
        <f>'[11]Safety Shoes Wurth	'!$I$97</f>
        <v>0</v>
      </c>
      <c r="G87" s="129">
        <f t="shared" si="1"/>
        <v>0</v>
      </c>
      <c r="H87" s="126"/>
    </row>
    <row r="88" spans="1:8" ht="23.25">
      <c r="A88" s="69">
        <v>84</v>
      </c>
      <c r="B88" s="1" t="s">
        <v>4141</v>
      </c>
      <c r="C88" s="1" t="s">
        <v>4142</v>
      </c>
      <c r="D88" s="130" t="s">
        <v>5835</v>
      </c>
      <c r="E88" s="47">
        <f>'[11]Safety Suit Empiral '!$E$88</f>
        <v>0</v>
      </c>
      <c r="F88" s="69">
        <f>'[11]Safety Suit Empiral '!$I$88</f>
        <v>0</v>
      </c>
      <c r="G88" s="48">
        <f t="shared" si="1"/>
        <v>0</v>
      </c>
      <c r="H88" s="92"/>
    </row>
    <row r="89" spans="1:8" ht="23.25">
      <c r="A89" s="124">
        <v>85</v>
      </c>
      <c r="B89" s="125" t="s">
        <v>4143</v>
      </c>
      <c r="C89" s="126" t="s">
        <v>4144</v>
      </c>
      <c r="D89" s="127" t="s">
        <v>5835</v>
      </c>
      <c r="E89" s="128">
        <f>'[11]Safety Suit Storm'!$E$51</f>
        <v>20</v>
      </c>
      <c r="F89" s="124">
        <f>'[11]Safety Suit Storm'!$I$51</f>
        <v>0</v>
      </c>
      <c r="G89" s="129">
        <f t="shared" si="1"/>
        <v>0</v>
      </c>
      <c r="H89" s="126"/>
    </row>
    <row r="90" spans="1:8" ht="46.5">
      <c r="A90" s="69">
        <v>86</v>
      </c>
      <c r="B90" s="1" t="s">
        <v>4145</v>
      </c>
      <c r="C90" s="1" t="s">
        <v>4146</v>
      </c>
      <c r="D90" s="130" t="s">
        <v>5835</v>
      </c>
      <c r="E90" s="47">
        <f>'[11]Sand Knit &amp;Wear EyeProtection'!$E$31</f>
        <v>0</v>
      </c>
      <c r="F90" s="69">
        <f>'[11]Sand Knit &amp;Wear EyeProtection'!$I$31</f>
        <v>0</v>
      </c>
      <c r="G90" s="48">
        <f t="shared" si="1"/>
        <v>0</v>
      </c>
      <c r="H90" s="92"/>
    </row>
    <row r="91" spans="1:8" ht="23.25">
      <c r="A91" s="124">
        <v>87</v>
      </c>
      <c r="B91" s="125" t="s">
        <v>4147</v>
      </c>
      <c r="C91" s="126" t="s">
        <v>4148</v>
      </c>
      <c r="D91" s="127" t="s">
        <v>5835</v>
      </c>
      <c r="E91" s="128">
        <f>'[11]Sefety Cone	'!$E$33</f>
        <v>7</v>
      </c>
      <c r="F91" s="124">
        <f>'[11]Sefety Cone	'!$I$33</f>
        <v>9</v>
      </c>
      <c r="G91" s="129">
        <f t="shared" si="1"/>
        <v>63</v>
      </c>
      <c r="H91" s="126"/>
    </row>
    <row r="92" spans="1:8" ht="23.25">
      <c r="A92" s="69">
        <v>88</v>
      </c>
      <c r="B92" s="1" t="s">
        <v>4149</v>
      </c>
      <c r="C92" s="1" t="s">
        <v>4150</v>
      </c>
      <c r="D92" s="130" t="s">
        <v>5835</v>
      </c>
      <c r="E92" s="47">
        <f>'[11]SEKO -65.Gallons'!$E$31</f>
        <v>450</v>
      </c>
      <c r="F92" s="69">
        <f>'[11]SEKO -65.Gallons'!$I$31</f>
        <v>0</v>
      </c>
      <c r="G92" s="48">
        <f t="shared" si="1"/>
        <v>0</v>
      </c>
      <c r="H92" s="92"/>
    </row>
    <row r="93" spans="1:8" ht="23.25">
      <c r="A93" s="124">
        <v>89</v>
      </c>
      <c r="B93" s="125" t="s">
        <v>4151</v>
      </c>
      <c r="C93" s="126" t="s">
        <v>4152</v>
      </c>
      <c r="D93" s="127" t="s">
        <v>5835</v>
      </c>
      <c r="E93" s="128">
        <f>'[11]Slow Moving Vehicle Sticker	'!$E$94</f>
        <v>3.25</v>
      </c>
      <c r="F93" s="124">
        <f>'[11]Slow Moving Vehicle Sticker	'!$I$94</f>
        <v>0</v>
      </c>
      <c r="G93" s="129">
        <f t="shared" si="1"/>
        <v>0</v>
      </c>
      <c r="H93" s="126"/>
    </row>
    <row r="94" spans="1:8" ht="46.5">
      <c r="A94" s="69">
        <v>90</v>
      </c>
      <c r="B94" s="1" t="s">
        <v>4153</v>
      </c>
      <c r="C94" s="1" t="s">
        <v>4154</v>
      </c>
      <c r="D94" s="130" t="s">
        <v>5835</v>
      </c>
      <c r="E94" s="47">
        <f>'[11]Small Sticker Alucabond FNC'!$E$62</f>
        <v>3</v>
      </c>
      <c r="F94" s="69">
        <f>'[11]Small Sticker Alucabond FNC'!$I$62</f>
        <v>0</v>
      </c>
      <c r="G94" s="48">
        <f t="shared" si="1"/>
        <v>0</v>
      </c>
      <c r="H94" s="92"/>
    </row>
    <row r="95" spans="1:8" ht="46.5">
      <c r="A95" s="124">
        <v>91</v>
      </c>
      <c r="B95" s="125" t="s">
        <v>4155</v>
      </c>
      <c r="C95" s="126" t="s">
        <v>4156</v>
      </c>
      <c r="D95" s="127" t="s">
        <v>5835</v>
      </c>
      <c r="E95" s="128">
        <f>'[11]Sticker 6 8cm PDI		'!$E$31</f>
        <v>0.15</v>
      </c>
      <c r="F95" s="124">
        <f>'[11]Sticker 6 8cm PDI		'!$I$31</f>
        <v>0</v>
      </c>
      <c r="G95" s="129">
        <f t="shared" si="1"/>
        <v>0</v>
      </c>
      <c r="H95" s="126"/>
    </row>
    <row r="96" spans="1:8" ht="46.5">
      <c r="A96" s="69">
        <v>92</v>
      </c>
      <c r="B96" s="1" t="s">
        <v>4157</v>
      </c>
      <c r="C96" s="1" t="s">
        <v>4158</v>
      </c>
      <c r="D96" s="130" t="s">
        <v>5835</v>
      </c>
      <c r="E96" s="47">
        <f>'[11]Sticker Alucoband FNC 2020'!$E$57</f>
        <v>11</v>
      </c>
      <c r="F96" s="69">
        <f>'[11]Sticker Alucoband FNC 2020'!$I$57</f>
        <v>20</v>
      </c>
      <c r="G96" s="48">
        <f t="shared" si="1"/>
        <v>220</v>
      </c>
      <c r="H96" s="92"/>
    </row>
    <row r="97" spans="1:8" ht="46.5">
      <c r="A97" s="124">
        <v>93</v>
      </c>
      <c r="B97" s="125" t="s">
        <v>4159</v>
      </c>
      <c r="C97" s="126" t="s">
        <v>4160</v>
      </c>
      <c r="D97" s="127" t="s">
        <v>5835</v>
      </c>
      <c r="E97" s="128">
        <f>'[11]Sticker Alucoband FNC 2021'!$E$57</f>
        <v>9</v>
      </c>
      <c r="F97" s="124">
        <f>'[11]Sticker Alucoband FNC 2021'!$I$57</f>
        <v>9</v>
      </c>
      <c r="G97" s="129">
        <f t="shared" si="1"/>
        <v>81</v>
      </c>
      <c r="H97" s="126"/>
    </row>
    <row r="98" spans="1:8" ht="46.5">
      <c r="A98" s="69">
        <v>94</v>
      </c>
      <c r="B98" s="1" t="s">
        <v>5917</v>
      </c>
      <c r="C98" s="1" t="s">
        <v>5918</v>
      </c>
      <c r="D98" s="130" t="s">
        <v>5835</v>
      </c>
      <c r="E98" s="47">
        <f>'[11]Sticker Alucoband FNC 2022'!$E$54</f>
        <v>9</v>
      </c>
      <c r="F98" s="69">
        <f>'[11]Sticker Alucoband FNC 2022'!$I$54</f>
        <v>0</v>
      </c>
      <c r="G98" s="48">
        <f t="shared" si="1"/>
        <v>0</v>
      </c>
      <c r="H98" s="92"/>
    </row>
    <row r="99" spans="1:8" ht="23.25">
      <c r="A99" s="124">
        <v>95</v>
      </c>
      <c r="B99" s="125" t="s">
        <v>4161</v>
      </c>
      <c r="C99" s="126" t="s">
        <v>4162</v>
      </c>
      <c r="D99" s="127" t="s">
        <v>5835</v>
      </c>
      <c r="E99" s="128">
        <f>'[11]Sticker Extinguisher'!$E$52</f>
        <v>1</v>
      </c>
      <c r="F99" s="124">
        <f>'[11]Sticker Extinguisher'!$I$52</f>
        <v>443</v>
      </c>
      <c r="G99" s="129">
        <f t="shared" si="1"/>
        <v>443</v>
      </c>
      <c r="H99" s="126"/>
    </row>
    <row r="100" spans="1:8" ht="23.25">
      <c r="A100" s="69">
        <v>96</v>
      </c>
      <c r="B100" s="1" t="s">
        <v>5833</v>
      </c>
      <c r="C100" s="1" t="s">
        <v>5834</v>
      </c>
      <c r="D100" s="130" t="s">
        <v>5835</v>
      </c>
      <c r="E100" s="47">
        <f>'[11] Push bar Sticker 	'!$E$30</f>
        <v>1.6</v>
      </c>
      <c r="F100" s="69">
        <f>'[11] Push bar Sticker 	'!$I$30</f>
        <v>161</v>
      </c>
      <c r="G100" s="48">
        <f t="shared" si="1"/>
        <v>257.60000000000002</v>
      </c>
      <c r="H100" s="92"/>
    </row>
    <row r="101" spans="1:8" ht="46.5">
      <c r="A101" s="124">
        <v>97</v>
      </c>
      <c r="B101" s="125" t="s">
        <v>4163</v>
      </c>
      <c r="C101" s="126" t="s">
        <v>4164</v>
      </c>
      <c r="D101" s="127" t="s">
        <v>5835</v>
      </c>
      <c r="E101" s="128">
        <f>'[11]Sticker High Voltage Big'!$E$68</f>
        <v>2</v>
      </c>
      <c r="F101" s="124">
        <f>'[11]Sticker High Voltage Big'!$I$68</f>
        <v>240</v>
      </c>
      <c r="G101" s="129">
        <f t="shared" si="1"/>
        <v>480</v>
      </c>
      <c r="H101" s="126"/>
    </row>
    <row r="102" spans="1:8" ht="46.5">
      <c r="A102" s="69">
        <v>98</v>
      </c>
      <c r="B102" s="1" t="s">
        <v>4165</v>
      </c>
      <c r="C102" s="1" t="s">
        <v>4166</v>
      </c>
      <c r="D102" s="130" t="s">
        <v>5835</v>
      </c>
      <c r="E102" s="47">
        <f>'[11]Sticker High Voltage Small'!$E$61</f>
        <v>1.6</v>
      </c>
      <c r="F102" s="69">
        <f>'[11]Sticker High Voltage Small'!$I$61</f>
        <v>32</v>
      </c>
      <c r="G102" s="48">
        <f t="shared" si="1"/>
        <v>51.2</v>
      </c>
      <c r="H102" s="92"/>
    </row>
    <row r="103" spans="1:8" ht="46.5">
      <c r="A103" s="124">
        <v>99</v>
      </c>
      <c r="B103" s="125" t="s">
        <v>4167</v>
      </c>
      <c r="C103" s="126" t="s">
        <v>4168</v>
      </c>
      <c r="D103" s="127" t="s">
        <v>5835</v>
      </c>
      <c r="E103" s="128">
        <f>'[11]Sticker Alucabond'!$E$49</f>
        <v>0</v>
      </c>
      <c r="F103" s="124">
        <f>'[11]Sticker Alucabond'!$I$49</f>
        <v>0</v>
      </c>
      <c r="G103" s="129">
        <f t="shared" si="1"/>
        <v>0</v>
      </c>
      <c r="H103" s="126"/>
    </row>
    <row r="104" spans="1:8" ht="23.25">
      <c r="A104" s="69">
        <v>100</v>
      </c>
      <c r="B104" s="1" t="s">
        <v>4169</v>
      </c>
      <c r="C104" s="1" t="s">
        <v>4170</v>
      </c>
      <c r="D104" s="130" t="s">
        <v>5835</v>
      </c>
      <c r="E104" s="47">
        <f>'[11]Vitamine C'!$E$31</f>
        <v>5.8330000000000002</v>
      </c>
      <c r="F104" s="69">
        <f>'[11]Vitamine C'!$I$31</f>
        <v>0</v>
      </c>
      <c r="G104" s="48">
        <f t="shared" si="1"/>
        <v>0</v>
      </c>
      <c r="H104" s="92"/>
    </row>
    <row r="105" spans="1:8" ht="23.25">
      <c r="A105" s="124">
        <v>101</v>
      </c>
      <c r="B105" s="125" t="s">
        <v>4171</v>
      </c>
      <c r="C105" s="126" t="s">
        <v>4172</v>
      </c>
      <c r="D105" s="127" t="s">
        <v>5835</v>
      </c>
      <c r="E105" s="128">
        <f>'[11]Vitamin D3'!$E$31</f>
        <v>8.33</v>
      </c>
      <c r="F105" s="124">
        <f>'[11]Vitamin D3'!$I$31</f>
        <v>0</v>
      </c>
      <c r="G105" s="129">
        <f t="shared" si="1"/>
        <v>0</v>
      </c>
      <c r="H105" s="126"/>
    </row>
    <row r="106" spans="1:8" ht="23.25">
      <c r="A106" s="69">
        <v>102</v>
      </c>
      <c r="B106" s="1" t="s">
        <v>4112</v>
      </c>
      <c r="C106" s="1" t="s">
        <v>4173</v>
      </c>
      <c r="D106" s="130" t="s">
        <v>5835</v>
      </c>
      <c r="E106" s="47">
        <f>'[11]Vitamine Zer 50mg'!$E$35</f>
        <v>8.33</v>
      </c>
      <c r="F106" s="69">
        <f>'[11]Vitamine Zer 50mg'!$I$35</f>
        <v>0</v>
      </c>
      <c r="G106" s="48">
        <f t="shared" si="1"/>
        <v>0</v>
      </c>
      <c r="H106" s="92"/>
    </row>
    <row r="107" spans="1:8" ht="46.5">
      <c r="A107" s="124">
        <v>103</v>
      </c>
      <c r="B107" s="125" t="s">
        <v>4174</v>
      </c>
      <c r="C107" s="126" t="s">
        <v>4175</v>
      </c>
      <c r="D107" s="127" t="s">
        <v>5835</v>
      </c>
      <c r="E107" s="128">
        <f>'[11]Warning Tape Red + white'!$E$126</f>
        <v>3</v>
      </c>
      <c r="F107" s="124">
        <f>'[11]Warning Tape Red + white'!$I$126</f>
        <v>39</v>
      </c>
      <c r="G107" s="129">
        <f t="shared" si="1"/>
        <v>117</v>
      </c>
      <c r="H107" s="126"/>
    </row>
    <row r="108" spans="1:8" ht="23.25">
      <c r="A108" s="69">
        <v>104</v>
      </c>
      <c r="B108" s="1" t="s">
        <v>4176</v>
      </c>
      <c r="C108" s="1" t="s">
        <v>4177</v>
      </c>
      <c r="D108" s="130" t="s">
        <v>5835</v>
      </c>
      <c r="E108" s="47">
        <f>'[11]Water Glue Sticker'!$E$57</f>
        <v>1</v>
      </c>
      <c r="F108" s="69">
        <f>'[11]Water Glue Sticker'!$I$57</f>
        <v>567</v>
      </c>
      <c r="G108" s="48">
        <f t="shared" si="1"/>
        <v>567</v>
      </c>
      <c r="H108" s="92"/>
    </row>
    <row r="109" spans="1:8" ht="23.25">
      <c r="A109" s="124">
        <v>105</v>
      </c>
      <c r="B109" s="125" t="s">
        <v>4178</v>
      </c>
      <c r="C109" s="126" t="s">
        <v>4179</v>
      </c>
      <c r="D109" s="127" t="s">
        <v>5835</v>
      </c>
      <c r="E109" s="128">
        <f>'[11]Welding Black  Glass'!$E$146</f>
        <v>0</v>
      </c>
      <c r="F109" s="124">
        <f>'[11]Welding Black  Glass'!$I$146</f>
        <v>49</v>
      </c>
      <c r="G109" s="129">
        <f t="shared" si="1"/>
        <v>0</v>
      </c>
      <c r="H109" s="126"/>
    </row>
    <row r="110" spans="1:8" ht="23.25">
      <c r="A110" s="69">
        <v>106</v>
      </c>
      <c r="B110" s="1" t="s">
        <v>4180</v>
      </c>
      <c r="C110" s="1" t="s">
        <v>4181</v>
      </c>
      <c r="D110" s="130" t="s">
        <v>5835</v>
      </c>
      <c r="E110" s="47">
        <f>'[11]Welding Gloves'!$E$76</f>
        <v>3.5</v>
      </c>
      <c r="F110" s="69">
        <f>'[11]Welding Gloves'!$I$76</f>
        <v>5</v>
      </c>
      <c r="G110" s="48">
        <f t="shared" si="1"/>
        <v>17.5</v>
      </c>
      <c r="H110" s="92"/>
    </row>
    <row r="111" spans="1:8" ht="23.25">
      <c r="A111" s="124">
        <v>107</v>
      </c>
      <c r="B111" s="125" t="s">
        <v>4182</v>
      </c>
      <c r="C111" s="126" t="s">
        <v>4183</v>
      </c>
      <c r="D111" s="127" t="s">
        <v>5835</v>
      </c>
      <c r="E111" s="128">
        <f>'[11]Welding Suit'!$E$31</f>
        <v>35</v>
      </c>
      <c r="F111" s="124">
        <f>'[11]Welding Suit'!$I$31</f>
        <v>0</v>
      </c>
      <c r="G111" s="129">
        <f t="shared" si="1"/>
        <v>0</v>
      </c>
      <c r="H111" s="126"/>
    </row>
    <row r="112" spans="1:8" ht="23.25">
      <c r="A112" s="69">
        <v>108</v>
      </c>
      <c r="B112" s="1" t="s">
        <v>4184</v>
      </c>
      <c r="C112" s="1" t="s">
        <v>4185</v>
      </c>
      <c r="D112" s="130" t="s">
        <v>5835</v>
      </c>
      <c r="E112" s="47">
        <f>'[11]Welding Transparent Glass'!$E$77</f>
        <v>0.3</v>
      </c>
      <c r="F112" s="69">
        <f>'[11]Welding Transparent Glass'!$I$77</f>
        <v>48</v>
      </c>
      <c r="G112" s="48">
        <f t="shared" si="1"/>
        <v>14.399999999999999</v>
      </c>
      <c r="H112" s="92"/>
    </row>
    <row r="113" spans="1:8" ht="46.5">
      <c r="A113" s="124">
        <v>109</v>
      </c>
      <c r="B113" s="125" t="s">
        <v>4186</v>
      </c>
      <c r="C113" s="126" t="s">
        <v>4187</v>
      </c>
      <c r="D113" s="127" t="s">
        <v>5835</v>
      </c>
      <c r="E113" s="128">
        <f>'[11]White Insulation Suit '!$E$170</f>
        <v>2</v>
      </c>
      <c r="F113" s="124">
        <f>'[11]White Insulation Suit '!$I$170</f>
        <v>1</v>
      </c>
      <c r="G113" s="129">
        <f t="shared" si="1"/>
        <v>2</v>
      </c>
      <c r="H113" s="126"/>
    </row>
    <row r="114" spans="1:8" ht="23.25">
      <c r="A114" s="69">
        <v>110</v>
      </c>
      <c r="B114" s="1" t="s">
        <v>4188</v>
      </c>
      <c r="C114" s="1" t="s">
        <v>4189</v>
      </c>
      <c r="D114" s="130" t="s">
        <v>5835</v>
      </c>
      <c r="E114" s="47">
        <f>'[11]Yellow Glue Sticker	'!$E$107</f>
        <v>0</v>
      </c>
      <c r="F114" s="69">
        <f>'[11]Yellow Glue Sticker	'!$I$107</f>
        <v>0</v>
      </c>
      <c r="G114" s="48">
        <f t="shared" si="1"/>
        <v>0</v>
      </c>
      <c r="H114" s="92"/>
    </row>
    <row r="115" spans="1:8" ht="69.75">
      <c r="A115" s="124">
        <v>111</v>
      </c>
      <c r="B115" s="125" t="s">
        <v>4190</v>
      </c>
      <c r="C115" s="126" t="s">
        <v>4191</v>
      </c>
      <c r="D115" s="127" t="s">
        <v>5835</v>
      </c>
      <c r="E115" s="128">
        <f>'[11]waterproof  jacket (safety with'!$E$41</f>
        <v>25</v>
      </c>
      <c r="F115" s="124">
        <f>'[11]waterproof  jacket (safety with'!$I$41</f>
        <v>10</v>
      </c>
      <c r="G115" s="129">
        <f>E115*F115</f>
        <v>250</v>
      </c>
      <c r="H115" s="126"/>
    </row>
    <row r="116" spans="1:8" ht="23.25">
      <c r="A116" s="69">
        <v>112</v>
      </c>
      <c r="B116" s="1" t="s">
        <v>5919</v>
      </c>
      <c r="C116" s="1" t="s">
        <v>5920</v>
      </c>
      <c r="D116" s="130" t="s">
        <v>5835</v>
      </c>
      <c r="E116" s="47">
        <f>'[11]Exit Sticker'!$E$30</f>
        <v>1</v>
      </c>
      <c r="F116" s="69">
        <f>'[11]Exit Sticker'!$I$30</f>
        <v>209</v>
      </c>
      <c r="G116" s="48">
        <f t="shared" si="1"/>
        <v>209</v>
      </c>
      <c r="H116" s="92"/>
    </row>
    <row r="117" spans="1:8" ht="46.5">
      <c r="A117" s="124">
        <v>113</v>
      </c>
      <c r="B117" s="125" t="s">
        <v>5841</v>
      </c>
      <c r="C117" s="126" t="s">
        <v>5842</v>
      </c>
      <c r="D117" s="127" t="s">
        <v>5835</v>
      </c>
      <c r="E117" s="128">
        <f>'[11]Sticker Alucoband FNC 2023'!$E$56</f>
        <v>9</v>
      </c>
      <c r="F117" s="124">
        <f>'[11]Sticker Alucoband FNC 2023'!$I$56</f>
        <v>4</v>
      </c>
      <c r="G117" s="129">
        <f t="shared" si="1"/>
        <v>36</v>
      </c>
      <c r="H117" s="126"/>
    </row>
    <row r="119" spans="1:8" ht="32.25" customHeight="1">
      <c r="A119" s="270" t="s">
        <v>4192</v>
      </c>
      <c r="B119" s="271"/>
      <c r="C119" s="271"/>
      <c r="D119" s="271"/>
      <c r="E119" s="294"/>
      <c r="F119" s="258">
        <f>SUM(F5:F117)</f>
        <v>5417</v>
      </c>
      <c r="G119" s="230">
        <f>SUM(G5:G117)</f>
        <v>5068.1623999999993</v>
      </c>
    </row>
  </sheetData>
  <mergeCells count="3">
    <mergeCell ref="A3:H3"/>
    <mergeCell ref="A119:E119"/>
    <mergeCell ref="A2:H2"/>
  </mergeCells>
  <conditionalFormatting sqref="A5:A117">
    <cfRule type="expression" dxfId="6" priority="3">
      <formula>AND(#REF!&lt;&gt;"",OR(ISNUMBER(SEARCH(#REF!,$A5:$D5,1))))</formula>
    </cfRule>
  </conditionalFormatting>
  <conditionalFormatting sqref="D5:D117">
    <cfRule type="expression" dxfId="5" priority="2">
      <formula>AND(#REF!&lt;&gt;"",OR(ISNUMBER(SEARCH(#REF!,$A5:$E5,1))))</formula>
    </cfRule>
  </conditionalFormatting>
  <conditionalFormatting sqref="F119">
    <cfRule type="expression" dxfId="4" priority="1">
      <formula>AND(#REF!&lt;&gt;"",OR(ISNUMBER(SEARCH(#REF!,$A119:$D119,1))))</formula>
    </cfRule>
  </conditionalFormatting>
  <conditionalFormatting sqref="G5:G117">
    <cfRule type="expression" dxfId="3" priority="5">
      <formula>AND(#REF!&lt;&gt;"",OR(ISNUMBER(SEARCH(#REF!,$A5:$D5,1))))</formula>
    </cfRule>
  </conditionalFormatting>
  <pageMargins left="0.22" right="0.27" top="0.28000000000000003" bottom="0.28999999999999998" header="0.3" footer="0.3"/>
  <pageSetup paperSize="9" scale="54"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7E324-4A73-4098-8548-C22F3F2D9DA8}">
  <sheetPr codeName="Sheet10">
    <pageSetUpPr fitToPage="1"/>
  </sheetPr>
  <dimension ref="A1:K111"/>
  <sheetViews>
    <sheetView zoomScale="55" zoomScaleNormal="55" workbookViewId="0">
      <selection activeCell="I1" sqref="I1:I1048576"/>
    </sheetView>
  </sheetViews>
  <sheetFormatPr defaultColWidth="9.140625" defaultRowHeight="15"/>
  <cols>
    <col min="1" max="1" width="9.140625" style="32"/>
    <col min="2" max="2" width="38.7109375" style="32" customWidth="1"/>
    <col min="3" max="3" width="47.5703125" style="32" customWidth="1"/>
    <col min="4" max="4" width="15.85546875" style="32" bestFit="1" customWidth="1"/>
    <col min="5" max="5" width="27.140625" style="32" customWidth="1"/>
    <col min="6" max="6" width="20" style="32" customWidth="1"/>
    <col min="7" max="7" width="33.140625" style="248" customWidth="1"/>
    <col min="8" max="8" width="20.140625" style="32" customWidth="1"/>
    <col min="9" max="9" width="16" style="32" customWidth="1"/>
    <col min="10" max="10" width="9.140625" style="32"/>
    <col min="11" max="11" width="21.7109375" style="32" customWidth="1"/>
    <col min="12" max="16384" width="9.140625" style="32"/>
  </cols>
  <sheetData>
    <row r="1" spans="1:11" customFormat="1" ht="144" customHeight="1">
      <c r="A1" s="31"/>
      <c r="B1" s="32"/>
      <c r="C1" s="32"/>
      <c r="D1" s="32"/>
      <c r="E1" s="34"/>
      <c r="F1" s="35"/>
      <c r="G1" s="245"/>
    </row>
    <row r="2" spans="1:11" ht="37.5" customHeight="1">
      <c r="A2" s="269">
        <f ca="1">TODAY()</f>
        <v>46123</v>
      </c>
      <c r="B2" s="269"/>
      <c r="C2" s="269"/>
      <c r="D2" s="269"/>
      <c r="E2" s="269"/>
      <c r="F2" s="269"/>
      <c r="G2" s="269"/>
      <c r="H2" s="269"/>
    </row>
    <row r="3" spans="1:11" ht="30" customHeight="1">
      <c r="A3" s="291" t="s">
        <v>4193</v>
      </c>
      <c r="B3" s="291"/>
      <c r="C3" s="291"/>
      <c r="D3" s="291"/>
      <c r="E3" s="291"/>
      <c r="F3" s="291"/>
      <c r="G3" s="291"/>
      <c r="H3" s="291"/>
    </row>
    <row r="4" spans="1:11" ht="87" customHeight="1">
      <c r="A4" s="2" t="s">
        <v>0</v>
      </c>
      <c r="B4" s="3" t="s">
        <v>9</v>
      </c>
      <c r="C4" s="4" t="s">
        <v>10</v>
      </c>
      <c r="D4" s="5" t="s">
        <v>4399</v>
      </c>
      <c r="E4" s="6" t="s">
        <v>1763</v>
      </c>
      <c r="F4" s="7" t="s">
        <v>4398</v>
      </c>
      <c r="G4" s="7" t="s">
        <v>3990</v>
      </c>
      <c r="H4" s="107" t="s">
        <v>1766</v>
      </c>
      <c r="K4" s="131"/>
    </row>
    <row r="5" spans="1:11" ht="23.25">
      <c r="A5" s="169">
        <v>1</v>
      </c>
      <c r="B5" s="132" t="s">
        <v>4194</v>
      </c>
      <c r="C5" s="133" t="s">
        <v>4195</v>
      </c>
      <c r="D5" s="134" t="s">
        <v>5256</v>
      </c>
      <c r="E5" s="135">
        <f>[12]Summary!E4</f>
        <v>2.6</v>
      </c>
      <c r="F5" s="204">
        <f>[12]Summary!F4</f>
        <v>0</v>
      </c>
      <c r="G5" s="246">
        <f t="shared" ref="G5:G36" si="0">E5*F5</f>
        <v>0</v>
      </c>
      <c r="H5" s="132"/>
      <c r="I5" s="131"/>
      <c r="K5" s="136"/>
    </row>
    <row r="6" spans="1:11" ht="23.25">
      <c r="A6" s="69">
        <v>2</v>
      </c>
      <c r="B6" s="1" t="s">
        <v>4196</v>
      </c>
      <c r="C6" s="28" t="s">
        <v>4197</v>
      </c>
      <c r="D6" s="60" t="s">
        <v>5256</v>
      </c>
      <c r="E6" s="137">
        <f>[12]Summary!E5</f>
        <v>34</v>
      </c>
      <c r="F6" s="205">
        <f>[12]Summary!F5</f>
        <v>0</v>
      </c>
      <c r="G6" s="138">
        <f t="shared" si="0"/>
        <v>0</v>
      </c>
      <c r="H6" s="139"/>
    </row>
    <row r="7" spans="1:11" ht="23.25">
      <c r="A7" s="169">
        <v>3</v>
      </c>
      <c r="B7" s="132" t="s">
        <v>4198</v>
      </c>
      <c r="C7" s="133" t="s">
        <v>4199</v>
      </c>
      <c r="D7" s="134" t="s">
        <v>5256</v>
      </c>
      <c r="E7" s="135">
        <f>[12]Summary!E6</f>
        <v>16</v>
      </c>
      <c r="F7" s="204">
        <f>[12]Summary!F6</f>
        <v>0</v>
      </c>
      <c r="G7" s="246">
        <f t="shared" si="0"/>
        <v>0</v>
      </c>
      <c r="H7" s="132"/>
    </row>
    <row r="8" spans="1:11" ht="23.25">
      <c r="A8" s="69">
        <v>4</v>
      </c>
      <c r="B8" s="1" t="s">
        <v>4200</v>
      </c>
      <c r="C8" s="28" t="s">
        <v>4201</v>
      </c>
      <c r="D8" s="60" t="s">
        <v>5256</v>
      </c>
      <c r="E8" s="137">
        <f>[12]Summary!E7</f>
        <v>6.2</v>
      </c>
      <c r="F8" s="205">
        <f>[12]Summary!F7</f>
        <v>0</v>
      </c>
      <c r="G8" s="138">
        <f t="shared" si="0"/>
        <v>0</v>
      </c>
      <c r="H8" s="139"/>
    </row>
    <row r="9" spans="1:11" ht="23.25">
      <c r="A9" s="169">
        <v>5</v>
      </c>
      <c r="B9" s="132" t="s">
        <v>4202</v>
      </c>
      <c r="C9" s="133" t="s">
        <v>4203</v>
      </c>
      <c r="D9" s="134" t="s">
        <v>5256</v>
      </c>
      <c r="E9" s="135">
        <f>[12]Summary!E8</f>
        <v>12</v>
      </c>
      <c r="F9" s="204">
        <f>[12]Summary!F8</f>
        <v>0</v>
      </c>
      <c r="G9" s="246">
        <f t="shared" si="0"/>
        <v>0</v>
      </c>
      <c r="H9" s="132"/>
    </row>
    <row r="10" spans="1:11" ht="23.25">
      <c r="A10" s="69">
        <v>6</v>
      </c>
      <c r="B10" s="1" t="s">
        <v>4204</v>
      </c>
      <c r="C10" s="28" t="s">
        <v>4205</v>
      </c>
      <c r="D10" s="60" t="s">
        <v>5256</v>
      </c>
      <c r="E10" s="137">
        <f>[12]Summary!E9</f>
        <v>8.57</v>
      </c>
      <c r="F10" s="205">
        <f>[12]Summary!F9</f>
        <v>0</v>
      </c>
      <c r="G10" s="138">
        <f t="shared" si="0"/>
        <v>0</v>
      </c>
      <c r="H10" s="139"/>
    </row>
    <row r="11" spans="1:11" ht="23.25">
      <c r="A11" s="169">
        <v>7</v>
      </c>
      <c r="B11" s="132" t="s">
        <v>4206</v>
      </c>
      <c r="C11" s="133" t="s">
        <v>4207</v>
      </c>
      <c r="D11" s="134" t="s">
        <v>5256</v>
      </c>
      <c r="E11" s="135">
        <f>[12]Summary!E10</f>
        <v>0</v>
      </c>
      <c r="F11" s="204">
        <f>[12]Summary!F10</f>
        <v>0</v>
      </c>
      <c r="G11" s="246">
        <f t="shared" si="0"/>
        <v>0</v>
      </c>
      <c r="H11" s="132"/>
    </row>
    <row r="12" spans="1:11" ht="23.25">
      <c r="A12" s="69">
        <v>8</v>
      </c>
      <c r="B12" s="1" t="s">
        <v>4208</v>
      </c>
      <c r="C12" s="28" t="s">
        <v>4209</v>
      </c>
      <c r="D12" s="60" t="s">
        <v>5256</v>
      </c>
      <c r="E12" s="137">
        <f>[12]Summary!E11</f>
        <v>0.68</v>
      </c>
      <c r="F12" s="205">
        <f>[12]Summary!F11</f>
        <v>2</v>
      </c>
      <c r="G12" s="138">
        <f t="shared" si="0"/>
        <v>1.36</v>
      </c>
      <c r="H12" s="139"/>
    </row>
    <row r="13" spans="1:11" ht="23.25">
      <c r="A13" s="169">
        <v>9</v>
      </c>
      <c r="B13" s="132" t="s">
        <v>4210</v>
      </c>
      <c r="C13" s="133" t="s">
        <v>4211</v>
      </c>
      <c r="D13" s="134" t="s">
        <v>131</v>
      </c>
      <c r="E13" s="135">
        <f>[12]Summary!E12</f>
        <v>20</v>
      </c>
      <c r="F13" s="204">
        <f>[12]Summary!F12</f>
        <v>925</v>
      </c>
      <c r="G13" s="246">
        <f t="shared" si="0"/>
        <v>18500</v>
      </c>
      <c r="H13" s="132"/>
    </row>
    <row r="14" spans="1:11" ht="23.25">
      <c r="A14" s="69">
        <v>10</v>
      </c>
      <c r="B14" s="1" t="s">
        <v>4212</v>
      </c>
      <c r="C14" s="28" t="s">
        <v>4213</v>
      </c>
      <c r="D14" s="60" t="s">
        <v>5256</v>
      </c>
      <c r="E14" s="137">
        <f>[12]Summary!E13</f>
        <v>1.68</v>
      </c>
      <c r="F14" s="205">
        <f>[12]Summary!F13</f>
        <v>0</v>
      </c>
      <c r="G14" s="138">
        <f t="shared" si="0"/>
        <v>0</v>
      </c>
      <c r="H14" s="139"/>
    </row>
    <row r="15" spans="1:11" ht="23.25">
      <c r="A15" s="169">
        <v>11</v>
      </c>
      <c r="B15" s="132" t="s">
        <v>4214</v>
      </c>
      <c r="C15" s="133" t="s">
        <v>4215</v>
      </c>
      <c r="D15" s="134" t="s">
        <v>5256</v>
      </c>
      <c r="E15" s="135">
        <f>[12]Summary!E14</f>
        <v>75</v>
      </c>
      <c r="F15" s="204">
        <f>[12]Summary!F14</f>
        <v>0</v>
      </c>
      <c r="G15" s="246">
        <f t="shared" si="0"/>
        <v>0</v>
      </c>
      <c r="H15" s="132"/>
    </row>
    <row r="16" spans="1:11" ht="23.25">
      <c r="A16" s="69">
        <v>12</v>
      </c>
      <c r="B16" s="1" t="s">
        <v>4216</v>
      </c>
      <c r="C16" s="28" t="s">
        <v>4217</v>
      </c>
      <c r="D16" s="60" t="s">
        <v>5256</v>
      </c>
      <c r="E16" s="137">
        <f>[12]Summary!E15</f>
        <v>1250</v>
      </c>
      <c r="F16" s="205">
        <f>[12]Summary!F15</f>
        <v>0</v>
      </c>
      <c r="G16" s="138">
        <f t="shared" si="0"/>
        <v>0</v>
      </c>
      <c r="H16" s="139"/>
    </row>
    <row r="17" spans="1:8" ht="23.25">
      <c r="A17" s="169">
        <v>13</v>
      </c>
      <c r="B17" s="132" t="s">
        <v>4218</v>
      </c>
      <c r="C17" s="133" t="s">
        <v>4219</v>
      </c>
      <c r="D17" s="134" t="s">
        <v>5256</v>
      </c>
      <c r="E17" s="135">
        <f>[12]Summary!E16</f>
        <v>4.72</v>
      </c>
      <c r="F17" s="204">
        <f>[12]Summary!F16</f>
        <v>0</v>
      </c>
      <c r="G17" s="246">
        <f t="shared" si="0"/>
        <v>0</v>
      </c>
      <c r="H17" s="132"/>
    </row>
    <row r="18" spans="1:8" ht="23.25">
      <c r="A18" s="69">
        <v>14</v>
      </c>
      <c r="B18" s="1" t="s">
        <v>4220</v>
      </c>
      <c r="C18" s="28" t="s">
        <v>4221</v>
      </c>
      <c r="D18" s="60" t="s">
        <v>5256</v>
      </c>
      <c r="E18" s="137">
        <f>[12]Summary!E17</f>
        <v>23.48</v>
      </c>
      <c r="F18" s="205">
        <f>[12]Summary!F17</f>
        <v>0</v>
      </c>
      <c r="G18" s="138">
        <f t="shared" si="0"/>
        <v>0</v>
      </c>
      <c r="H18" s="139"/>
    </row>
    <row r="19" spans="1:8" ht="23.25">
      <c r="A19" s="169">
        <v>15</v>
      </c>
      <c r="B19" s="132" t="s">
        <v>4222</v>
      </c>
      <c r="C19" s="133" t="s">
        <v>4223</v>
      </c>
      <c r="D19" s="134" t="s">
        <v>5256</v>
      </c>
      <c r="E19" s="135">
        <f>[12]Summary!E18</f>
        <v>2</v>
      </c>
      <c r="F19" s="204">
        <f>[12]Summary!F18</f>
        <v>0</v>
      </c>
      <c r="G19" s="246">
        <f t="shared" si="0"/>
        <v>0</v>
      </c>
      <c r="H19" s="132"/>
    </row>
    <row r="20" spans="1:8" ht="23.25">
      <c r="A20" s="69">
        <v>16</v>
      </c>
      <c r="B20" s="1" t="s">
        <v>4224</v>
      </c>
      <c r="C20" s="28" t="s">
        <v>4225</v>
      </c>
      <c r="D20" s="60" t="s">
        <v>5256</v>
      </c>
      <c r="E20" s="137">
        <f>[12]Summary!E19</f>
        <v>3.37</v>
      </c>
      <c r="F20" s="205">
        <f>[12]Summary!F19</f>
        <v>0</v>
      </c>
      <c r="G20" s="138">
        <f t="shared" si="0"/>
        <v>0</v>
      </c>
      <c r="H20" s="139"/>
    </row>
    <row r="21" spans="1:8" ht="23.25">
      <c r="A21" s="169">
        <v>17</v>
      </c>
      <c r="B21" s="132" t="s">
        <v>4430</v>
      </c>
      <c r="C21" s="133" t="s">
        <v>4226</v>
      </c>
      <c r="D21" s="134" t="s">
        <v>5256</v>
      </c>
      <c r="E21" s="135">
        <f>[12]Summary!E20</f>
        <v>1000</v>
      </c>
      <c r="F21" s="204">
        <f>[12]Summary!F20</f>
        <v>1.3499999999999999</v>
      </c>
      <c r="G21" s="246">
        <f t="shared" si="0"/>
        <v>1349.9999999999998</v>
      </c>
      <c r="H21" s="132"/>
    </row>
    <row r="22" spans="1:8" ht="23.25">
      <c r="A22" s="69">
        <v>18</v>
      </c>
      <c r="B22" s="1" t="s">
        <v>4227</v>
      </c>
      <c r="C22" s="28" t="s">
        <v>4228</v>
      </c>
      <c r="D22" s="60" t="s">
        <v>5256</v>
      </c>
      <c r="E22" s="137">
        <f>[12]Summary!E21</f>
        <v>800</v>
      </c>
      <c r="F22" s="205">
        <f>[12]Summary!F21</f>
        <v>5.7</v>
      </c>
      <c r="G22" s="138">
        <f t="shared" si="0"/>
        <v>4560</v>
      </c>
      <c r="H22" s="139"/>
    </row>
    <row r="23" spans="1:8" ht="23.25">
      <c r="A23" s="169">
        <v>19</v>
      </c>
      <c r="B23" s="132" t="s">
        <v>4229</v>
      </c>
      <c r="C23" s="133" t="s">
        <v>4230</v>
      </c>
      <c r="D23" s="134" t="s">
        <v>5256</v>
      </c>
      <c r="E23" s="135">
        <f>[12]Summary!E22</f>
        <v>87.83</v>
      </c>
      <c r="F23" s="204">
        <f>[12]Summary!F22</f>
        <v>0</v>
      </c>
      <c r="G23" s="246">
        <f t="shared" si="0"/>
        <v>0</v>
      </c>
      <c r="H23" s="132"/>
    </row>
    <row r="24" spans="1:8" ht="23.25">
      <c r="A24" s="69">
        <v>20</v>
      </c>
      <c r="B24" s="1" t="s">
        <v>4231</v>
      </c>
      <c r="C24" s="28" t="s">
        <v>4232</v>
      </c>
      <c r="D24" s="60" t="s">
        <v>5256</v>
      </c>
      <c r="E24" s="137">
        <f>[12]Summary!E23</f>
        <v>13.5</v>
      </c>
      <c r="F24" s="205">
        <f>[12]Summary!F23</f>
        <v>0</v>
      </c>
      <c r="G24" s="138">
        <f t="shared" si="0"/>
        <v>0</v>
      </c>
      <c r="H24" s="139"/>
    </row>
    <row r="25" spans="1:8" ht="23.25">
      <c r="A25" s="169">
        <v>21</v>
      </c>
      <c r="B25" s="132" t="s">
        <v>4233</v>
      </c>
      <c r="C25" s="133" t="s">
        <v>4234</v>
      </c>
      <c r="D25" s="134" t="s">
        <v>131</v>
      </c>
      <c r="E25" s="135">
        <f>[12]Summary!E24</f>
        <v>5.4</v>
      </c>
      <c r="F25" s="204">
        <f>[12]Summary!F24</f>
        <v>0</v>
      </c>
      <c r="G25" s="246">
        <f t="shared" si="0"/>
        <v>0</v>
      </c>
      <c r="H25" s="132"/>
    </row>
    <row r="26" spans="1:8" ht="23.25">
      <c r="A26" s="69">
        <v>22</v>
      </c>
      <c r="B26" s="1" t="s">
        <v>4235</v>
      </c>
      <c r="C26" s="28" t="s">
        <v>4236</v>
      </c>
      <c r="D26" s="60" t="s">
        <v>131</v>
      </c>
      <c r="E26" s="137">
        <f>[12]Summary!E25</f>
        <v>1.8</v>
      </c>
      <c r="F26" s="205">
        <f>[12]Summary!F25</f>
        <v>0</v>
      </c>
      <c r="G26" s="138">
        <f t="shared" si="0"/>
        <v>0</v>
      </c>
      <c r="H26" s="139"/>
    </row>
    <row r="27" spans="1:8" ht="23.25">
      <c r="A27" s="169">
        <v>23</v>
      </c>
      <c r="B27" s="132" t="s">
        <v>4237</v>
      </c>
      <c r="C27" s="133" t="s">
        <v>4238</v>
      </c>
      <c r="D27" s="134" t="s">
        <v>5256</v>
      </c>
      <c r="E27" s="135">
        <f>[12]Summary!E26</f>
        <v>1</v>
      </c>
      <c r="F27" s="204">
        <f>[12]Summary!F26</f>
        <v>0</v>
      </c>
      <c r="G27" s="246">
        <f t="shared" si="0"/>
        <v>0</v>
      </c>
      <c r="H27" s="132"/>
    </row>
    <row r="28" spans="1:8" ht="23.25">
      <c r="A28" s="69">
        <v>24</v>
      </c>
      <c r="B28" s="1" t="s">
        <v>4239</v>
      </c>
      <c r="C28" s="28" t="s">
        <v>4240</v>
      </c>
      <c r="D28" s="60" t="s">
        <v>131</v>
      </c>
      <c r="E28" s="137">
        <f>[12]Summary!E27</f>
        <v>11</v>
      </c>
      <c r="F28" s="205">
        <f>[12]Summary!F27</f>
        <v>0</v>
      </c>
      <c r="G28" s="138">
        <f t="shared" si="0"/>
        <v>0</v>
      </c>
      <c r="H28" s="139"/>
    </row>
    <row r="29" spans="1:8" ht="23.25">
      <c r="A29" s="169">
        <v>25</v>
      </c>
      <c r="B29" s="132" t="s">
        <v>4241</v>
      </c>
      <c r="C29" s="133" t="s">
        <v>4242</v>
      </c>
      <c r="D29" s="134" t="s">
        <v>131</v>
      </c>
      <c r="E29" s="135">
        <f>[12]Summary!E28</f>
        <v>7.5</v>
      </c>
      <c r="F29" s="204">
        <f>[12]Summary!F28</f>
        <v>0</v>
      </c>
      <c r="G29" s="246">
        <f t="shared" si="0"/>
        <v>0</v>
      </c>
      <c r="H29" s="132"/>
    </row>
    <row r="30" spans="1:8" ht="23.25">
      <c r="A30" s="69">
        <v>26</v>
      </c>
      <c r="B30" s="1" t="s">
        <v>4243</v>
      </c>
      <c r="C30" s="28" t="s">
        <v>4244</v>
      </c>
      <c r="D30" s="60" t="s">
        <v>131</v>
      </c>
      <c r="E30" s="137">
        <f>[12]Summary!E29</f>
        <v>0.24049999999999999</v>
      </c>
      <c r="F30" s="205">
        <f>[12]Summary!F29</f>
        <v>9054</v>
      </c>
      <c r="G30" s="138">
        <f t="shared" si="0"/>
        <v>2177.4870000000001</v>
      </c>
      <c r="H30" s="139"/>
    </row>
    <row r="31" spans="1:8" ht="23.25">
      <c r="A31" s="169">
        <v>27</v>
      </c>
      <c r="B31" s="132" t="s">
        <v>4245</v>
      </c>
      <c r="C31" s="133" t="s">
        <v>4246</v>
      </c>
      <c r="D31" s="134" t="s">
        <v>332</v>
      </c>
      <c r="E31" s="135">
        <f>[12]Summary!E30</f>
        <v>3.4849999999999999</v>
      </c>
      <c r="F31" s="204">
        <f>[12]Summary!F30</f>
        <v>0</v>
      </c>
      <c r="G31" s="246">
        <f t="shared" si="0"/>
        <v>0</v>
      </c>
      <c r="H31" s="132"/>
    </row>
    <row r="32" spans="1:8" ht="23.25">
      <c r="A32" s="69">
        <v>28</v>
      </c>
      <c r="B32" s="1" t="s">
        <v>4247</v>
      </c>
      <c r="C32" s="28" t="s">
        <v>4248</v>
      </c>
      <c r="D32" s="60" t="s">
        <v>131</v>
      </c>
      <c r="E32" s="137">
        <f>[12]Summary!E31</f>
        <v>57</v>
      </c>
      <c r="F32" s="205">
        <f>[12]Summary!F31</f>
        <v>6.6</v>
      </c>
      <c r="G32" s="138">
        <f t="shared" si="0"/>
        <v>376.2</v>
      </c>
      <c r="H32" s="139"/>
    </row>
    <row r="33" spans="1:8" ht="23.25">
      <c r="A33" s="169">
        <v>29</v>
      </c>
      <c r="B33" s="132" t="s">
        <v>4249</v>
      </c>
      <c r="C33" s="133" t="s">
        <v>4250</v>
      </c>
      <c r="D33" s="134" t="s">
        <v>5256</v>
      </c>
      <c r="E33" s="135">
        <f>[12]Summary!E32</f>
        <v>1.65</v>
      </c>
      <c r="F33" s="204">
        <f>[12]Summary!F32</f>
        <v>0</v>
      </c>
      <c r="G33" s="246">
        <f t="shared" si="0"/>
        <v>0</v>
      </c>
      <c r="H33" s="132"/>
    </row>
    <row r="34" spans="1:8" ht="23.25">
      <c r="A34" s="69">
        <v>30</v>
      </c>
      <c r="B34" s="1" t="s">
        <v>4251</v>
      </c>
      <c r="C34" s="28" t="s">
        <v>4252</v>
      </c>
      <c r="D34" s="60" t="s">
        <v>5256</v>
      </c>
      <c r="E34" s="137">
        <f>[12]Summary!E33</f>
        <v>10</v>
      </c>
      <c r="F34" s="205">
        <f>[12]Summary!F33</f>
        <v>0</v>
      </c>
      <c r="G34" s="138">
        <f t="shared" si="0"/>
        <v>0</v>
      </c>
      <c r="H34" s="139"/>
    </row>
    <row r="35" spans="1:8" ht="23.25">
      <c r="A35" s="169">
        <v>31</v>
      </c>
      <c r="B35" s="132" t="s">
        <v>4253</v>
      </c>
      <c r="C35" s="133" t="s">
        <v>4254</v>
      </c>
      <c r="D35" s="134" t="s">
        <v>5256</v>
      </c>
      <c r="E35" s="135">
        <f>[12]Summary!E34</f>
        <v>3.5</v>
      </c>
      <c r="F35" s="204">
        <f>[12]Summary!F34</f>
        <v>0</v>
      </c>
      <c r="G35" s="246">
        <f t="shared" si="0"/>
        <v>0</v>
      </c>
      <c r="H35" s="132"/>
    </row>
    <row r="36" spans="1:8" ht="23.25">
      <c r="A36" s="69">
        <v>32</v>
      </c>
      <c r="B36" s="1" t="s">
        <v>4255</v>
      </c>
      <c r="C36" s="28" t="s">
        <v>4256</v>
      </c>
      <c r="D36" s="60" t="s">
        <v>5256</v>
      </c>
      <c r="E36" s="137">
        <f>[12]Summary!E35</f>
        <v>5</v>
      </c>
      <c r="F36" s="205">
        <f>[12]Summary!F35</f>
        <v>0</v>
      </c>
      <c r="G36" s="138">
        <f t="shared" si="0"/>
        <v>0</v>
      </c>
      <c r="H36" s="139"/>
    </row>
    <row r="37" spans="1:8" ht="23.25">
      <c r="A37" s="169">
        <v>33</v>
      </c>
      <c r="B37" s="132" t="s">
        <v>4257</v>
      </c>
      <c r="C37" s="133" t="s">
        <v>4258</v>
      </c>
      <c r="D37" s="134" t="s">
        <v>5256</v>
      </c>
      <c r="E37" s="135">
        <f>[12]Summary!E36</f>
        <v>6.75</v>
      </c>
      <c r="F37" s="204">
        <f>[12]Summary!F36</f>
        <v>0</v>
      </c>
      <c r="G37" s="246">
        <f t="shared" ref="G37:G68" si="1">E37*F37</f>
        <v>0</v>
      </c>
      <c r="H37" s="132"/>
    </row>
    <row r="38" spans="1:8" ht="23.25">
      <c r="A38" s="69">
        <v>34</v>
      </c>
      <c r="B38" s="1" t="s">
        <v>4259</v>
      </c>
      <c r="C38" s="28" t="s">
        <v>4260</v>
      </c>
      <c r="D38" s="60" t="s">
        <v>5256</v>
      </c>
      <c r="E38" s="137">
        <f>[12]Summary!E37</f>
        <v>6000</v>
      </c>
      <c r="F38" s="205">
        <f>[12]Summary!F37</f>
        <v>0</v>
      </c>
      <c r="G38" s="138">
        <f t="shared" si="1"/>
        <v>0</v>
      </c>
      <c r="H38" s="139"/>
    </row>
    <row r="39" spans="1:8" ht="23.25">
      <c r="A39" s="169">
        <v>35</v>
      </c>
      <c r="B39" s="132" t="s">
        <v>4261</v>
      </c>
      <c r="C39" s="133" t="s">
        <v>4262</v>
      </c>
      <c r="D39" s="134" t="s">
        <v>5256</v>
      </c>
      <c r="E39" s="135">
        <f>[12]Summary!E38</f>
        <v>0.66</v>
      </c>
      <c r="F39" s="204">
        <f>[12]Summary!F38</f>
        <v>0</v>
      </c>
      <c r="G39" s="246">
        <f t="shared" si="1"/>
        <v>0</v>
      </c>
      <c r="H39" s="132"/>
    </row>
    <row r="40" spans="1:8" ht="23.25">
      <c r="A40" s="69">
        <v>36</v>
      </c>
      <c r="B40" s="1" t="s">
        <v>4263</v>
      </c>
      <c r="C40" s="28" t="s">
        <v>4264</v>
      </c>
      <c r="D40" s="60" t="s">
        <v>5256</v>
      </c>
      <c r="E40" s="137">
        <f>[12]Summary!E39</f>
        <v>5.5</v>
      </c>
      <c r="F40" s="205">
        <f>[12]Summary!F39</f>
        <v>5</v>
      </c>
      <c r="G40" s="138">
        <f t="shared" si="1"/>
        <v>27.5</v>
      </c>
      <c r="H40" s="139"/>
    </row>
    <row r="41" spans="1:8" ht="23.25">
      <c r="A41" s="169">
        <v>37</v>
      </c>
      <c r="B41" s="132" t="s">
        <v>4265</v>
      </c>
      <c r="C41" s="133" t="s">
        <v>4266</v>
      </c>
      <c r="D41" s="134" t="s">
        <v>5256</v>
      </c>
      <c r="E41" s="135">
        <f>[12]Summary!E40</f>
        <v>1.26</v>
      </c>
      <c r="F41" s="204">
        <f>[12]Summary!F40</f>
        <v>19</v>
      </c>
      <c r="G41" s="246">
        <f t="shared" si="1"/>
        <v>23.94</v>
      </c>
      <c r="H41" s="132"/>
    </row>
    <row r="42" spans="1:8" ht="23.25">
      <c r="A42" s="69">
        <v>38</v>
      </c>
      <c r="B42" s="1" t="s">
        <v>4267</v>
      </c>
      <c r="C42" s="28" t="s">
        <v>4268</v>
      </c>
      <c r="D42" s="60" t="s">
        <v>5256</v>
      </c>
      <c r="E42" s="137">
        <f>[12]Summary!E41</f>
        <v>0.9</v>
      </c>
      <c r="F42" s="205">
        <f>[12]Summary!F41</f>
        <v>0</v>
      </c>
      <c r="G42" s="138">
        <f t="shared" si="1"/>
        <v>0</v>
      </c>
      <c r="H42" s="139"/>
    </row>
    <row r="43" spans="1:8" ht="23.25">
      <c r="A43" s="169">
        <v>39</v>
      </c>
      <c r="B43" s="132" t="s">
        <v>4269</v>
      </c>
      <c r="C43" s="133" t="s">
        <v>4270</v>
      </c>
      <c r="D43" s="134" t="s">
        <v>5256</v>
      </c>
      <c r="E43" s="135">
        <f>[12]Summary!E42</f>
        <v>22</v>
      </c>
      <c r="F43" s="204">
        <f>[12]Summary!F42</f>
        <v>0</v>
      </c>
      <c r="G43" s="246">
        <f t="shared" si="1"/>
        <v>0</v>
      </c>
      <c r="H43" s="132"/>
    </row>
    <row r="44" spans="1:8" ht="23.25">
      <c r="A44" s="69">
        <v>40</v>
      </c>
      <c r="B44" s="1" t="s">
        <v>4271</v>
      </c>
      <c r="C44" s="28" t="s">
        <v>4272</v>
      </c>
      <c r="D44" s="60" t="s">
        <v>5256</v>
      </c>
      <c r="E44" s="137">
        <f>[12]Summary!E43</f>
        <v>28</v>
      </c>
      <c r="F44" s="205">
        <f>[12]Summary!F43</f>
        <v>6</v>
      </c>
      <c r="G44" s="138">
        <f t="shared" si="1"/>
        <v>168</v>
      </c>
      <c r="H44" s="139"/>
    </row>
    <row r="45" spans="1:8" ht="23.25">
      <c r="A45" s="169">
        <v>41</v>
      </c>
      <c r="B45" s="132" t="s">
        <v>4273</v>
      </c>
      <c r="C45" s="133" t="s">
        <v>4274</v>
      </c>
      <c r="D45" s="134" t="s">
        <v>5256</v>
      </c>
      <c r="E45" s="135">
        <f>[12]Summary!E44</f>
        <v>1.01</v>
      </c>
      <c r="F45" s="204">
        <f>[12]Summary!F44</f>
        <v>0</v>
      </c>
      <c r="G45" s="246">
        <f t="shared" si="1"/>
        <v>0</v>
      </c>
      <c r="H45" s="132"/>
    </row>
    <row r="46" spans="1:8" ht="46.5">
      <c r="A46" s="69">
        <v>42</v>
      </c>
      <c r="B46" s="1" t="s">
        <v>4275</v>
      </c>
      <c r="C46" s="28" t="s">
        <v>4276</v>
      </c>
      <c r="D46" s="60" t="s">
        <v>332</v>
      </c>
      <c r="E46" s="137">
        <f>[12]Summary!E45</f>
        <v>2.25</v>
      </c>
      <c r="F46" s="205">
        <f>[12]Summary!F45</f>
        <v>0</v>
      </c>
      <c r="G46" s="138">
        <f t="shared" si="1"/>
        <v>0</v>
      </c>
      <c r="H46" s="139"/>
    </row>
    <row r="47" spans="1:8" ht="23.25">
      <c r="A47" s="169">
        <v>43</v>
      </c>
      <c r="B47" s="132" t="s">
        <v>4277</v>
      </c>
      <c r="C47" s="133" t="s">
        <v>4278</v>
      </c>
      <c r="D47" s="134" t="s">
        <v>5256</v>
      </c>
      <c r="E47" s="135">
        <f>[12]Summary!E46</f>
        <v>6.25E-2</v>
      </c>
      <c r="F47" s="204">
        <f>[12]Summary!F46</f>
        <v>472</v>
      </c>
      <c r="G47" s="246">
        <f t="shared" si="1"/>
        <v>29.5</v>
      </c>
      <c r="H47" s="132"/>
    </row>
    <row r="48" spans="1:8" ht="23.25">
      <c r="A48" s="69">
        <v>44</v>
      </c>
      <c r="B48" s="1" t="s">
        <v>4279</v>
      </c>
      <c r="C48" s="28" t="s">
        <v>4280</v>
      </c>
      <c r="D48" s="60" t="s">
        <v>5256</v>
      </c>
      <c r="E48" s="137">
        <f>[12]Summary!E47</f>
        <v>0</v>
      </c>
      <c r="F48" s="205">
        <f>[12]Summary!F47</f>
        <v>26</v>
      </c>
      <c r="G48" s="138">
        <f t="shared" si="1"/>
        <v>0</v>
      </c>
      <c r="H48" s="139"/>
    </row>
    <row r="49" spans="1:8" ht="23.25">
      <c r="A49" s="169">
        <v>45</v>
      </c>
      <c r="B49" s="132" t="s">
        <v>4281</v>
      </c>
      <c r="C49" s="133" t="s">
        <v>4282</v>
      </c>
      <c r="D49" s="134" t="s">
        <v>5256</v>
      </c>
      <c r="E49" s="135">
        <f>[12]Summary!E48</f>
        <v>360</v>
      </c>
      <c r="F49" s="204">
        <f>[12]Summary!F48</f>
        <v>0</v>
      </c>
      <c r="G49" s="246">
        <f t="shared" si="1"/>
        <v>0</v>
      </c>
      <c r="H49" s="132"/>
    </row>
    <row r="50" spans="1:8" ht="23.25">
      <c r="A50" s="69">
        <v>46</v>
      </c>
      <c r="B50" s="1" t="s">
        <v>4283</v>
      </c>
      <c r="C50" s="28" t="s">
        <v>4284</v>
      </c>
      <c r="D50" s="60" t="s">
        <v>332</v>
      </c>
      <c r="E50" s="137">
        <f>[12]Summary!E49</f>
        <v>2.75</v>
      </c>
      <c r="F50" s="205">
        <f>[12]Summary!F49</f>
        <v>0</v>
      </c>
      <c r="G50" s="138">
        <f t="shared" si="1"/>
        <v>0</v>
      </c>
      <c r="H50" s="139"/>
    </row>
    <row r="51" spans="1:8" ht="23.25">
      <c r="A51" s="169">
        <v>47</v>
      </c>
      <c r="B51" s="132" t="s">
        <v>4285</v>
      </c>
      <c r="C51" s="133" t="s">
        <v>4286</v>
      </c>
      <c r="D51" s="134" t="s">
        <v>332</v>
      </c>
      <c r="E51" s="135">
        <f>[12]Summary!E50</f>
        <v>33.4</v>
      </c>
      <c r="F51" s="204">
        <f>[12]Summary!F50</f>
        <v>2.5</v>
      </c>
      <c r="G51" s="246">
        <f t="shared" si="1"/>
        <v>83.5</v>
      </c>
      <c r="H51" s="132"/>
    </row>
    <row r="52" spans="1:8" ht="46.5">
      <c r="A52" s="69">
        <v>48</v>
      </c>
      <c r="B52" s="1" t="s">
        <v>4287</v>
      </c>
      <c r="C52" s="28" t="s">
        <v>4288</v>
      </c>
      <c r="D52" s="60" t="s">
        <v>131</v>
      </c>
      <c r="E52" s="137">
        <f>[12]Summary!E51</f>
        <v>3</v>
      </c>
      <c r="F52" s="205">
        <f>[12]Summary!F51</f>
        <v>0</v>
      </c>
      <c r="G52" s="138">
        <f t="shared" si="1"/>
        <v>0</v>
      </c>
      <c r="H52" s="139"/>
    </row>
    <row r="53" spans="1:8" ht="23.25">
      <c r="A53" s="169">
        <v>49</v>
      </c>
      <c r="B53" s="132" t="s">
        <v>4289</v>
      </c>
      <c r="C53" s="133" t="s">
        <v>4290</v>
      </c>
      <c r="D53" s="134" t="s">
        <v>5256</v>
      </c>
      <c r="E53" s="135">
        <f>[12]Summary!E52</f>
        <v>22</v>
      </c>
      <c r="F53" s="204">
        <f>[12]Summary!F52</f>
        <v>2</v>
      </c>
      <c r="G53" s="246">
        <f t="shared" si="1"/>
        <v>44</v>
      </c>
      <c r="H53" s="132"/>
    </row>
    <row r="54" spans="1:8" ht="46.5">
      <c r="A54" s="69">
        <v>50</v>
      </c>
      <c r="B54" s="1" t="s">
        <v>4291</v>
      </c>
      <c r="C54" s="28" t="s">
        <v>4292</v>
      </c>
      <c r="D54" s="60" t="s">
        <v>131</v>
      </c>
      <c r="E54" s="137">
        <f>[12]Summary!E53</f>
        <v>2030</v>
      </c>
      <c r="F54" s="205">
        <f>[12]Summary!F53</f>
        <v>0</v>
      </c>
      <c r="G54" s="138">
        <f t="shared" si="1"/>
        <v>0</v>
      </c>
      <c r="H54" s="139"/>
    </row>
    <row r="55" spans="1:8" ht="23.25">
      <c r="A55" s="169">
        <v>51</v>
      </c>
      <c r="B55" s="132" t="s">
        <v>4293</v>
      </c>
      <c r="C55" s="133" t="s">
        <v>4294</v>
      </c>
      <c r="D55" s="134" t="s">
        <v>5256</v>
      </c>
      <c r="E55" s="135">
        <f>[12]Summary!E54</f>
        <v>1.1000000000000001</v>
      </c>
      <c r="F55" s="204">
        <f>[12]Summary!F54</f>
        <v>0</v>
      </c>
      <c r="G55" s="246">
        <f t="shared" si="1"/>
        <v>0</v>
      </c>
      <c r="H55" s="132"/>
    </row>
    <row r="56" spans="1:8" ht="23.25">
      <c r="A56" s="69">
        <v>52</v>
      </c>
      <c r="B56" s="1" t="s">
        <v>4295</v>
      </c>
      <c r="C56" s="28" t="s">
        <v>4296</v>
      </c>
      <c r="D56" s="60" t="s">
        <v>5256</v>
      </c>
      <c r="E56" s="137">
        <f>[12]Summary!E55</f>
        <v>2.35</v>
      </c>
      <c r="F56" s="205">
        <f>[12]Summary!F55</f>
        <v>0</v>
      </c>
      <c r="G56" s="138">
        <f t="shared" si="1"/>
        <v>0</v>
      </c>
      <c r="H56" s="139"/>
    </row>
    <row r="57" spans="1:8" ht="23.25">
      <c r="A57" s="169">
        <v>53</v>
      </c>
      <c r="B57" s="132" t="s">
        <v>4297</v>
      </c>
      <c r="C57" s="133" t="s">
        <v>4298</v>
      </c>
      <c r="D57" s="134" t="s">
        <v>5256</v>
      </c>
      <c r="E57" s="135">
        <f>[12]Summary!E56</f>
        <v>1.5</v>
      </c>
      <c r="F57" s="204">
        <f>[12]Summary!F56</f>
        <v>4.75</v>
      </c>
      <c r="G57" s="246">
        <f t="shared" si="1"/>
        <v>7.125</v>
      </c>
      <c r="H57" s="132"/>
    </row>
    <row r="58" spans="1:8" ht="23.25">
      <c r="A58" s="69">
        <v>54</v>
      </c>
      <c r="B58" s="1" t="s">
        <v>4299</v>
      </c>
      <c r="C58" s="28" t="s">
        <v>4300</v>
      </c>
      <c r="D58" s="60" t="s">
        <v>5256</v>
      </c>
      <c r="E58" s="137">
        <f>[12]Summary!E57</f>
        <v>15</v>
      </c>
      <c r="F58" s="205">
        <f>[12]Summary!F57</f>
        <v>6</v>
      </c>
      <c r="G58" s="138">
        <f t="shared" si="1"/>
        <v>90</v>
      </c>
      <c r="H58" s="139"/>
    </row>
    <row r="59" spans="1:8" ht="46.5">
      <c r="A59" s="169">
        <v>55</v>
      </c>
      <c r="B59" s="132" t="s">
        <v>4301</v>
      </c>
      <c r="C59" s="133" t="s">
        <v>4302</v>
      </c>
      <c r="D59" s="134" t="s">
        <v>5256</v>
      </c>
      <c r="E59" s="135">
        <f>[12]Summary!E58</f>
        <v>6.66</v>
      </c>
      <c r="F59" s="204">
        <f>[12]Summary!F58</f>
        <v>2</v>
      </c>
      <c r="G59" s="246">
        <f t="shared" si="1"/>
        <v>13.32</v>
      </c>
      <c r="H59" s="132"/>
    </row>
    <row r="60" spans="1:8" ht="23.25">
      <c r="A60" s="69">
        <v>56</v>
      </c>
      <c r="B60" s="1" t="s">
        <v>4303</v>
      </c>
      <c r="C60" s="28" t="s">
        <v>5806</v>
      </c>
      <c r="D60" s="60" t="s">
        <v>332</v>
      </c>
      <c r="E60" s="137">
        <f>[12]Summary!E59</f>
        <v>165</v>
      </c>
      <c r="F60" s="205">
        <f>[12]Summary!F59</f>
        <v>0</v>
      </c>
      <c r="G60" s="138">
        <f t="shared" si="1"/>
        <v>0</v>
      </c>
      <c r="H60" s="139"/>
    </row>
    <row r="61" spans="1:8" ht="23.25">
      <c r="A61" s="169">
        <v>57</v>
      </c>
      <c r="B61" s="132" t="s">
        <v>4304</v>
      </c>
      <c r="C61" s="133" t="s">
        <v>4305</v>
      </c>
      <c r="D61" s="134" t="s">
        <v>5256</v>
      </c>
      <c r="E61" s="135">
        <f>[12]Summary!E60</f>
        <v>55</v>
      </c>
      <c r="F61" s="204">
        <f>[12]Summary!F60</f>
        <v>0</v>
      </c>
      <c r="G61" s="246">
        <f t="shared" si="1"/>
        <v>0</v>
      </c>
      <c r="H61" s="132"/>
    </row>
    <row r="62" spans="1:8" ht="23.25">
      <c r="A62" s="69">
        <v>58</v>
      </c>
      <c r="B62" s="1" t="s">
        <v>4306</v>
      </c>
      <c r="C62" s="28" t="s">
        <v>4307</v>
      </c>
      <c r="D62" s="60" t="s">
        <v>5256</v>
      </c>
      <c r="E62" s="137">
        <f>[12]Summary!E61</f>
        <v>13.5</v>
      </c>
      <c r="F62" s="205">
        <f>[12]Summary!F61</f>
        <v>0</v>
      </c>
      <c r="G62" s="138">
        <f t="shared" si="1"/>
        <v>0</v>
      </c>
      <c r="H62" s="139"/>
    </row>
    <row r="63" spans="1:8" ht="23.25">
      <c r="A63" s="169">
        <v>59</v>
      </c>
      <c r="B63" s="132" t="s">
        <v>4308</v>
      </c>
      <c r="C63" s="133" t="s">
        <v>4309</v>
      </c>
      <c r="D63" s="134" t="s">
        <v>3717</v>
      </c>
      <c r="E63" s="135">
        <f>[12]Summary!E62</f>
        <v>7.58</v>
      </c>
      <c r="F63" s="204">
        <f>[12]Summary!F62</f>
        <v>0</v>
      </c>
      <c r="G63" s="246">
        <f t="shared" si="1"/>
        <v>0</v>
      </c>
      <c r="H63" s="132"/>
    </row>
    <row r="64" spans="1:8" ht="46.5">
      <c r="A64" s="69">
        <v>60</v>
      </c>
      <c r="B64" s="1" t="s">
        <v>4310</v>
      </c>
      <c r="C64" s="28" t="s">
        <v>4311</v>
      </c>
      <c r="D64" s="60" t="s">
        <v>3717</v>
      </c>
      <c r="E64" s="137">
        <f>[12]Summary!E63</f>
        <v>85</v>
      </c>
      <c r="F64" s="205">
        <f>[12]Summary!F63</f>
        <v>0</v>
      </c>
      <c r="G64" s="138">
        <f t="shared" si="1"/>
        <v>0</v>
      </c>
      <c r="H64" s="139"/>
    </row>
    <row r="65" spans="1:8" ht="23.25">
      <c r="A65" s="169">
        <v>61</v>
      </c>
      <c r="B65" s="132" t="s">
        <v>4312</v>
      </c>
      <c r="C65" s="133" t="s">
        <v>4313</v>
      </c>
      <c r="D65" s="134" t="s">
        <v>3717</v>
      </c>
      <c r="E65" s="135">
        <f>[12]Summary!E64</f>
        <v>2.78</v>
      </c>
      <c r="F65" s="204">
        <f>[12]Summary!F64</f>
        <v>18</v>
      </c>
      <c r="G65" s="246">
        <f t="shared" si="1"/>
        <v>50.04</v>
      </c>
      <c r="H65" s="132"/>
    </row>
    <row r="66" spans="1:8" ht="23.25">
      <c r="A66" s="69">
        <v>62</v>
      </c>
      <c r="B66" s="1" t="s">
        <v>4314</v>
      </c>
      <c r="C66" s="28" t="s">
        <v>4315</v>
      </c>
      <c r="D66" s="60" t="s">
        <v>5256</v>
      </c>
      <c r="E66" s="137">
        <f>[12]Summary!E65</f>
        <v>34.83</v>
      </c>
      <c r="F66" s="205">
        <f>[12]Summary!F65</f>
        <v>0.25</v>
      </c>
      <c r="G66" s="138">
        <f t="shared" si="1"/>
        <v>8.7074999999999996</v>
      </c>
      <c r="H66" s="139"/>
    </row>
    <row r="67" spans="1:8" ht="23.25">
      <c r="A67" s="169">
        <v>63</v>
      </c>
      <c r="B67" s="132" t="s">
        <v>4316</v>
      </c>
      <c r="C67" s="133" t="s">
        <v>4317</v>
      </c>
      <c r="D67" s="134" t="s">
        <v>5256</v>
      </c>
      <c r="E67" s="135">
        <f>[12]Summary!E66</f>
        <v>45</v>
      </c>
      <c r="F67" s="204">
        <f>[12]Summary!F66</f>
        <v>0</v>
      </c>
      <c r="G67" s="246">
        <f t="shared" si="1"/>
        <v>0</v>
      </c>
      <c r="H67" s="132"/>
    </row>
    <row r="68" spans="1:8" ht="23.25">
      <c r="A68" s="46">
        <v>64</v>
      </c>
      <c r="B68" s="1" t="s">
        <v>4318</v>
      </c>
      <c r="C68" s="28" t="s">
        <v>4319</v>
      </c>
      <c r="D68" s="60" t="s">
        <v>131</v>
      </c>
      <c r="E68" s="137">
        <f>[12]Summary!E67</f>
        <v>1.84</v>
      </c>
      <c r="F68" s="205">
        <f>[12]Summary!F67</f>
        <v>20</v>
      </c>
      <c r="G68" s="138">
        <f t="shared" si="1"/>
        <v>36.800000000000004</v>
      </c>
      <c r="H68" s="139"/>
    </row>
    <row r="69" spans="1:8" ht="46.5">
      <c r="A69" s="169">
        <v>65</v>
      </c>
      <c r="B69" s="132" t="s">
        <v>4320</v>
      </c>
      <c r="C69" s="133" t="s">
        <v>4321</v>
      </c>
      <c r="D69" s="134" t="s">
        <v>5256</v>
      </c>
      <c r="E69" s="135">
        <f>[12]Summary!E68</f>
        <v>1.48</v>
      </c>
      <c r="F69" s="204">
        <f>[12]Summary!F68</f>
        <v>3</v>
      </c>
      <c r="G69" s="246">
        <f t="shared" ref="G69:G100" si="2">E69*F69</f>
        <v>4.4399999999999995</v>
      </c>
      <c r="H69" s="132"/>
    </row>
    <row r="70" spans="1:8" ht="46.5">
      <c r="A70" s="69">
        <v>66</v>
      </c>
      <c r="B70" s="1" t="s">
        <v>4322</v>
      </c>
      <c r="C70" s="28" t="s">
        <v>4323</v>
      </c>
      <c r="D70" s="60" t="s">
        <v>5256</v>
      </c>
      <c r="E70" s="137">
        <f>[12]Summary!E69</f>
        <v>9.9</v>
      </c>
      <c r="F70" s="205">
        <f>[12]Summary!F69</f>
        <v>0</v>
      </c>
      <c r="G70" s="138">
        <f t="shared" si="2"/>
        <v>0</v>
      </c>
      <c r="H70" s="139"/>
    </row>
    <row r="71" spans="1:8" ht="46.5">
      <c r="A71" s="169">
        <v>67</v>
      </c>
      <c r="B71" s="132" t="s">
        <v>4324</v>
      </c>
      <c r="C71" s="133" t="s">
        <v>4325</v>
      </c>
      <c r="D71" s="134" t="s">
        <v>5256</v>
      </c>
      <c r="E71" s="135">
        <f>[12]Summary!E70</f>
        <v>14</v>
      </c>
      <c r="F71" s="204">
        <f>[12]Summary!F70</f>
        <v>1</v>
      </c>
      <c r="G71" s="246">
        <f t="shared" si="2"/>
        <v>14</v>
      </c>
      <c r="H71" s="132"/>
    </row>
    <row r="72" spans="1:8" ht="23.25">
      <c r="A72" s="69">
        <v>68</v>
      </c>
      <c r="B72" s="1" t="s">
        <v>4326</v>
      </c>
      <c r="C72" s="28" t="s">
        <v>4327</v>
      </c>
      <c r="D72" s="60" t="s">
        <v>3688</v>
      </c>
      <c r="E72" s="137">
        <f>[12]Summary!E71</f>
        <v>3.5</v>
      </c>
      <c r="F72" s="205">
        <f>[12]Summary!F71</f>
        <v>0</v>
      </c>
      <c r="G72" s="138">
        <f t="shared" si="2"/>
        <v>0</v>
      </c>
      <c r="H72" s="139"/>
    </row>
    <row r="73" spans="1:8" ht="23.25">
      <c r="A73" s="169">
        <v>69</v>
      </c>
      <c r="B73" s="132" t="s">
        <v>4328</v>
      </c>
      <c r="C73" s="133" t="s">
        <v>4329</v>
      </c>
      <c r="D73" s="134" t="s">
        <v>3688</v>
      </c>
      <c r="E73" s="135">
        <f>[12]Summary!E72</f>
        <v>2.41</v>
      </c>
      <c r="F73" s="204">
        <f>[12]Summary!F72</f>
        <v>0</v>
      </c>
      <c r="G73" s="246">
        <f t="shared" si="2"/>
        <v>0</v>
      </c>
      <c r="H73" s="132"/>
    </row>
    <row r="74" spans="1:8" ht="46.5">
      <c r="A74" s="69">
        <v>70</v>
      </c>
      <c r="B74" s="1" t="s">
        <v>4330</v>
      </c>
      <c r="C74" s="28" t="s">
        <v>4331</v>
      </c>
      <c r="D74" s="60" t="s">
        <v>5256</v>
      </c>
      <c r="E74" s="137">
        <f>[12]Summary!E73</f>
        <v>10</v>
      </c>
      <c r="F74" s="205">
        <f>[12]Summary!F73</f>
        <v>0</v>
      </c>
      <c r="G74" s="138">
        <f t="shared" si="2"/>
        <v>0</v>
      </c>
      <c r="H74" s="139"/>
    </row>
    <row r="75" spans="1:8" ht="23.25">
      <c r="A75" s="169">
        <v>71</v>
      </c>
      <c r="B75" s="132" t="s">
        <v>4332</v>
      </c>
      <c r="C75" s="133" t="s">
        <v>4333</v>
      </c>
      <c r="D75" s="134" t="s">
        <v>5256</v>
      </c>
      <c r="E75" s="135">
        <f>[12]Summary!E74</f>
        <v>0.40500000000000003</v>
      </c>
      <c r="F75" s="204">
        <f>[12]Summary!F74</f>
        <v>105</v>
      </c>
      <c r="G75" s="246">
        <f t="shared" si="2"/>
        <v>42.525000000000006</v>
      </c>
      <c r="H75" s="132"/>
    </row>
    <row r="76" spans="1:8" ht="23.25">
      <c r="A76" s="69">
        <v>72</v>
      </c>
      <c r="B76" s="1" t="s">
        <v>4334</v>
      </c>
      <c r="C76" s="28" t="s">
        <v>4335</v>
      </c>
      <c r="D76" s="60" t="s">
        <v>5256</v>
      </c>
      <c r="E76" s="137">
        <f>[12]Summary!E75</f>
        <v>1.5</v>
      </c>
      <c r="F76" s="205">
        <f>[12]Summary!F75</f>
        <v>26</v>
      </c>
      <c r="G76" s="138">
        <f t="shared" si="2"/>
        <v>39</v>
      </c>
      <c r="H76" s="139"/>
    </row>
    <row r="77" spans="1:8" ht="23.25">
      <c r="A77" s="169">
        <v>73</v>
      </c>
      <c r="B77" s="132" t="s">
        <v>4336</v>
      </c>
      <c r="C77" s="133" t="s">
        <v>4337</v>
      </c>
      <c r="D77" s="134" t="s">
        <v>5256</v>
      </c>
      <c r="E77" s="135">
        <f>[12]Summary!E76</f>
        <v>3.5</v>
      </c>
      <c r="F77" s="204">
        <f>[12]Summary!F76</f>
        <v>10</v>
      </c>
      <c r="G77" s="246">
        <f t="shared" si="2"/>
        <v>35</v>
      </c>
      <c r="H77" s="132"/>
    </row>
    <row r="78" spans="1:8" ht="23.25">
      <c r="A78" s="69">
        <v>74</v>
      </c>
      <c r="B78" s="1" t="s">
        <v>4338</v>
      </c>
      <c r="C78" s="28" t="s">
        <v>4339</v>
      </c>
      <c r="D78" s="60" t="s">
        <v>5256</v>
      </c>
      <c r="E78" s="137">
        <f>[12]Summary!E77</f>
        <v>1.25</v>
      </c>
      <c r="F78" s="205">
        <f>[12]Summary!F77</f>
        <v>0</v>
      </c>
      <c r="G78" s="138">
        <f t="shared" si="2"/>
        <v>0</v>
      </c>
      <c r="H78" s="139"/>
    </row>
    <row r="79" spans="1:8" ht="23.25">
      <c r="A79" s="169">
        <v>75</v>
      </c>
      <c r="B79" s="132" t="s">
        <v>4340</v>
      </c>
      <c r="C79" s="133" t="s">
        <v>4341</v>
      </c>
      <c r="D79" s="134" t="s">
        <v>5256</v>
      </c>
      <c r="E79" s="135">
        <f>[12]Summary!E78</f>
        <v>1.5</v>
      </c>
      <c r="F79" s="204">
        <f>[12]Summary!F78</f>
        <v>0</v>
      </c>
      <c r="G79" s="246">
        <f t="shared" si="2"/>
        <v>0</v>
      </c>
      <c r="H79" s="132"/>
    </row>
    <row r="80" spans="1:8" ht="23.25">
      <c r="A80" s="69">
        <v>76</v>
      </c>
      <c r="B80" s="1" t="s">
        <v>4422</v>
      </c>
      <c r="C80" s="28" t="s">
        <v>4423</v>
      </c>
      <c r="D80" s="60" t="s">
        <v>5256</v>
      </c>
      <c r="E80" s="137">
        <f>[12]Summary!E79</f>
        <v>2.7</v>
      </c>
      <c r="F80" s="205">
        <f>[12]Summary!F79</f>
        <v>16</v>
      </c>
      <c r="G80" s="138">
        <f t="shared" si="2"/>
        <v>43.2</v>
      </c>
      <c r="H80" s="139"/>
    </row>
    <row r="81" spans="1:8" ht="23.25">
      <c r="A81" s="169">
        <v>77</v>
      </c>
      <c r="B81" s="132" t="s">
        <v>4342</v>
      </c>
      <c r="C81" s="133" t="s">
        <v>4343</v>
      </c>
      <c r="D81" s="134" t="s">
        <v>5256</v>
      </c>
      <c r="E81" s="135">
        <f>[12]Summary!E80</f>
        <v>19</v>
      </c>
      <c r="F81" s="204">
        <f>[12]Summary!F80</f>
        <v>1</v>
      </c>
      <c r="G81" s="246">
        <f t="shared" si="2"/>
        <v>19</v>
      </c>
      <c r="H81" s="132"/>
    </row>
    <row r="82" spans="1:8" ht="23.25">
      <c r="A82" s="69">
        <v>78</v>
      </c>
      <c r="B82" s="1" t="s">
        <v>4344</v>
      </c>
      <c r="C82" s="28" t="s">
        <v>4345</v>
      </c>
      <c r="D82" s="60" t="s">
        <v>5256</v>
      </c>
      <c r="E82" s="137">
        <f>[12]Summary!E81</f>
        <v>15</v>
      </c>
      <c r="F82" s="205">
        <f>[12]Summary!F81</f>
        <v>9</v>
      </c>
      <c r="G82" s="138">
        <f t="shared" si="2"/>
        <v>135</v>
      </c>
      <c r="H82" s="139"/>
    </row>
    <row r="83" spans="1:8" ht="46.5">
      <c r="A83" s="169">
        <v>79</v>
      </c>
      <c r="B83" s="132" t="s">
        <v>4346</v>
      </c>
      <c r="C83" s="133" t="s">
        <v>4347</v>
      </c>
      <c r="D83" s="134" t="s">
        <v>5256</v>
      </c>
      <c r="E83" s="135">
        <f>[12]Summary!E82</f>
        <v>5</v>
      </c>
      <c r="F83" s="204">
        <f>[12]Summary!F82</f>
        <v>0</v>
      </c>
      <c r="G83" s="246">
        <f t="shared" si="2"/>
        <v>0</v>
      </c>
      <c r="H83" s="132"/>
    </row>
    <row r="84" spans="1:8" ht="23.25">
      <c r="A84" s="69">
        <v>80</v>
      </c>
      <c r="B84" s="1" t="s">
        <v>4348</v>
      </c>
      <c r="C84" s="28" t="s">
        <v>4349</v>
      </c>
      <c r="D84" s="60" t="s">
        <v>5256</v>
      </c>
      <c r="E84" s="137">
        <f>[12]Summary!E83</f>
        <v>3.5</v>
      </c>
      <c r="F84" s="205">
        <f>[12]Summary!F83</f>
        <v>0</v>
      </c>
      <c r="G84" s="138">
        <f t="shared" si="2"/>
        <v>0</v>
      </c>
      <c r="H84" s="139"/>
    </row>
    <row r="85" spans="1:8" ht="23.25">
      <c r="A85" s="169">
        <v>81</v>
      </c>
      <c r="B85" s="132" t="s">
        <v>4350</v>
      </c>
      <c r="C85" s="133" t="s">
        <v>4351</v>
      </c>
      <c r="D85" s="134" t="s">
        <v>5256</v>
      </c>
      <c r="E85" s="135">
        <f>[12]Summary!E84</f>
        <v>8.75</v>
      </c>
      <c r="F85" s="204">
        <f>[12]Summary!F84</f>
        <v>0</v>
      </c>
      <c r="G85" s="246">
        <f t="shared" si="2"/>
        <v>0</v>
      </c>
      <c r="H85" s="132"/>
    </row>
    <row r="86" spans="1:8" ht="23.25">
      <c r="A86" s="69">
        <v>82</v>
      </c>
      <c r="B86" s="1" t="s">
        <v>4352</v>
      </c>
      <c r="C86" s="28" t="s">
        <v>4353</v>
      </c>
      <c r="D86" s="60" t="s">
        <v>5256</v>
      </c>
      <c r="E86" s="137">
        <f>[12]Summary!E85</f>
        <v>37.5</v>
      </c>
      <c r="F86" s="205">
        <f>[12]Summary!F85</f>
        <v>0</v>
      </c>
      <c r="G86" s="138">
        <f t="shared" si="2"/>
        <v>0</v>
      </c>
      <c r="H86" s="139"/>
    </row>
    <row r="87" spans="1:8" ht="46.5">
      <c r="A87" s="169">
        <v>83</v>
      </c>
      <c r="B87" s="132" t="s">
        <v>4354</v>
      </c>
      <c r="C87" s="133" t="s">
        <v>4355</v>
      </c>
      <c r="D87" s="134" t="s">
        <v>5256</v>
      </c>
      <c r="E87" s="135">
        <f>[12]Summary!E86</f>
        <v>7.6</v>
      </c>
      <c r="F87" s="204">
        <f>[12]Summary!F86</f>
        <v>62</v>
      </c>
      <c r="G87" s="246">
        <f t="shared" si="2"/>
        <v>471.2</v>
      </c>
      <c r="H87" s="132"/>
    </row>
    <row r="88" spans="1:8" ht="23.25">
      <c r="A88" s="69">
        <v>84</v>
      </c>
      <c r="B88" s="1" t="s">
        <v>4418</v>
      </c>
      <c r="C88" s="28" t="s">
        <v>4419</v>
      </c>
      <c r="D88" s="60" t="s">
        <v>5256</v>
      </c>
      <c r="E88" s="137">
        <f>[12]Summary!E87</f>
        <v>35</v>
      </c>
      <c r="F88" s="205">
        <f>[12]Summary!F87</f>
        <v>2</v>
      </c>
      <c r="G88" s="138">
        <f t="shared" si="2"/>
        <v>70</v>
      </c>
      <c r="H88" s="139"/>
    </row>
    <row r="89" spans="1:8" ht="46.5">
      <c r="A89" s="169">
        <v>85</v>
      </c>
      <c r="B89" s="132" t="s">
        <v>4420</v>
      </c>
      <c r="C89" s="132" t="s">
        <v>4421</v>
      </c>
      <c r="D89" s="134" t="s">
        <v>5256</v>
      </c>
      <c r="E89" s="135">
        <f>[12]Summary!E88</f>
        <v>2.5</v>
      </c>
      <c r="F89" s="204">
        <f>[12]Summary!F88</f>
        <v>38</v>
      </c>
      <c r="G89" s="246">
        <f t="shared" si="2"/>
        <v>95</v>
      </c>
      <c r="H89" s="132"/>
    </row>
    <row r="90" spans="1:8" ht="23.25">
      <c r="A90" s="69">
        <v>86</v>
      </c>
      <c r="B90" s="1" t="s">
        <v>4356</v>
      </c>
      <c r="C90" s="28" t="s">
        <v>4357</v>
      </c>
      <c r="D90" s="60" t="s">
        <v>5256</v>
      </c>
      <c r="E90" s="137">
        <f>[12]Summary!E89</f>
        <v>0.19170000000000001</v>
      </c>
      <c r="F90" s="205">
        <f>[12]Summary!F89</f>
        <v>86</v>
      </c>
      <c r="G90" s="138">
        <f t="shared" si="2"/>
        <v>16.4862</v>
      </c>
      <c r="H90" s="139"/>
    </row>
    <row r="91" spans="1:8" ht="46.5">
      <c r="A91" s="169">
        <v>87</v>
      </c>
      <c r="B91" s="132" t="s">
        <v>4358</v>
      </c>
      <c r="C91" s="133" t="s">
        <v>4359</v>
      </c>
      <c r="D91" s="134" t="s">
        <v>5256</v>
      </c>
      <c r="E91" s="135">
        <f>[12]Summary!E90</f>
        <v>28</v>
      </c>
      <c r="F91" s="204">
        <f>[12]Summary!F90</f>
        <v>8</v>
      </c>
      <c r="G91" s="246">
        <f t="shared" si="2"/>
        <v>224</v>
      </c>
      <c r="H91" s="132"/>
    </row>
    <row r="92" spans="1:8" ht="23.25">
      <c r="A92" s="69">
        <v>88</v>
      </c>
      <c r="B92" s="1" t="s">
        <v>4360</v>
      </c>
      <c r="C92" s="28" t="s">
        <v>4361</v>
      </c>
      <c r="D92" s="60" t="s">
        <v>5256</v>
      </c>
      <c r="E92" s="137">
        <f>[12]Summary!E91</f>
        <v>1.25</v>
      </c>
      <c r="F92" s="205">
        <f>[12]Summary!F91</f>
        <v>0</v>
      </c>
      <c r="G92" s="138">
        <f t="shared" si="2"/>
        <v>0</v>
      </c>
      <c r="H92" s="139"/>
    </row>
    <row r="93" spans="1:8" ht="23.25">
      <c r="A93" s="169">
        <v>89</v>
      </c>
      <c r="B93" s="132" t="str">
        <f>'[12]White Rope Ratchet '!$L$4</f>
        <v xml:space="preserve">حبل ابيض للسخانات  </v>
      </c>
      <c r="C93" s="133" t="s">
        <v>4362</v>
      </c>
      <c r="D93" s="134" t="s">
        <v>5256</v>
      </c>
      <c r="E93" s="135">
        <f>[12]Summary!E92</f>
        <v>20.92</v>
      </c>
      <c r="F93" s="204">
        <f>[12]Summary!F92</f>
        <v>1</v>
      </c>
      <c r="G93" s="246">
        <f t="shared" si="2"/>
        <v>20.92</v>
      </c>
      <c r="H93" s="132"/>
    </row>
    <row r="94" spans="1:8" ht="23.25">
      <c r="A94" s="69">
        <v>90</v>
      </c>
      <c r="B94" s="1" t="s">
        <v>4363</v>
      </c>
      <c r="C94" s="28" t="s">
        <v>4364</v>
      </c>
      <c r="D94" s="60" t="s">
        <v>5256</v>
      </c>
      <c r="E94" s="137">
        <f>[12]Summary!E93</f>
        <v>0.10100000000000001</v>
      </c>
      <c r="F94" s="205">
        <f>[12]Summary!F93</f>
        <v>371</v>
      </c>
      <c r="G94" s="138">
        <f t="shared" si="2"/>
        <v>37.471000000000004</v>
      </c>
      <c r="H94" s="139"/>
    </row>
    <row r="95" spans="1:8" ht="46.5">
      <c r="A95" s="169">
        <v>91</v>
      </c>
      <c r="B95" s="132" t="s">
        <v>4365</v>
      </c>
      <c r="C95" s="133" t="s">
        <v>4366</v>
      </c>
      <c r="D95" s="134" t="s">
        <v>5256</v>
      </c>
      <c r="E95" s="135">
        <f>[12]Summary!E94</f>
        <v>9.8000000000000004E-2</v>
      </c>
      <c r="F95" s="204">
        <f>[12]Summary!F94</f>
        <v>192.5</v>
      </c>
      <c r="G95" s="246">
        <f t="shared" si="2"/>
        <v>18.865000000000002</v>
      </c>
      <c r="H95" s="132"/>
    </row>
    <row r="96" spans="1:8" ht="46.5">
      <c r="A96" s="69">
        <v>92</v>
      </c>
      <c r="B96" s="1" t="str">
        <f>'[12]Wiper Rubber Plastic For Vinyl '!$L$4</f>
        <v>ماسحة بلاستيك وربل للفاينل 55سم SGS</v>
      </c>
      <c r="C96" s="28" t="s">
        <v>4367</v>
      </c>
      <c r="D96" s="60" t="s">
        <v>5256</v>
      </c>
      <c r="E96" s="137">
        <f>[12]Summary!E95</f>
        <v>3.375</v>
      </c>
      <c r="F96" s="205">
        <f>[12]Summary!F95</f>
        <v>0</v>
      </c>
      <c r="G96" s="138">
        <f t="shared" si="2"/>
        <v>0</v>
      </c>
      <c r="H96" s="139"/>
    </row>
    <row r="97" spans="1:8" ht="23.25">
      <c r="A97" s="169">
        <v>93</v>
      </c>
      <c r="B97" s="132" t="str">
        <f>'[12]Wood Handle Spade '!$L$4</f>
        <v>يدة كرك خشب</v>
      </c>
      <c r="C97" s="133" t="s">
        <v>4368</v>
      </c>
      <c r="D97" s="134" t="s">
        <v>5256</v>
      </c>
      <c r="E97" s="135">
        <f>[12]Summary!E96</f>
        <v>2.5</v>
      </c>
      <c r="F97" s="204">
        <f>[12]Summary!F96</f>
        <v>18</v>
      </c>
      <c r="G97" s="246">
        <f t="shared" si="2"/>
        <v>45</v>
      </c>
      <c r="H97" s="132"/>
    </row>
    <row r="98" spans="1:8" ht="23.25">
      <c r="A98" s="69">
        <v>94</v>
      </c>
      <c r="B98" s="1" t="s">
        <v>4369</v>
      </c>
      <c r="C98" s="28" t="s">
        <v>4370</v>
      </c>
      <c r="D98" s="60" t="s">
        <v>332</v>
      </c>
      <c r="E98" s="137">
        <f>[12]Summary!E97</f>
        <v>13</v>
      </c>
      <c r="F98" s="205">
        <f>[12]Summary!F97</f>
        <v>6</v>
      </c>
      <c r="G98" s="138">
        <f t="shared" si="2"/>
        <v>78</v>
      </c>
      <c r="H98" s="139"/>
    </row>
    <row r="99" spans="1:8" ht="23.25">
      <c r="A99" s="169">
        <v>95</v>
      </c>
      <c r="B99" s="132" t="s">
        <v>4424</v>
      </c>
      <c r="C99" s="133" t="s">
        <v>4425</v>
      </c>
      <c r="D99" s="134" t="s">
        <v>131</v>
      </c>
      <c r="E99" s="135">
        <f>[12]Summary!E98</f>
        <v>0</v>
      </c>
      <c r="F99" s="204">
        <f>[12]Summary!F98</f>
        <v>21</v>
      </c>
      <c r="G99" s="246">
        <f t="shared" si="2"/>
        <v>0</v>
      </c>
      <c r="H99" s="132"/>
    </row>
    <row r="100" spans="1:8" ht="23.25">
      <c r="A100" s="69">
        <v>96</v>
      </c>
      <c r="B100" s="1" t="s">
        <v>4426</v>
      </c>
      <c r="C100" s="28" t="s">
        <v>4427</v>
      </c>
      <c r="D100" s="60" t="s">
        <v>5256</v>
      </c>
      <c r="E100" s="137">
        <f>[12]Summary!E99</f>
        <v>1.25</v>
      </c>
      <c r="F100" s="205">
        <f>[12]Summary!F99</f>
        <v>22</v>
      </c>
      <c r="G100" s="138">
        <f t="shared" si="2"/>
        <v>27.5</v>
      </c>
      <c r="H100" s="139"/>
    </row>
    <row r="101" spans="1:8" ht="23.25">
      <c r="A101" s="169">
        <v>97</v>
      </c>
      <c r="B101" s="132" t="s">
        <v>4428</v>
      </c>
      <c r="C101" s="133" t="s">
        <v>4429</v>
      </c>
      <c r="D101" s="134" t="s">
        <v>5256</v>
      </c>
      <c r="E101" s="135">
        <f>[12]Summary!E100</f>
        <v>15</v>
      </c>
      <c r="F101" s="204">
        <f>[12]Summary!F100</f>
        <v>0</v>
      </c>
      <c r="G101" s="246">
        <f t="shared" ref="G101" si="3">E101*F101</f>
        <v>0</v>
      </c>
      <c r="H101" s="132"/>
    </row>
    <row r="102" spans="1:8" s="8" customFormat="1" ht="33" customHeight="1">
      <c r="A102" s="69">
        <v>98</v>
      </c>
      <c r="B102" s="1" t="s">
        <v>4601</v>
      </c>
      <c r="C102" s="28" t="s">
        <v>4602</v>
      </c>
      <c r="D102" s="60" t="s">
        <v>5835</v>
      </c>
      <c r="E102" s="137">
        <f>[12]Summary!E101</f>
        <v>1</v>
      </c>
      <c r="F102" s="205">
        <f>[12]Summary!F101</f>
        <v>47</v>
      </c>
      <c r="G102" s="138">
        <f t="shared" ref="G102:G107" si="4">F102*E102</f>
        <v>47</v>
      </c>
      <c r="H102" s="139"/>
    </row>
    <row r="103" spans="1:8" s="112" customFormat="1" ht="23.25">
      <c r="A103" s="169">
        <v>99</v>
      </c>
      <c r="B103" s="132" t="s">
        <v>5683</v>
      </c>
      <c r="C103" s="133" t="s">
        <v>5684</v>
      </c>
      <c r="D103" s="134" t="s">
        <v>1584</v>
      </c>
      <c r="E103" s="255">
        <f>[12]Summary!E102</f>
        <v>125</v>
      </c>
      <c r="F103" s="204">
        <f>[12]Summary!F102</f>
        <v>26</v>
      </c>
      <c r="G103" s="246">
        <f t="shared" si="4"/>
        <v>3250</v>
      </c>
      <c r="H103" s="132"/>
    </row>
    <row r="104" spans="1:8" s="112" customFormat="1" ht="23.25">
      <c r="A104" s="69">
        <v>100</v>
      </c>
      <c r="B104" s="1" t="s">
        <v>5685</v>
      </c>
      <c r="C104" s="28" t="s">
        <v>5686</v>
      </c>
      <c r="D104" s="60" t="s">
        <v>1584</v>
      </c>
      <c r="E104" s="256">
        <f>[12]Summary!E103</f>
        <v>75</v>
      </c>
      <c r="F104" s="205">
        <f>[12]Summary!F103</f>
        <v>6</v>
      </c>
      <c r="G104" s="138">
        <f t="shared" si="4"/>
        <v>450</v>
      </c>
      <c r="H104" s="139"/>
    </row>
    <row r="105" spans="1:8" s="112" customFormat="1" ht="23.25">
      <c r="A105" s="169">
        <v>101</v>
      </c>
      <c r="B105" s="132" t="s">
        <v>5687</v>
      </c>
      <c r="C105" s="133" t="s">
        <v>5688</v>
      </c>
      <c r="D105" s="134" t="s">
        <v>1584</v>
      </c>
      <c r="E105" s="255">
        <f>[12]Summary!E104</f>
        <v>15</v>
      </c>
      <c r="F105" s="204">
        <f>[12]Summary!F104</f>
        <v>1</v>
      </c>
      <c r="G105" s="246">
        <f t="shared" si="4"/>
        <v>15</v>
      </c>
      <c r="H105" s="132"/>
    </row>
    <row r="106" spans="1:8" s="112" customFormat="1" ht="23.25">
      <c r="A106" s="69">
        <v>102</v>
      </c>
      <c r="B106" s="1" t="s">
        <v>5831</v>
      </c>
      <c r="C106" s="28" t="s">
        <v>5832</v>
      </c>
      <c r="D106" s="60" t="s">
        <v>1584</v>
      </c>
      <c r="E106" s="256">
        <f>[12]Summary!E105</f>
        <v>138</v>
      </c>
      <c r="F106" s="205">
        <f>[12]Summary!F105</f>
        <v>7</v>
      </c>
      <c r="G106" s="138">
        <f t="shared" si="4"/>
        <v>966</v>
      </c>
      <c r="H106" s="139"/>
    </row>
    <row r="107" spans="1:8" s="112" customFormat="1" ht="23.25">
      <c r="A107" s="169">
        <v>103</v>
      </c>
      <c r="B107" s="132" t="s">
        <v>5681</v>
      </c>
      <c r="C107" s="133" t="s">
        <v>5682</v>
      </c>
      <c r="D107" s="134" t="s">
        <v>5256</v>
      </c>
      <c r="E107" s="255">
        <f>[12]Summary!E106</f>
        <v>15</v>
      </c>
      <c r="F107" s="204">
        <f>[12]Summary!F106</f>
        <v>831</v>
      </c>
      <c r="G107" s="246">
        <f t="shared" si="4"/>
        <v>12465</v>
      </c>
      <c r="H107" s="132"/>
    </row>
    <row r="108" spans="1:8" s="112" customFormat="1" ht="23.25">
      <c r="A108" s="69">
        <v>104</v>
      </c>
      <c r="B108" s="1" t="s">
        <v>5855</v>
      </c>
      <c r="C108" s="28" t="s">
        <v>5856</v>
      </c>
      <c r="D108" s="60" t="s">
        <v>1584</v>
      </c>
      <c r="E108" s="137">
        <f>[12]Summary!E107</f>
        <v>17.5</v>
      </c>
      <c r="F108" s="205">
        <f>[12]Summary!F107</f>
        <v>2</v>
      </c>
      <c r="G108" s="138">
        <v>35</v>
      </c>
      <c r="H108" s="139"/>
    </row>
    <row r="109" spans="1:8" s="112" customFormat="1" ht="23.25">
      <c r="A109" s="169">
        <v>105</v>
      </c>
      <c r="B109" s="132" t="s">
        <v>5872</v>
      </c>
      <c r="C109" s="133" t="s">
        <v>5873</v>
      </c>
      <c r="D109" s="134" t="s">
        <v>5256</v>
      </c>
      <c r="E109" s="135">
        <f>'[12]Orange Trash Cans 1100Lt Sabala'!$E$31</f>
        <v>362</v>
      </c>
      <c r="F109" s="249">
        <f>'[12]Orange Trash Cans 1100Lt Sabala'!$I$31</f>
        <v>2</v>
      </c>
      <c r="G109" s="250">
        <f>F109*E109</f>
        <v>724</v>
      </c>
      <c r="H109" s="132"/>
    </row>
    <row r="110" spans="1:8" ht="30" customHeight="1">
      <c r="A110" s="99"/>
      <c r="B110" s="98"/>
      <c r="C110" s="98"/>
      <c r="D110" s="99"/>
      <c r="E110" s="140"/>
      <c r="F110" s="99"/>
      <c r="G110" s="247"/>
    </row>
    <row r="111" spans="1:8" ht="30" customHeight="1">
      <c r="A111" s="270" t="s">
        <v>7</v>
      </c>
      <c r="B111" s="271"/>
      <c r="C111" s="271"/>
      <c r="D111" s="271"/>
      <c r="E111" s="294"/>
      <c r="F111" s="176">
        <f>SUM(F5:F109)</f>
        <v>12498.65</v>
      </c>
      <c r="G111" s="175">
        <f>SUM(G5:G109)</f>
        <v>46936.0867</v>
      </c>
    </row>
  </sheetData>
  <autoFilter ref="A4:H4" xr:uid="{D947E324-4A73-4098-8548-C22F3F2D9DA8}">
    <sortState xmlns:xlrd2="http://schemas.microsoft.com/office/spreadsheetml/2017/richdata2" ref="A5:H101">
      <sortCondition ref="A4"/>
    </sortState>
  </autoFilter>
  <mergeCells count="3">
    <mergeCell ref="A3:H3"/>
    <mergeCell ref="A111:E111"/>
    <mergeCell ref="A2:H2"/>
  </mergeCells>
  <pageMargins left="0.22" right="0.19" top="0.28000000000000003" bottom="0.25" header="0.3" footer="0.3"/>
  <pageSetup scale="48"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1D19C-7448-48C7-8CA5-AB8F5CCE9155}">
  <sheetPr>
    <pageSetUpPr fitToPage="1"/>
  </sheetPr>
  <dimension ref="A1:K21"/>
  <sheetViews>
    <sheetView workbookViewId="0">
      <selection activeCell="I7" sqref="I7"/>
    </sheetView>
  </sheetViews>
  <sheetFormatPr defaultColWidth="9.140625" defaultRowHeight="15"/>
  <cols>
    <col min="1" max="1" width="9.140625" style="32"/>
    <col min="2" max="2" width="38.7109375" style="32" customWidth="1"/>
    <col min="3" max="3" width="47.5703125" style="32" customWidth="1"/>
    <col min="4" max="4" width="18.5703125" style="32" customWidth="1"/>
    <col min="5" max="5" width="27.140625" style="32" customWidth="1"/>
    <col min="6" max="6" width="13.85546875" style="32" customWidth="1"/>
    <col min="7" max="7" width="33.140625" style="32" customWidth="1"/>
    <col min="8" max="8" width="20.140625" style="32" customWidth="1"/>
    <col min="9" max="9" width="16" style="32" customWidth="1"/>
    <col min="10" max="10" width="9.140625" style="32"/>
    <col min="11" max="11" width="21.7109375" style="32" customWidth="1"/>
    <col min="12" max="16384" width="9.140625" style="32"/>
  </cols>
  <sheetData>
    <row r="1" spans="1:11" customFormat="1" ht="121.5" customHeight="1">
      <c r="A1" s="31"/>
      <c r="B1" s="32"/>
      <c r="C1" s="32"/>
      <c r="D1" s="32"/>
      <c r="E1" s="33"/>
      <c r="F1" s="34"/>
      <c r="G1" s="35"/>
    </row>
    <row r="2" spans="1:11" ht="33.75">
      <c r="A2" s="269">
        <f ca="1">TODAY()</f>
        <v>46123</v>
      </c>
      <c r="B2" s="269"/>
      <c r="C2" s="269"/>
      <c r="D2" s="269"/>
      <c r="E2" s="269"/>
      <c r="F2" s="269"/>
      <c r="G2" s="269"/>
      <c r="H2" s="269"/>
    </row>
    <row r="3" spans="1:11" ht="30" customHeight="1">
      <c r="A3" s="300" t="s">
        <v>4371</v>
      </c>
      <c r="B3" s="301"/>
      <c r="C3" s="301"/>
      <c r="D3" s="301"/>
      <c r="E3" s="301"/>
      <c r="F3" s="301"/>
      <c r="G3" s="301"/>
      <c r="H3" s="301"/>
    </row>
    <row r="4" spans="1:11" ht="46.5">
      <c r="A4" s="2" t="s">
        <v>0</v>
      </c>
      <c r="B4" s="3" t="s">
        <v>9</v>
      </c>
      <c r="C4" s="4" t="s">
        <v>10</v>
      </c>
      <c r="D4" s="5" t="s">
        <v>11</v>
      </c>
      <c r="E4" s="6" t="s">
        <v>12</v>
      </c>
      <c r="F4" s="7" t="s">
        <v>13</v>
      </c>
      <c r="G4" s="7" t="s">
        <v>4372</v>
      </c>
      <c r="H4" s="107" t="s">
        <v>1766</v>
      </c>
      <c r="K4" s="131"/>
    </row>
    <row r="5" spans="1:11" ht="23.25">
      <c r="A5" s="1">
        <v>1</v>
      </c>
      <c r="B5" s="1" t="s">
        <v>4373</v>
      </c>
      <c r="C5" s="28" t="s">
        <v>4374</v>
      </c>
      <c r="D5" s="60" t="s">
        <v>1584</v>
      </c>
      <c r="E5" s="141">
        <f>[13]Summary!E4</f>
        <v>0.67</v>
      </c>
      <c r="F5" s="259">
        <f>[13]Summary!F4</f>
        <v>16</v>
      </c>
      <c r="G5" s="141">
        <f>E5*F5</f>
        <v>10.72</v>
      </c>
      <c r="H5" s="139"/>
      <c r="I5" s="131"/>
      <c r="K5" s="136"/>
    </row>
    <row r="6" spans="1:11" ht="23.25">
      <c r="A6" s="142">
        <v>2</v>
      </c>
      <c r="B6" s="142" t="s">
        <v>4375</v>
      </c>
      <c r="C6" s="143" t="s">
        <v>4376</v>
      </c>
      <c r="D6" s="144" t="s">
        <v>1584</v>
      </c>
      <c r="E6" s="145">
        <f>[13]Summary!E5</f>
        <v>2.7389999999999999</v>
      </c>
      <c r="F6" s="260">
        <f>[13]Summary!F5</f>
        <v>5</v>
      </c>
      <c r="G6" s="146">
        <f>E6*F6</f>
        <v>13.695</v>
      </c>
      <c r="H6" s="147"/>
      <c r="I6" s="131"/>
      <c r="K6" s="136"/>
    </row>
    <row r="7" spans="1:11" ht="46.5">
      <c r="A7" s="1">
        <v>3</v>
      </c>
      <c r="B7" s="1" t="s">
        <v>4377</v>
      </c>
      <c r="C7" s="28" t="s">
        <v>4378</v>
      </c>
      <c r="D7" s="60" t="s">
        <v>4379</v>
      </c>
      <c r="E7" s="141">
        <f>[13]Summary!E6</f>
        <v>14.7</v>
      </c>
      <c r="F7" s="259">
        <f>[13]Summary!F6</f>
        <v>0</v>
      </c>
      <c r="G7" s="141">
        <f t="shared" ref="G7:G19" si="0">E7*F7</f>
        <v>0</v>
      </c>
      <c r="H7" s="139"/>
    </row>
    <row r="8" spans="1:11" ht="23.25">
      <c r="A8" s="142">
        <v>4</v>
      </c>
      <c r="B8" s="142" t="s">
        <v>4380</v>
      </c>
      <c r="C8" s="143" t="s">
        <v>4381</v>
      </c>
      <c r="D8" s="144" t="s">
        <v>1584</v>
      </c>
      <c r="E8" s="145">
        <f>[13]Summary!E7</f>
        <v>1.02</v>
      </c>
      <c r="F8" s="260">
        <f>[13]Summary!F7</f>
        <v>0</v>
      </c>
      <c r="G8" s="146">
        <f t="shared" si="0"/>
        <v>0</v>
      </c>
      <c r="H8" s="147"/>
    </row>
    <row r="9" spans="1:11" ht="23.25">
      <c r="A9" s="1">
        <v>5</v>
      </c>
      <c r="B9" s="1" t="s">
        <v>4382</v>
      </c>
      <c r="C9" s="28" t="s">
        <v>4383</v>
      </c>
      <c r="D9" s="60" t="s">
        <v>4379</v>
      </c>
      <c r="E9" s="141">
        <f>[13]Summary!E8</f>
        <v>33.340000000000003</v>
      </c>
      <c r="F9" s="259">
        <f>[13]Summary!F8</f>
        <v>0</v>
      </c>
      <c r="G9" s="141">
        <f t="shared" si="0"/>
        <v>0</v>
      </c>
      <c r="H9" s="139"/>
    </row>
    <row r="10" spans="1:11" ht="23.25">
      <c r="A10" s="142">
        <v>6</v>
      </c>
      <c r="B10" s="142" t="s">
        <v>4384</v>
      </c>
      <c r="C10" s="143" t="s">
        <v>4385</v>
      </c>
      <c r="D10" s="144" t="s">
        <v>4379</v>
      </c>
      <c r="E10" s="145">
        <f>[13]Summary!E9</f>
        <v>16</v>
      </c>
      <c r="F10" s="260">
        <f>[13]Summary!F9</f>
        <v>1.5010000000000001</v>
      </c>
      <c r="G10" s="146">
        <f t="shared" si="0"/>
        <v>24.016000000000002</v>
      </c>
      <c r="H10" s="147"/>
    </row>
    <row r="11" spans="1:11" ht="23.25">
      <c r="A11" s="1">
        <v>7</v>
      </c>
      <c r="B11" s="1" t="s">
        <v>4386</v>
      </c>
      <c r="C11" s="28" t="s">
        <v>4387</v>
      </c>
      <c r="D11" s="60" t="s">
        <v>1584</v>
      </c>
      <c r="E11" s="141">
        <f>[13]Summary!E10</f>
        <v>0.49299999999999999</v>
      </c>
      <c r="F11" s="259">
        <f>[13]Summary!F10</f>
        <v>16</v>
      </c>
      <c r="G11" s="141">
        <f t="shared" si="0"/>
        <v>7.8879999999999999</v>
      </c>
      <c r="H11" s="139"/>
    </row>
    <row r="12" spans="1:11" ht="23.25">
      <c r="A12" s="142">
        <v>8</v>
      </c>
      <c r="B12" s="142" t="s">
        <v>4388</v>
      </c>
      <c r="C12" s="143" t="s">
        <v>4389</v>
      </c>
      <c r="D12" s="144" t="s">
        <v>1584</v>
      </c>
      <c r="E12" s="145">
        <f>[13]Summary!E11</f>
        <v>0.17799999999999999</v>
      </c>
      <c r="F12" s="260">
        <f>[13]Summary!F11</f>
        <v>18</v>
      </c>
      <c r="G12" s="146">
        <f t="shared" si="0"/>
        <v>3.2039999999999997</v>
      </c>
      <c r="H12" s="147"/>
    </row>
    <row r="13" spans="1:11" ht="23.25">
      <c r="A13" s="1">
        <v>9</v>
      </c>
      <c r="B13" s="1" t="s">
        <v>4402</v>
      </c>
      <c r="C13" s="28" t="s">
        <v>4403</v>
      </c>
      <c r="D13" s="60" t="s">
        <v>1584</v>
      </c>
      <c r="E13" s="141">
        <f>[13]Summary!E12</f>
        <v>6.5</v>
      </c>
      <c r="F13" s="259">
        <f>[13]Summary!F12</f>
        <v>22</v>
      </c>
      <c r="G13" s="141">
        <f t="shared" si="0"/>
        <v>143</v>
      </c>
      <c r="H13" s="139"/>
    </row>
    <row r="14" spans="1:11" ht="23.25">
      <c r="A14" s="142">
        <v>10</v>
      </c>
      <c r="B14" s="142" t="s">
        <v>4390</v>
      </c>
      <c r="C14" s="143" t="s">
        <v>4391</v>
      </c>
      <c r="D14" s="144" t="s">
        <v>4379</v>
      </c>
      <c r="E14" s="145">
        <f>[13]Summary!E13</f>
        <v>6.8</v>
      </c>
      <c r="F14" s="260">
        <f>[13]Summary!F13</f>
        <v>0</v>
      </c>
      <c r="G14" s="146">
        <f t="shared" si="0"/>
        <v>0</v>
      </c>
      <c r="H14" s="147"/>
    </row>
    <row r="15" spans="1:11" ht="23.25">
      <c r="A15" s="1">
        <v>11</v>
      </c>
      <c r="B15" s="1" t="s">
        <v>4392</v>
      </c>
      <c r="C15" s="28" t="s">
        <v>4393</v>
      </c>
      <c r="D15" s="60" t="s">
        <v>1584</v>
      </c>
      <c r="E15" s="141">
        <f>[13]Summary!E14</f>
        <v>29</v>
      </c>
      <c r="F15" s="259">
        <f>[13]Summary!F14</f>
        <v>2</v>
      </c>
      <c r="G15" s="141">
        <f t="shared" si="0"/>
        <v>58</v>
      </c>
      <c r="H15" s="139"/>
    </row>
    <row r="16" spans="1:11" ht="23.25">
      <c r="A16" s="142">
        <v>12</v>
      </c>
      <c r="B16" s="142" t="s">
        <v>4394</v>
      </c>
      <c r="C16" s="143" t="s">
        <v>4395</v>
      </c>
      <c r="D16" s="144" t="s">
        <v>1584</v>
      </c>
      <c r="E16" s="145">
        <f>[13]Summary!E15</f>
        <v>32.520000000000003</v>
      </c>
      <c r="F16" s="260">
        <f>[13]Summary!F15</f>
        <v>0</v>
      </c>
      <c r="G16" s="146">
        <f t="shared" si="0"/>
        <v>0</v>
      </c>
      <c r="H16" s="147"/>
    </row>
    <row r="17" spans="1:8" ht="23.25">
      <c r="A17" s="1">
        <v>13</v>
      </c>
      <c r="B17" s="1" t="s">
        <v>4396</v>
      </c>
      <c r="C17" s="28" t="s">
        <v>4397</v>
      </c>
      <c r="D17" s="60" t="s">
        <v>1584</v>
      </c>
      <c r="E17" s="141">
        <f>[13]Summary!E16</f>
        <v>1</v>
      </c>
      <c r="F17" s="259">
        <f>[13]Summary!F16</f>
        <v>0</v>
      </c>
      <c r="G17" s="141">
        <f t="shared" si="0"/>
        <v>0</v>
      </c>
      <c r="H17" s="139"/>
    </row>
    <row r="18" spans="1:8" ht="23.25">
      <c r="A18" s="142">
        <v>14</v>
      </c>
      <c r="B18" s="142" t="s">
        <v>5876</v>
      </c>
      <c r="C18" s="143" t="s">
        <v>5877</v>
      </c>
      <c r="D18" s="144" t="s">
        <v>1584</v>
      </c>
      <c r="E18" s="145">
        <f>[13]Summary!E17</f>
        <v>79</v>
      </c>
      <c r="F18" s="260">
        <f>[13]Summary!F17</f>
        <v>4</v>
      </c>
      <c r="G18" s="146">
        <f t="shared" si="0"/>
        <v>316</v>
      </c>
      <c r="H18" s="147"/>
    </row>
    <row r="19" spans="1:8" ht="23.25">
      <c r="A19" s="1">
        <v>15</v>
      </c>
      <c r="B19" s="1" t="s">
        <v>5913</v>
      </c>
      <c r="C19" s="28" t="s">
        <v>5914</v>
      </c>
      <c r="D19" s="60" t="s">
        <v>5915</v>
      </c>
      <c r="E19" s="141">
        <f>[13]Summary!E18</f>
        <v>250</v>
      </c>
      <c r="F19" s="259">
        <f>[13]Summary!F18</f>
        <v>2</v>
      </c>
      <c r="G19" s="141">
        <f t="shared" si="0"/>
        <v>500</v>
      </c>
      <c r="H19" s="139"/>
    </row>
    <row r="20" spans="1:8" ht="23.25">
      <c r="A20" s="99"/>
      <c r="B20" s="98"/>
      <c r="C20" s="98"/>
      <c r="D20" s="99"/>
      <c r="E20" s="140"/>
      <c r="F20" s="99"/>
      <c r="G20" s="140"/>
    </row>
    <row r="21" spans="1:8" ht="23.25">
      <c r="A21" s="302" t="s">
        <v>7</v>
      </c>
      <c r="B21" s="303"/>
      <c r="C21" s="303"/>
      <c r="D21" s="303"/>
      <c r="E21" s="304"/>
      <c r="F21" s="261">
        <f>SUM(F5:F19)</f>
        <v>86.501000000000005</v>
      </c>
      <c r="G21" s="183">
        <f>SUM(G5:G19)</f>
        <v>1076.5230000000001</v>
      </c>
    </row>
  </sheetData>
  <mergeCells count="3">
    <mergeCell ref="A3:H3"/>
    <mergeCell ref="A21:E21"/>
    <mergeCell ref="A2:H2"/>
  </mergeCells>
  <pageMargins left="0.16" right="0.16" top="0.45" bottom="0.75" header="0.3" footer="0.3"/>
  <pageSetup paperSize="9" scale="48" fitToHeight="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02621-6ECF-402F-B5B9-8B21C349986E}">
  <sheetPr>
    <pageSetUpPr fitToPage="1"/>
  </sheetPr>
  <dimension ref="A1:J163"/>
  <sheetViews>
    <sheetView zoomScale="70" zoomScaleNormal="70" workbookViewId="0">
      <selection activeCell="O12" sqref="O12"/>
    </sheetView>
  </sheetViews>
  <sheetFormatPr defaultRowHeight="15"/>
  <cols>
    <col min="2" max="2" width="30.140625" customWidth="1"/>
    <col min="3" max="3" width="46.28515625" customWidth="1"/>
    <col min="4" max="4" width="12.28515625" customWidth="1"/>
    <col min="5" max="6" width="23.7109375" customWidth="1"/>
    <col min="7" max="7" width="16.5703125" customWidth="1"/>
    <col min="8" max="8" width="22" customWidth="1"/>
    <col min="9" max="9" width="32.85546875" customWidth="1"/>
    <col min="10" max="10" width="18" customWidth="1"/>
  </cols>
  <sheetData>
    <row r="1" spans="1:10" ht="31.5">
      <c r="A1" s="305">
        <f ca="1">TODAY()</f>
        <v>46123</v>
      </c>
      <c r="B1" s="305"/>
      <c r="C1" s="305"/>
      <c r="D1" s="305"/>
      <c r="E1" s="305"/>
      <c r="F1" s="305"/>
      <c r="G1" s="305"/>
      <c r="H1" s="305"/>
      <c r="I1" s="305"/>
      <c r="J1" s="305"/>
    </row>
    <row r="2" spans="1:10" ht="34.5" customHeight="1">
      <c r="A2" s="306" t="s">
        <v>5830</v>
      </c>
      <c r="B2" s="306"/>
      <c r="C2" s="306"/>
      <c r="D2" s="306"/>
      <c r="E2" s="306"/>
      <c r="F2" s="306"/>
      <c r="G2" s="306"/>
      <c r="H2" s="306"/>
      <c r="I2" s="306"/>
      <c r="J2" s="306"/>
    </row>
    <row r="3" spans="1:10" ht="78.75">
      <c r="A3" s="220" t="s">
        <v>0</v>
      </c>
      <c r="B3" s="221" t="s">
        <v>9</v>
      </c>
      <c r="C3" s="221" t="s">
        <v>5421</v>
      </c>
      <c r="D3" s="222" t="s">
        <v>129</v>
      </c>
      <c r="E3" s="223" t="s">
        <v>5422</v>
      </c>
      <c r="F3" s="223" t="s">
        <v>5829</v>
      </c>
      <c r="G3" s="224" t="s">
        <v>130</v>
      </c>
      <c r="H3" s="223" t="s">
        <v>3990</v>
      </c>
      <c r="I3" s="223" t="s">
        <v>1605</v>
      </c>
      <c r="J3" s="223" t="s">
        <v>1766</v>
      </c>
    </row>
    <row r="4" spans="1:10" ht="23.25">
      <c r="A4" s="124">
        <v>1</v>
      </c>
      <c r="B4" s="125" t="s">
        <v>5516</v>
      </c>
      <c r="C4" s="126" t="s">
        <v>5807</v>
      </c>
      <c r="D4" s="127" t="s">
        <v>5517</v>
      </c>
      <c r="E4" s="128">
        <f>[14]Summary!E4</f>
        <v>14.25</v>
      </c>
      <c r="F4" s="128">
        <f>[14]Summary!F4</f>
        <v>11.4</v>
      </c>
      <c r="G4" s="124">
        <f>[14]Summary!G4</f>
        <v>22</v>
      </c>
      <c r="H4" s="129">
        <f>F4*G4</f>
        <v>250.8</v>
      </c>
      <c r="I4" s="129" t="s">
        <v>5518</v>
      </c>
      <c r="J4" s="129" t="s">
        <v>5519</v>
      </c>
    </row>
    <row r="5" spans="1:10" ht="23.25">
      <c r="A5" s="69">
        <v>2</v>
      </c>
      <c r="B5" s="1" t="s">
        <v>5520</v>
      </c>
      <c r="C5" s="1" t="s">
        <v>5521</v>
      </c>
      <c r="D5" s="130" t="s">
        <v>5517</v>
      </c>
      <c r="E5" s="47">
        <f>[14]Summary!E5</f>
        <v>29</v>
      </c>
      <c r="F5" s="47">
        <f>[14]Summary!F5</f>
        <v>23.200000000000003</v>
      </c>
      <c r="G5" s="69">
        <f>[14]Summary!G5</f>
        <v>0</v>
      </c>
      <c r="H5" s="48">
        <f>F5*G5</f>
        <v>0</v>
      </c>
      <c r="I5" s="48" t="s">
        <v>5522</v>
      </c>
      <c r="J5" s="48" t="s">
        <v>5523</v>
      </c>
    </row>
    <row r="6" spans="1:10" ht="23.25">
      <c r="A6" s="124">
        <v>3</v>
      </c>
      <c r="B6" s="125" t="s">
        <v>5524</v>
      </c>
      <c r="C6" s="126" t="s">
        <v>5689</v>
      </c>
      <c r="D6" s="127" t="s">
        <v>5517</v>
      </c>
      <c r="E6" s="128">
        <f>[14]Summary!E6</f>
        <v>29</v>
      </c>
      <c r="F6" s="128">
        <f>[14]Summary!F6</f>
        <v>23.200000000000003</v>
      </c>
      <c r="G6" s="124">
        <f>[14]Summary!G6</f>
        <v>35</v>
      </c>
      <c r="H6" s="129">
        <f t="shared" ref="H6:H69" si="0">F6*G6</f>
        <v>812.00000000000011</v>
      </c>
      <c r="I6" s="129" t="s">
        <v>5522</v>
      </c>
      <c r="J6" s="129" t="s">
        <v>5525</v>
      </c>
    </row>
    <row r="7" spans="1:10" ht="23.25">
      <c r="A7" s="69">
        <v>4</v>
      </c>
      <c r="B7" s="1" t="s">
        <v>5526</v>
      </c>
      <c r="C7" s="1" t="s">
        <v>232</v>
      </c>
      <c r="D7" s="130" t="s">
        <v>5517</v>
      </c>
      <c r="E7" s="47">
        <f>[14]Summary!E7</f>
        <v>33</v>
      </c>
      <c r="F7" s="47">
        <f>[14]Summary!F7</f>
        <v>26.400000000000002</v>
      </c>
      <c r="G7" s="69">
        <f>[14]Summary!G7</f>
        <v>0</v>
      </c>
      <c r="H7" s="48">
        <f>F7*G7</f>
        <v>0</v>
      </c>
      <c r="I7" s="48" t="s">
        <v>5522</v>
      </c>
      <c r="J7" s="48" t="s">
        <v>5527</v>
      </c>
    </row>
    <row r="8" spans="1:10" ht="23.25">
      <c r="A8" s="124">
        <v>5</v>
      </c>
      <c r="B8" s="125" t="s">
        <v>5528</v>
      </c>
      <c r="C8" s="126" t="s">
        <v>208</v>
      </c>
      <c r="D8" s="127" t="s">
        <v>5517</v>
      </c>
      <c r="E8" s="128">
        <f>[14]Summary!E8</f>
        <v>5.25</v>
      </c>
      <c r="F8" s="128">
        <f>[14]Summary!F8</f>
        <v>4.2</v>
      </c>
      <c r="G8" s="124">
        <f>[14]Summary!G8</f>
        <v>35</v>
      </c>
      <c r="H8" s="129">
        <f t="shared" si="0"/>
        <v>147</v>
      </c>
      <c r="I8" s="129" t="s">
        <v>5522</v>
      </c>
      <c r="J8" s="129" t="s">
        <v>5529</v>
      </c>
    </row>
    <row r="9" spans="1:10" ht="23.25">
      <c r="A9" s="69">
        <v>6</v>
      </c>
      <c r="B9" s="1" t="s">
        <v>5526</v>
      </c>
      <c r="C9" s="1" t="s">
        <v>232</v>
      </c>
      <c r="D9" s="130" t="s">
        <v>5517</v>
      </c>
      <c r="E9" s="47">
        <f>[14]Summary!E9</f>
        <v>5.25</v>
      </c>
      <c r="F9" s="47">
        <f>[14]Summary!F9</f>
        <v>4.2</v>
      </c>
      <c r="G9" s="69">
        <f>[14]Summary!G9</f>
        <v>30</v>
      </c>
      <c r="H9" s="48">
        <f t="shared" si="0"/>
        <v>126</v>
      </c>
      <c r="I9" s="48" t="s">
        <v>5522</v>
      </c>
      <c r="J9" s="48" t="s">
        <v>5530</v>
      </c>
    </row>
    <row r="10" spans="1:10" ht="23.25">
      <c r="A10" s="124">
        <v>7</v>
      </c>
      <c r="B10" s="125" t="s">
        <v>5531</v>
      </c>
      <c r="C10" s="126" t="s">
        <v>5532</v>
      </c>
      <c r="D10" s="127" t="s">
        <v>5517</v>
      </c>
      <c r="E10" s="128">
        <f>[14]Summary!E10</f>
        <v>5.25</v>
      </c>
      <c r="F10" s="128">
        <f>[14]Summary!F10</f>
        <v>4.2</v>
      </c>
      <c r="G10" s="124">
        <f>[14]Summary!G10</f>
        <v>40</v>
      </c>
      <c r="H10" s="129">
        <f t="shared" si="0"/>
        <v>168</v>
      </c>
      <c r="I10" s="129" t="s">
        <v>5522</v>
      </c>
      <c r="J10" s="129" t="s">
        <v>5533</v>
      </c>
    </row>
    <row r="11" spans="1:10" ht="23.25">
      <c r="A11" s="69">
        <v>8</v>
      </c>
      <c r="B11" s="1" t="s">
        <v>5534</v>
      </c>
      <c r="C11" s="1" t="s">
        <v>5808</v>
      </c>
      <c r="D11" s="130" t="s">
        <v>5517</v>
      </c>
      <c r="E11" s="47">
        <f>[14]Summary!E11</f>
        <v>7.5</v>
      </c>
      <c r="F11" s="47">
        <f>[14]Summary!F11</f>
        <v>6</v>
      </c>
      <c r="G11" s="69">
        <f>[14]Summary!G11</f>
        <v>35</v>
      </c>
      <c r="H11" s="48">
        <f t="shared" si="0"/>
        <v>210</v>
      </c>
      <c r="I11" s="48" t="s">
        <v>5518</v>
      </c>
      <c r="J11" s="48" t="s">
        <v>5535</v>
      </c>
    </row>
    <row r="12" spans="1:10" ht="23.25" customHeight="1">
      <c r="A12" s="124">
        <v>9</v>
      </c>
      <c r="B12" s="125" t="s">
        <v>5536</v>
      </c>
      <c r="C12" s="126" t="s">
        <v>208</v>
      </c>
      <c r="D12" s="127" t="s">
        <v>5517</v>
      </c>
      <c r="E12" s="128">
        <f>[14]Summary!E12</f>
        <v>1.5</v>
      </c>
      <c r="F12" s="128">
        <f>[14]Summary!F12</f>
        <v>1.2000000000000002</v>
      </c>
      <c r="G12" s="124">
        <f>[14]Summary!G12</f>
        <v>198</v>
      </c>
      <c r="H12" s="129">
        <f t="shared" si="0"/>
        <v>237.60000000000002</v>
      </c>
      <c r="I12" s="129" t="s">
        <v>5522</v>
      </c>
      <c r="J12" s="129" t="s">
        <v>5537</v>
      </c>
    </row>
    <row r="13" spans="1:10" ht="23.25" customHeight="1">
      <c r="A13" s="69">
        <v>10</v>
      </c>
      <c r="B13" s="1" t="s">
        <v>5574</v>
      </c>
      <c r="C13" s="1" t="s">
        <v>5809</v>
      </c>
      <c r="D13" s="130" t="s">
        <v>5517</v>
      </c>
      <c r="E13" s="47">
        <f>[14]Summary!E13</f>
        <v>1.5</v>
      </c>
      <c r="F13" s="47">
        <f>[14]Summary!F13</f>
        <v>1.2000000000000002</v>
      </c>
      <c r="G13" s="69">
        <f>[14]Summary!G13</f>
        <v>58</v>
      </c>
      <c r="H13" s="48">
        <f t="shared" si="0"/>
        <v>69.600000000000009</v>
      </c>
      <c r="I13" s="48" t="s">
        <v>5828</v>
      </c>
      <c r="J13" s="48" t="s">
        <v>5539</v>
      </c>
    </row>
    <row r="14" spans="1:10" ht="23.25">
      <c r="A14" s="124">
        <v>11</v>
      </c>
      <c r="B14" s="125" t="s">
        <v>5540</v>
      </c>
      <c r="C14" s="126" t="s">
        <v>5541</v>
      </c>
      <c r="D14" s="127" t="s">
        <v>5517</v>
      </c>
      <c r="E14" s="128">
        <f>[14]Summary!E14</f>
        <v>2.15</v>
      </c>
      <c r="F14" s="128">
        <f>[14]Summary!F14</f>
        <v>1.72</v>
      </c>
      <c r="G14" s="124">
        <f>[14]Summary!G14</f>
        <v>0</v>
      </c>
      <c r="H14" s="129">
        <f t="shared" si="0"/>
        <v>0</v>
      </c>
      <c r="I14" s="129" t="s">
        <v>5522</v>
      </c>
      <c r="J14" s="129" t="s">
        <v>5542</v>
      </c>
    </row>
    <row r="15" spans="1:10" ht="23.25" customHeight="1">
      <c r="A15" s="69">
        <v>12</v>
      </c>
      <c r="B15" s="1" t="s">
        <v>5543</v>
      </c>
      <c r="C15" s="1" t="s">
        <v>205</v>
      </c>
      <c r="D15" s="130" t="s">
        <v>5517</v>
      </c>
      <c r="E15" s="47">
        <f>[14]Summary!E15</f>
        <v>13</v>
      </c>
      <c r="F15" s="47">
        <f>[14]Summary!F15</f>
        <v>10.4</v>
      </c>
      <c r="G15" s="69">
        <f>[14]Summary!G15</f>
        <v>29</v>
      </c>
      <c r="H15" s="48">
        <f t="shared" si="0"/>
        <v>301.60000000000002</v>
      </c>
      <c r="I15" s="48" t="s">
        <v>5522</v>
      </c>
      <c r="J15" s="48" t="s">
        <v>5544</v>
      </c>
    </row>
    <row r="16" spans="1:10" ht="23.25">
      <c r="A16" s="124">
        <v>13</v>
      </c>
      <c r="B16" s="125" t="s">
        <v>5536</v>
      </c>
      <c r="C16" s="126" t="s">
        <v>208</v>
      </c>
      <c r="D16" s="127" t="s">
        <v>5517</v>
      </c>
      <c r="E16" s="128">
        <f>[14]Summary!E16</f>
        <v>10</v>
      </c>
      <c r="F16" s="128">
        <f>[14]Summary!F16</f>
        <v>8</v>
      </c>
      <c r="G16" s="124">
        <f>[14]Summary!G16</f>
        <v>138</v>
      </c>
      <c r="H16" s="129">
        <f t="shared" si="0"/>
        <v>1104</v>
      </c>
      <c r="I16" s="129" t="s">
        <v>5522</v>
      </c>
      <c r="J16" s="129" t="s">
        <v>5545</v>
      </c>
    </row>
    <row r="17" spans="1:10" ht="23.25">
      <c r="A17" s="69">
        <v>14</v>
      </c>
      <c r="B17" s="1" t="s">
        <v>5543</v>
      </c>
      <c r="C17" s="1" t="s">
        <v>205</v>
      </c>
      <c r="D17" s="130" t="s">
        <v>5517</v>
      </c>
      <c r="E17" s="47">
        <f>[14]Summary!E17</f>
        <v>10</v>
      </c>
      <c r="F17" s="47">
        <f>[14]Summary!F17</f>
        <v>8</v>
      </c>
      <c r="G17" s="69">
        <f>[14]Summary!G17</f>
        <v>25</v>
      </c>
      <c r="H17" s="48">
        <f t="shared" si="0"/>
        <v>200</v>
      </c>
      <c r="I17" s="48" t="s">
        <v>5522</v>
      </c>
      <c r="J17" s="48" t="s">
        <v>5546</v>
      </c>
    </row>
    <row r="18" spans="1:10" ht="23.25">
      <c r="A18" s="124">
        <v>15</v>
      </c>
      <c r="B18" s="125" t="s">
        <v>5547</v>
      </c>
      <c r="C18" s="126" t="s">
        <v>230</v>
      </c>
      <c r="D18" s="127" t="s">
        <v>5517</v>
      </c>
      <c r="E18" s="128">
        <f>[14]Summary!E18</f>
        <v>10</v>
      </c>
      <c r="F18" s="128">
        <f>[14]Summary!F18</f>
        <v>8</v>
      </c>
      <c r="G18" s="124">
        <f>[14]Summary!G18</f>
        <v>20</v>
      </c>
      <c r="H18" s="129">
        <f t="shared" si="0"/>
        <v>160</v>
      </c>
      <c r="I18" s="129" t="s">
        <v>5522</v>
      </c>
      <c r="J18" s="129" t="s">
        <v>5548</v>
      </c>
    </row>
    <row r="19" spans="1:10" ht="23.25">
      <c r="A19" s="69">
        <v>16</v>
      </c>
      <c r="B19" s="1" t="s">
        <v>5549</v>
      </c>
      <c r="C19" s="1" t="s">
        <v>5550</v>
      </c>
      <c r="D19" s="130" t="s">
        <v>5517</v>
      </c>
      <c r="E19" s="47">
        <f>[14]Summary!E19</f>
        <v>10</v>
      </c>
      <c r="F19" s="47">
        <f>[14]Summary!F19</f>
        <v>8</v>
      </c>
      <c r="G19" s="69">
        <f>[14]Summary!G19</f>
        <v>0</v>
      </c>
      <c r="H19" s="48">
        <f t="shared" si="0"/>
        <v>0</v>
      </c>
      <c r="I19" s="48" t="s">
        <v>5522</v>
      </c>
      <c r="J19" s="48" t="s">
        <v>5551</v>
      </c>
    </row>
    <row r="20" spans="1:10" ht="46.5">
      <c r="A20" s="124">
        <v>17</v>
      </c>
      <c r="B20" s="125" t="s">
        <v>5552</v>
      </c>
      <c r="C20" s="126" t="s">
        <v>1746</v>
      </c>
      <c r="D20" s="127" t="s">
        <v>5517</v>
      </c>
      <c r="E20" s="128">
        <f>[14]Summary!E20</f>
        <v>10</v>
      </c>
      <c r="F20" s="128">
        <f>[14]Summary!F20</f>
        <v>8</v>
      </c>
      <c r="G20" s="124">
        <f>[14]Summary!G20</f>
        <v>36</v>
      </c>
      <c r="H20" s="129">
        <f t="shared" si="0"/>
        <v>288</v>
      </c>
      <c r="I20" s="129" t="s">
        <v>5553</v>
      </c>
      <c r="J20" s="129" t="s">
        <v>5554</v>
      </c>
    </row>
    <row r="21" spans="1:10" ht="23.25">
      <c r="A21" s="69">
        <v>18</v>
      </c>
      <c r="B21" s="1" t="s">
        <v>5547</v>
      </c>
      <c r="C21" s="1" t="s">
        <v>5810</v>
      </c>
      <c r="D21" s="130" t="s">
        <v>5517</v>
      </c>
      <c r="E21" s="47">
        <f>[14]Summary!E21</f>
        <v>10</v>
      </c>
      <c r="F21" s="47">
        <f>[14]Summary!F21</f>
        <v>8</v>
      </c>
      <c r="G21" s="69">
        <f>[14]Summary!G21</f>
        <v>30</v>
      </c>
      <c r="H21" s="48">
        <f t="shared" si="0"/>
        <v>240</v>
      </c>
      <c r="I21" s="48" t="s">
        <v>5518</v>
      </c>
      <c r="J21" s="48" t="s">
        <v>5555</v>
      </c>
    </row>
    <row r="22" spans="1:10" ht="46.5">
      <c r="A22" s="124">
        <v>19</v>
      </c>
      <c r="B22" s="125" t="s">
        <v>5556</v>
      </c>
      <c r="C22" s="126" t="s">
        <v>5553</v>
      </c>
      <c r="D22" s="127" t="s">
        <v>5517</v>
      </c>
      <c r="E22" s="128">
        <f>[14]Summary!E22</f>
        <v>10</v>
      </c>
      <c r="F22" s="128">
        <f>[14]Summary!F22</f>
        <v>8</v>
      </c>
      <c r="G22" s="124">
        <f>[14]Summary!G22</f>
        <v>48</v>
      </c>
      <c r="H22" s="129">
        <f t="shared" si="0"/>
        <v>384</v>
      </c>
      <c r="I22" s="129" t="s">
        <v>5553</v>
      </c>
      <c r="J22" s="129" t="s">
        <v>5557</v>
      </c>
    </row>
    <row r="23" spans="1:10" ht="23.25">
      <c r="A23" s="69">
        <v>20</v>
      </c>
      <c r="B23" s="1" t="s">
        <v>5558</v>
      </c>
      <c r="C23" s="1" t="s">
        <v>232</v>
      </c>
      <c r="D23" s="130" t="s">
        <v>5517</v>
      </c>
      <c r="E23" s="47">
        <f>[14]Summary!E23</f>
        <v>10</v>
      </c>
      <c r="F23" s="47">
        <f>[14]Summary!F23</f>
        <v>8</v>
      </c>
      <c r="G23" s="69">
        <f>[14]Summary!G23</f>
        <v>35</v>
      </c>
      <c r="H23" s="48">
        <f t="shared" si="0"/>
        <v>280</v>
      </c>
      <c r="I23" s="48" t="s">
        <v>5522</v>
      </c>
      <c r="J23" s="48" t="s">
        <v>5559</v>
      </c>
    </row>
    <row r="24" spans="1:10" ht="23.25">
      <c r="A24" s="124">
        <v>21</v>
      </c>
      <c r="B24" s="125" t="s">
        <v>5549</v>
      </c>
      <c r="C24" s="126" t="s">
        <v>5550</v>
      </c>
      <c r="D24" s="127" t="s">
        <v>5517</v>
      </c>
      <c r="E24" s="128">
        <f>[14]Summary!E24</f>
        <v>113</v>
      </c>
      <c r="F24" s="128">
        <f>[14]Summary!F24</f>
        <v>90.4</v>
      </c>
      <c r="G24" s="124">
        <f>[14]Summary!G24</f>
        <v>0</v>
      </c>
      <c r="H24" s="129">
        <f t="shared" si="0"/>
        <v>0</v>
      </c>
      <c r="I24" s="129" t="s">
        <v>5522</v>
      </c>
      <c r="J24" s="129" t="s">
        <v>5560</v>
      </c>
    </row>
    <row r="25" spans="1:10" ht="23.25">
      <c r="A25" s="69">
        <v>22</v>
      </c>
      <c r="B25" s="1" t="s">
        <v>5561</v>
      </c>
      <c r="C25" s="1" t="s">
        <v>5562</v>
      </c>
      <c r="D25" s="130" t="s">
        <v>5517</v>
      </c>
      <c r="E25" s="47">
        <f>[14]Summary!E25</f>
        <v>113</v>
      </c>
      <c r="F25" s="47">
        <f>[14]Summary!F25</f>
        <v>90.4</v>
      </c>
      <c r="G25" s="69">
        <f>[14]Summary!G25</f>
        <v>0</v>
      </c>
      <c r="H25" s="48">
        <f t="shared" si="0"/>
        <v>0</v>
      </c>
      <c r="I25" s="48" t="s">
        <v>5522</v>
      </c>
      <c r="J25" s="48" t="s">
        <v>5563</v>
      </c>
    </row>
    <row r="26" spans="1:10" ht="23.25" customHeight="1">
      <c r="A26" s="124">
        <v>23</v>
      </c>
      <c r="B26" s="125" t="s">
        <v>5564</v>
      </c>
      <c r="C26" s="126" t="s">
        <v>5811</v>
      </c>
      <c r="D26" s="127" t="s">
        <v>5517</v>
      </c>
      <c r="E26" s="128">
        <f>[14]Summary!E26</f>
        <v>14</v>
      </c>
      <c r="F26" s="128">
        <f>[14]Summary!F26</f>
        <v>11.200000000000001</v>
      </c>
      <c r="G26" s="124">
        <f>[14]Summary!G26</f>
        <v>72</v>
      </c>
      <c r="H26" s="129">
        <f t="shared" si="0"/>
        <v>806.40000000000009</v>
      </c>
      <c r="I26" s="129" t="s">
        <v>5518</v>
      </c>
      <c r="J26" s="129" t="s">
        <v>5565</v>
      </c>
    </row>
    <row r="27" spans="1:10" ht="23.25">
      <c r="A27" s="69">
        <v>24</v>
      </c>
      <c r="B27" s="1" t="s">
        <v>5536</v>
      </c>
      <c r="C27" s="1" t="s">
        <v>5566</v>
      </c>
      <c r="D27" s="130" t="s">
        <v>5517</v>
      </c>
      <c r="E27" s="47">
        <f>[14]Summary!E27</f>
        <v>5.75</v>
      </c>
      <c r="F27" s="47">
        <f>[14]Summary!F27</f>
        <v>4.6000000000000005</v>
      </c>
      <c r="G27" s="69">
        <f>[14]Summary!G27</f>
        <v>0</v>
      </c>
      <c r="H27" s="48">
        <f t="shared" si="0"/>
        <v>0</v>
      </c>
      <c r="I27" s="48" t="s">
        <v>5522</v>
      </c>
      <c r="J27" s="48" t="s">
        <v>5567</v>
      </c>
    </row>
    <row r="28" spans="1:10" ht="23.25">
      <c r="A28" s="124">
        <v>25</v>
      </c>
      <c r="B28" s="125" t="s">
        <v>5568</v>
      </c>
      <c r="C28" s="126" t="s">
        <v>5569</v>
      </c>
      <c r="D28" s="127" t="s">
        <v>5517</v>
      </c>
      <c r="E28" s="128">
        <f>[14]Summary!E28</f>
        <v>5.75</v>
      </c>
      <c r="F28" s="128">
        <f>[14]Summary!F28</f>
        <v>4.6000000000000005</v>
      </c>
      <c r="G28" s="124">
        <f>[14]Summary!G28</f>
        <v>70</v>
      </c>
      <c r="H28" s="129">
        <f t="shared" si="0"/>
        <v>322.00000000000006</v>
      </c>
      <c r="I28" s="129" t="s">
        <v>5522</v>
      </c>
      <c r="J28" s="129" t="s">
        <v>5570</v>
      </c>
    </row>
    <row r="29" spans="1:10" ht="23.25">
      <c r="A29" s="69">
        <v>26</v>
      </c>
      <c r="B29" s="1" t="s">
        <v>5561</v>
      </c>
      <c r="C29" s="1" t="s">
        <v>5812</v>
      </c>
      <c r="D29" s="130" t="s">
        <v>5517</v>
      </c>
      <c r="E29" s="47">
        <f>[14]Summary!E29</f>
        <v>5.75</v>
      </c>
      <c r="F29" s="47">
        <f>[14]Summary!F29</f>
        <v>4.6000000000000005</v>
      </c>
      <c r="G29" s="69">
        <f>[14]Summary!G29</f>
        <v>25</v>
      </c>
      <c r="H29" s="48">
        <f t="shared" si="0"/>
        <v>115.00000000000001</v>
      </c>
      <c r="I29" s="48" t="s">
        <v>5518</v>
      </c>
      <c r="J29" s="48" t="s">
        <v>5571</v>
      </c>
    </row>
    <row r="30" spans="1:10" ht="23.25" customHeight="1">
      <c r="A30" s="124">
        <v>27</v>
      </c>
      <c r="B30" s="125" t="s">
        <v>5572</v>
      </c>
      <c r="C30" s="126" t="s">
        <v>5566</v>
      </c>
      <c r="D30" s="127" t="s">
        <v>5517</v>
      </c>
      <c r="E30" s="128">
        <f>[14]Summary!E30</f>
        <v>5.75</v>
      </c>
      <c r="F30" s="128">
        <f>[14]Summary!F30</f>
        <v>4.6000000000000005</v>
      </c>
      <c r="G30" s="124">
        <f>[14]Summary!G30</f>
        <v>16</v>
      </c>
      <c r="H30" s="129">
        <f t="shared" si="0"/>
        <v>73.600000000000009</v>
      </c>
      <c r="I30" s="129" t="s">
        <v>5522</v>
      </c>
      <c r="J30" s="129" t="s">
        <v>5573</v>
      </c>
    </row>
    <row r="31" spans="1:10" ht="23.25">
      <c r="A31" s="69">
        <v>28</v>
      </c>
      <c r="B31" s="1" t="s">
        <v>5574</v>
      </c>
      <c r="C31" s="1" t="s">
        <v>5809</v>
      </c>
      <c r="D31" s="130" t="s">
        <v>5517</v>
      </c>
      <c r="E31" s="47">
        <f>[14]Summary!E31</f>
        <v>5.75</v>
      </c>
      <c r="F31" s="47">
        <f>[14]Summary!F31</f>
        <v>4.6000000000000005</v>
      </c>
      <c r="G31" s="69">
        <f>[14]Summary!G31</f>
        <v>23</v>
      </c>
      <c r="H31" s="48">
        <f t="shared" si="0"/>
        <v>105.80000000000001</v>
      </c>
      <c r="I31" s="48" t="s">
        <v>5518</v>
      </c>
      <c r="J31" s="48" t="s">
        <v>5575</v>
      </c>
    </row>
    <row r="32" spans="1:10" ht="23.25">
      <c r="A32" s="124">
        <v>29</v>
      </c>
      <c r="B32" s="125" t="s">
        <v>5549</v>
      </c>
      <c r="C32" s="126" t="s">
        <v>5550</v>
      </c>
      <c r="D32" s="127" t="s">
        <v>5517</v>
      </c>
      <c r="E32" s="128">
        <f>[14]Summary!E32</f>
        <v>12.5</v>
      </c>
      <c r="F32" s="128">
        <f>[14]Summary!F32</f>
        <v>10</v>
      </c>
      <c r="G32" s="124">
        <f>[14]Summary!G32</f>
        <v>22</v>
      </c>
      <c r="H32" s="129">
        <f t="shared" si="0"/>
        <v>220</v>
      </c>
      <c r="I32" s="129" t="s">
        <v>5522</v>
      </c>
      <c r="J32" s="129" t="s">
        <v>5576</v>
      </c>
    </row>
    <row r="33" spans="1:10" ht="23.25">
      <c r="A33" s="69">
        <v>30</v>
      </c>
      <c r="B33" s="1" t="s">
        <v>5577</v>
      </c>
      <c r="C33" s="1" t="s">
        <v>5578</v>
      </c>
      <c r="D33" s="130" t="s">
        <v>5517</v>
      </c>
      <c r="E33" s="47">
        <f>[14]Summary!E33</f>
        <v>12.5</v>
      </c>
      <c r="F33" s="47">
        <f>[14]Summary!F33</f>
        <v>10</v>
      </c>
      <c r="G33" s="69">
        <f>[14]Summary!G33</f>
        <v>25</v>
      </c>
      <c r="H33" s="48">
        <f t="shared" si="0"/>
        <v>250</v>
      </c>
      <c r="I33" s="48" t="s">
        <v>5522</v>
      </c>
      <c r="J33" s="48" t="s">
        <v>5579</v>
      </c>
    </row>
    <row r="34" spans="1:10" ht="23.25">
      <c r="A34" s="124">
        <v>31</v>
      </c>
      <c r="B34" s="125" t="s">
        <v>5580</v>
      </c>
      <c r="C34" s="126" t="s">
        <v>5813</v>
      </c>
      <c r="D34" s="127" t="s">
        <v>5517</v>
      </c>
      <c r="E34" s="128">
        <f>[14]Summary!E34</f>
        <v>12.5</v>
      </c>
      <c r="F34" s="128">
        <f>[14]Summary!F34</f>
        <v>10</v>
      </c>
      <c r="G34" s="124">
        <f>[14]Summary!G34</f>
        <v>19</v>
      </c>
      <c r="H34" s="129">
        <f t="shared" si="0"/>
        <v>190</v>
      </c>
      <c r="I34" s="129" t="s">
        <v>5518</v>
      </c>
      <c r="J34" s="129" t="s">
        <v>5581</v>
      </c>
    </row>
    <row r="35" spans="1:10" ht="23.25">
      <c r="A35" s="69">
        <v>32</v>
      </c>
      <c r="B35" s="1" t="s">
        <v>5547</v>
      </c>
      <c r="C35" s="1" t="s">
        <v>5810</v>
      </c>
      <c r="D35" s="130" t="s">
        <v>5517</v>
      </c>
      <c r="E35" s="47">
        <f>[14]Summary!E35</f>
        <v>12.5</v>
      </c>
      <c r="F35" s="47">
        <f>[14]Summary!F35</f>
        <v>10</v>
      </c>
      <c r="G35" s="69">
        <f>[14]Summary!G35</f>
        <v>35</v>
      </c>
      <c r="H35" s="48">
        <f t="shared" si="0"/>
        <v>350</v>
      </c>
      <c r="I35" s="48" t="s">
        <v>5518</v>
      </c>
      <c r="J35" s="48" t="s">
        <v>5582</v>
      </c>
    </row>
    <row r="36" spans="1:10" ht="23.25">
      <c r="A36" s="124">
        <v>33</v>
      </c>
      <c r="B36" s="125" t="s">
        <v>5583</v>
      </c>
      <c r="C36" s="126" t="s">
        <v>222</v>
      </c>
      <c r="D36" s="127" t="s">
        <v>5517</v>
      </c>
      <c r="E36" s="128">
        <f>[14]Summary!E36</f>
        <v>12.5</v>
      </c>
      <c r="F36" s="128">
        <f>[14]Summary!F36</f>
        <v>10</v>
      </c>
      <c r="G36" s="124">
        <f>[14]Summary!G36</f>
        <v>19</v>
      </c>
      <c r="H36" s="129">
        <f t="shared" si="0"/>
        <v>190</v>
      </c>
      <c r="I36" s="129" t="s">
        <v>5522</v>
      </c>
      <c r="J36" s="129" t="s">
        <v>5584</v>
      </c>
    </row>
    <row r="37" spans="1:10" ht="23.25">
      <c r="A37" s="69">
        <v>34</v>
      </c>
      <c r="B37" s="1" t="s">
        <v>5585</v>
      </c>
      <c r="C37" s="1" t="s">
        <v>5814</v>
      </c>
      <c r="D37" s="130" t="s">
        <v>5517</v>
      </c>
      <c r="E37" s="47">
        <f>[14]Summary!E37</f>
        <v>17</v>
      </c>
      <c r="F37" s="47">
        <f>[14]Summary!F37</f>
        <v>13.600000000000001</v>
      </c>
      <c r="G37" s="69">
        <f>[14]Summary!G37</f>
        <v>0</v>
      </c>
      <c r="H37" s="48">
        <f t="shared" si="0"/>
        <v>0</v>
      </c>
      <c r="I37" s="48" t="s">
        <v>5518</v>
      </c>
      <c r="J37" s="48" t="s">
        <v>5586</v>
      </c>
    </row>
    <row r="38" spans="1:10" ht="23.25">
      <c r="A38" s="124">
        <v>35</v>
      </c>
      <c r="B38" s="125" t="s">
        <v>5580</v>
      </c>
      <c r="C38" s="126" t="s">
        <v>5587</v>
      </c>
      <c r="D38" s="127" t="s">
        <v>5517</v>
      </c>
      <c r="E38" s="128">
        <f>[14]Summary!E38</f>
        <v>17</v>
      </c>
      <c r="F38" s="128">
        <f>[14]Summary!F38</f>
        <v>13.600000000000001</v>
      </c>
      <c r="G38" s="124">
        <f>[14]Summary!G38</f>
        <v>19</v>
      </c>
      <c r="H38" s="129">
        <f t="shared" si="0"/>
        <v>258.40000000000003</v>
      </c>
      <c r="I38" s="129" t="s">
        <v>5522</v>
      </c>
      <c r="J38" s="129" t="s">
        <v>5588</v>
      </c>
    </row>
    <row r="39" spans="1:10" ht="23.25">
      <c r="A39" s="69">
        <v>36</v>
      </c>
      <c r="B39" s="1" t="s">
        <v>5536</v>
      </c>
      <c r="C39" s="1" t="s">
        <v>208</v>
      </c>
      <c r="D39" s="130" t="s">
        <v>5517</v>
      </c>
      <c r="E39" s="47">
        <f>[14]Summary!E39</f>
        <v>17</v>
      </c>
      <c r="F39" s="47">
        <f>[14]Summary!F39</f>
        <v>13.600000000000001</v>
      </c>
      <c r="G39" s="69">
        <f>[14]Summary!G39</f>
        <v>19</v>
      </c>
      <c r="H39" s="48">
        <f t="shared" si="0"/>
        <v>258.40000000000003</v>
      </c>
      <c r="I39" s="48" t="s">
        <v>5522</v>
      </c>
      <c r="J39" s="48" t="s">
        <v>5589</v>
      </c>
    </row>
    <row r="40" spans="1:10" ht="23.25">
      <c r="A40" s="124">
        <v>37</v>
      </c>
      <c r="B40" s="125" t="s">
        <v>5536</v>
      </c>
      <c r="C40" s="126" t="s">
        <v>5815</v>
      </c>
      <c r="D40" s="127" t="s">
        <v>5517</v>
      </c>
      <c r="E40" s="128">
        <f>[14]Summary!E40</f>
        <v>22</v>
      </c>
      <c r="F40" s="128">
        <f>[14]Summary!F40</f>
        <v>17.600000000000001</v>
      </c>
      <c r="G40" s="124">
        <f>[14]Summary!G40</f>
        <v>24</v>
      </c>
      <c r="H40" s="129">
        <f t="shared" si="0"/>
        <v>422.40000000000003</v>
      </c>
      <c r="I40" s="129" t="s">
        <v>5518</v>
      </c>
      <c r="J40" s="129" t="s">
        <v>5590</v>
      </c>
    </row>
    <row r="41" spans="1:10" ht="23.25">
      <c r="A41" s="69">
        <v>38</v>
      </c>
      <c r="B41" s="1" t="s">
        <v>5580</v>
      </c>
      <c r="C41" s="1" t="s">
        <v>5587</v>
      </c>
      <c r="D41" s="130" t="s">
        <v>5517</v>
      </c>
      <c r="E41" s="47">
        <f>[14]Summary!E41</f>
        <v>3.35</v>
      </c>
      <c r="F41" s="47">
        <f>[14]Summary!F41</f>
        <v>2.68</v>
      </c>
      <c r="G41" s="69">
        <f>[14]Summary!G41</f>
        <v>42</v>
      </c>
      <c r="H41" s="48">
        <f t="shared" si="0"/>
        <v>112.56</v>
      </c>
      <c r="I41" s="48" t="s">
        <v>5522</v>
      </c>
      <c r="J41" s="48" t="s">
        <v>5591</v>
      </c>
    </row>
    <row r="42" spans="1:10" ht="23.25">
      <c r="A42" s="124">
        <v>39</v>
      </c>
      <c r="B42" s="125" t="s">
        <v>5592</v>
      </c>
      <c r="C42" s="126" t="s">
        <v>5593</v>
      </c>
      <c r="D42" s="127" t="s">
        <v>5517</v>
      </c>
      <c r="E42" s="128">
        <f>[14]Summary!E42</f>
        <v>3.35</v>
      </c>
      <c r="F42" s="128">
        <f>[14]Summary!F42</f>
        <v>2.68</v>
      </c>
      <c r="G42" s="124">
        <f>[14]Summary!G42</f>
        <v>62</v>
      </c>
      <c r="H42" s="129">
        <f t="shared" si="0"/>
        <v>166.16</v>
      </c>
      <c r="I42" s="129" t="s">
        <v>5522</v>
      </c>
      <c r="J42" s="129" t="s">
        <v>5594</v>
      </c>
    </row>
    <row r="43" spans="1:10" ht="23.25" customHeight="1">
      <c r="A43" s="69">
        <v>40</v>
      </c>
      <c r="B43" s="1" t="s">
        <v>5595</v>
      </c>
      <c r="C43" s="1" t="s">
        <v>5596</v>
      </c>
      <c r="D43" s="130" t="s">
        <v>5517</v>
      </c>
      <c r="E43" s="47">
        <f>[14]Summary!E43</f>
        <v>32</v>
      </c>
      <c r="F43" s="47">
        <f>[14]Summary!F43</f>
        <v>25.6</v>
      </c>
      <c r="G43" s="69">
        <f>[14]Summary!G43</f>
        <v>25</v>
      </c>
      <c r="H43" s="48">
        <f t="shared" si="0"/>
        <v>640</v>
      </c>
      <c r="I43" s="48" t="s">
        <v>5522</v>
      </c>
      <c r="J43" s="48" t="s">
        <v>5597</v>
      </c>
    </row>
    <row r="44" spans="1:10" ht="23.25">
      <c r="A44" s="124">
        <v>41</v>
      </c>
      <c r="B44" s="125" t="s">
        <v>5583</v>
      </c>
      <c r="C44" s="126" t="s">
        <v>222</v>
      </c>
      <c r="D44" s="127" t="s">
        <v>5517</v>
      </c>
      <c r="E44" s="128">
        <f>[14]Summary!E44</f>
        <v>32</v>
      </c>
      <c r="F44" s="128">
        <f>[14]Summary!F44</f>
        <v>25.6</v>
      </c>
      <c r="G44" s="124">
        <f>[14]Summary!G44</f>
        <v>35</v>
      </c>
      <c r="H44" s="129">
        <f t="shared" si="0"/>
        <v>896</v>
      </c>
      <c r="I44" s="129" t="s">
        <v>5522</v>
      </c>
      <c r="J44" s="129" t="s">
        <v>5598</v>
      </c>
    </row>
    <row r="45" spans="1:10" ht="23.25">
      <c r="A45" s="69">
        <v>42</v>
      </c>
      <c r="B45" s="1" t="s">
        <v>5558</v>
      </c>
      <c r="C45" s="1" t="s">
        <v>5816</v>
      </c>
      <c r="D45" s="130" t="s">
        <v>5517</v>
      </c>
      <c r="E45" s="47">
        <f>[14]Summary!E45</f>
        <v>32</v>
      </c>
      <c r="F45" s="47">
        <f>[14]Summary!F45</f>
        <v>25.6</v>
      </c>
      <c r="G45" s="69">
        <f>[14]Summary!G45</f>
        <v>21</v>
      </c>
      <c r="H45" s="48">
        <f t="shared" si="0"/>
        <v>537.6</v>
      </c>
      <c r="I45" s="48" t="s">
        <v>5518</v>
      </c>
      <c r="J45" s="48" t="s">
        <v>5599</v>
      </c>
    </row>
    <row r="46" spans="1:10" ht="23.25" customHeight="1">
      <c r="A46" s="124">
        <v>43</v>
      </c>
      <c r="B46" s="125" t="s">
        <v>5558</v>
      </c>
      <c r="C46" s="126" t="s">
        <v>232</v>
      </c>
      <c r="D46" s="127" t="s">
        <v>5517</v>
      </c>
      <c r="E46" s="128">
        <f>[14]Summary!E46</f>
        <v>7</v>
      </c>
      <c r="F46" s="128">
        <f>[14]Summary!F46</f>
        <v>5.6000000000000005</v>
      </c>
      <c r="G46" s="124">
        <f>[14]Summary!G46</f>
        <v>148</v>
      </c>
      <c r="H46" s="129">
        <f t="shared" si="0"/>
        <v>828.80000000000007</v>
      </c>
      <c r="I46" s="129" t="s">
        <v>5522</v>
      </c>
      <c r="J46" s="129" t="s">
        <v>5600</v>
      </c>
    </row>
    <row r="47" spans="1:10" ht="23.25">
      <c r="A47" s="69">
        <v>44</v>
      </c>
      <c r="B47" s="1" t="s">
        <v>5585</v>
      </c>
      <c r="C47" s="1" t="s">
        <v>5814</v>
      </c>
      <c r="D47" s="130" t="s">
        <v>5517</v>
      </c>
      <c r="E47" s="47">
        <f>[14]Summary!E47</f>
        <v>43</v>
      </c>
      <c r="F47" s="47">
        <f>[14]Summary!F47</f>
        <v>34.4</v>
      </c>
      <c r="G47" s="69">
        <f>[14]Summary!G47</f>
        <v>15</v>
      </c>
      <c r="H47" s="48">
        <f t="shared" si="0"/>
        <v>516</v>
      </c>
      <c r="I47" s="48" t="s">
        <v>5518</v>
      </c>
      <c r="J47" s="48" t="s">
        <v>5601</v>
      </c>
    </row>
    <row r="48" spans="1:10" ht="23.25">
      <c r="A48" s="124">
        <v>45</v>
      </c>
      <c r="B48" s="125" t="s">
        <v>5558</v>
      </c>
      <c r="C48" s="126" t="s">
        <v>5816</v>
      </c>
      <c r="D48" s="127" t="s">
        <v>5517</v>
      </c>
      <c r="E48" s="128">
        <f>[14]Summary!E48</f>
        <v>7</v>
      </c>
      <c r="F48" s="128">
        <f>[14]Summary!F48</f>
        <v>5.6000000000000005</v>
      </c>
      <c r="G48" s="124">
        <f>[14]Summary!G48</f>
        <v>0</v>
      </c>
      <c r="H48" s="129">
        <f t="shared" si="0"/>
        <v>0</v>
      </c>
      <c r="I48" s="129" t="s">
        <v>5518</v>
      </c>
      <c r="J48" s="129" t="s">
        <v>5602</v>
      </c>
    </row>
    <row r="49" spans="1:10" ht="23.25">
      <c r="A49" s="69">
        <v>46</v>
      </c>
      <c r="B49" s="1" t="s">
        <v>5603</v>
      </c>
      <c r="C49" s="1" t="s">
        <v>236</v>
      </c>
      <c r="D49" s="130" t="s">
        <v>5517</v>
      </c>
      <c r="E49" s="47">
        <f>[14]Summary!E49</f>
        <v>15</v>
      </c>
      <c r="F49" s="47">
        <f>[14]Summary!F49</f>
        <v>12</v>
      </c>
      <c r="G49" s="69">
        <f>[14]Summary!G49</f>
        <v>0</v>
      </c>
      <c r="H49" s="48">
        <f t="shared" si="0"/>
        <v>0</v>
      </c>
      <c r="I49" s="48" t="s">
        <v>5522</v>
      </c>
      <c r="J49" s="48" t="s">
        <v>5604</v>
      </c>
    </row>
    <row r="50" spans="1:10" ht="23.25">
      <c r="A50" s="124">
        <v>47</v>
      </c>
      <c r="B50" s="125" t="s">
        <v>5547</v>
      </c>
      <c r="C50" s="126" t="s">
        <v>5810</v>
      </c>
      <c r="D50" s="127" t="s">
        <v>5517</v>
      </c>
      <c r="E50" s="128">
        <f>[14]Summary!E50</f>
        <v>24</v>
      </c>
      <c r="F50" s="128">
        <f>[14]Summary!F50</f>
        <v>19.200000000000003</v>
      </c>
      <c r="G50" s="124">
        <f>[14]Summary!G50</f>
        <v>12</v>
      </c>
      <c r="H50" s="129">
        <f t="shared" si="0"/>
        <v>230.40000000000003</v>
      </c>
      <c r="I50" s="129" t="s">
        <v>5518</v>
      </c>
      <c r="J50" s="129" t="s">
        <v>5605</v>
      </c>
    </row>
    <row r="51" spans="1:10" ht="23.25">
      <c r="A51" s="69">
        <v>48</v>
      </c>
      <c r="B51" s="1" t="s">
        <v>5583</v>
      </c>
      <c r="C51" s="1" t="s">
        <v>222</v>
      </c>
      <c r="D51" s="130" t="s">
        <v>5517</v>
      </c>
      <c r="E51" s="47">
        <f>[14]Summary!E51</f>
        <v>29</v>
      </c>
      <c r="F51" s="47">
        <f>[14]Summary!F51</f>
        <v>23.200000000000003</v>
      </c>
      <c r="G51" s="69">
        <f>[14]Summary!G51</f>
        <v>0</v>
      </c>
      <c r="H51" s="48">
        <f t="shared" si="0"/>
        <v>0</v>
      </c>
      <c r="I51" s="48" t="s">
        <v>5522</v>
      </c>
      <c r="J51" s="48" t="s">
        <v>5606</v>
      </c>
    </row>
    <row r="52" spans="1:10" ht="23.25">
      <c r="A52" s="124">
        <v>49</v>
      </c>
      <c r="B52" s="125" t="s">
        <v>5536</v>
      </c>
      <c r="C52" s="126" t="s">
        <v>208</v>
      </c>
      <c r="D52" s="127" t="s">
        <v>5517</v>
      </c>
      <c r="E52" s="128">
        <f>[14]Summary!E52</f>
        <v>29</v>
      </c>
      <c r="F52" s="128">
        <f>[14]Summary!F52</f>
        <v>23.200000000000003</v>
      </c>
      <c r="G52" s="124">
        <f>[14]Summary!G52</f>
        <v>0</v>
      </c>
      <c r="H52" s="129">
        <f t="shared" si="0"/>
        <v>0</v>
      </c>
      <c r="I52" s="129" t="s">
        <v>5522</v>
      </c>
      <c r="J52" s="129" t="s">
        <v>5607</v>
      </c>
    </row>
    <row r="53" spans="1:10" ht="23.25">
      <c r="A53" s="69">
        <v>50</v>
      </c>
      <c r="B53" s="1" t="s">
        <v>5536</v>
      </c>
      <c r="C53" s="1" t="s">
        <v>208</v>
      </c>
      <c r="D53" s="130" t="s">
        <v>5517</v>
      </c>
      <c r="E53" s="47">
        <f>[14]Summary!E53</f>
        <v>29</v>
      </c>
      <c r="F53" s="47">
        <f>[14]Summary!F53</f>
        <v>23.200000000000003</v>
      </c>
      <c r="G53" s="69">
        <f>[14]Summary!G53</f>
        <v>0</v>
      </c>
      <c r="H53" s="48">
        <f t="shared" si="0"/>
        <v>0</v>
      </c>
      <c r="I53" s="48" t="s">
        <v>5522</v>
      </c>
      <c r="J53" s="48" t="s">
        <v>5608</v>
      </c>
    </row>
    <row r="54" spans="1:10" ht="23.25">
      <c r="A54" s="124">
        <v>51</v>
      </c>
      <c r="B54" s="125" t="s">
        <v>5536</v>
      </c>
      <c r="C54" s="126" t="s">
        <v>208</v>
      </c>
      <c r="D54" s="127" t="s">
        <v>5517</v>
      </c>
      <c r="E54" s="128">
        <f>[14]Summary!E54</f>
        <v>29</v>
      </c>
      <c r="F54" s="128">
        <f>[14]Summary!F54</f>
        <v>23.200000000000003</v>
      </c>
      <c r="G54" s="124">
        <f>[14]Summary!G54</f>
        <v>0</v>
      </c>
      <c r="H54" s="129">
        <f t="shared" si="0"/>
        <v>0</v>
      </c>
      <c r="I54" s="129" t="s">
        <v>5522</v>
      </c>
      <c r="J54" s="129" t="s">
        <v>5609</v>
      </c>
    </row>
    <row r="55" spans="1:10" ht="23.25">
      <c r="A55" s="69">
        <v>52</v>
      </c>
      <c r="B55" s="1" t="s">
        <v>5536</v>
      </c>
      <c r="C55" s="1" t="s">
        <v>208</v>
      </c>
      <c r="D55" s="130" t="s">
        <v>5517</v>
      </c>
      <c r="E55" s="47">
        <f>[14]Summary!E55</f>
        <v>29</v>
      </c>
      <c r="F55" s="47">
        <f>[14]Summary!F55</f>
        <v>23.200000000000003</v>
      </c>
      <c r="G55" s="69">
        <f>[14]Summary!G55</f>
        <v>0</v>
      </c>
      <c r="H55" s="48">
        <f t="shared" si="0"/>
        <v>0</v>
      </c>
      <c r="I55" s="48" t="s">
        <v>5522</v>
      </c>
      <c r="J55" s="48" t="s">
        <v>5610</v>
      </c>
    </row>
    <row r="56" spans="1:10" ht="23.25">
      <c r="A56" s="124">
        <v>53</v>
      </c>
      <c r="B56" s="125" t="s">
        <v>5558</v>
      </c>
      <c r="C56" s="126" t="s">
        <v>232</v>
      </c>
      <c r="D56" s="127" t="s">
        <v>5517</v>
      </c>
      <c r="E56" s="128">
        <f>[14]Summary!E56</f>
        <v>29</v>
      </c>
      <c r="F56" s="128">
        <f>[14]Summary!F56</f>
        <v>23.200000000000003</v>
      </c>
      <c r="G56" s="124">
        <f>[14]Summary!G56</f>
        <v>0</v>
      </c>
      <c r="H56" s="129">
        <f t="shared" si="0"/>
        <v>0</v>
      </c>
      <c r="I56" s="129" t="s">
        <v>5522</v>
      </c>
      <c r="J56" s="129" t="s">
        <v>5611</v>
      </c>
    </row>
    <row r="57" spans="1:10" ht="23.25">
      <c r="A57" s="69">
        <v>54</v>
      </c>
      <c r="B57" s="1" t="s">
        <v>5543</v>
      </c>
      <c r="C57" s="1" t="s">
        <v>5808</v>
      </c>
      <c r="D57" s="130" t="s">
        <v>5517</v>
      </c>
      <c r="E57" s="47">
        <f>[14]Summary!E57</f>
        <v>29</v>
      </c>
      <c r="F57" s="47">
        <f>[14]Summary!F57</f>
        <v>23.200000000000003</v>
      </c>
      <c r="G57" s="69">
        <f>[14]Summary!G57</f>
        <v>0</v>
      </c>
      <c r="H57" s="48">
        <f t="shared" si="0"/>
        <v>0</v>
      </c>
      <c r="I57" s="48" t="s">
        <v>5518</v>
      </c>
      <c r="J57" s="48" t="s">
        <v>5612</v>
      </c>
    </row>
    <row r="58" spans="1:10" ht="23.25">
      <c r="A58" s="124">
        <v>55</v>
      </c>
      <c r="B58" s="125" t="s">
        <v>5558</v>
      </c>
      <c r="C58" s="126" t="s">
        <v>232</v>
      </c>
      <c r="D58" s="127" t="s">
        <v>5517</v>
      </c>
      <c r="E58" s="128">
        <f>[14]Summary!E58</f>
        <v>29</v>
      </c>
      <c r="F58" s="128">
        <f>[14]Summary!F58</f>
        <v>23.200000000000003</v>
      </c>
      <c r="G58" s="124">
        <f>[14]Summary!G58</f>
        <v>0</v>
      </c>
      <c r="H58" s="129">
        <f t="shared" si="0"/>
        <v>0</v>
      </c>
      <c r="I58" s="129" t="s">
        <v>5522</v>
      </c>
      <c r="J58" s="129" t="s">
        <v>5613</v>
      </c>
    </row>
    <row r="59" spans="1:10" ht="23.25">
      <c r="A59" s="69">
        <v>56</v>
      </c>
      <c r="B59" s="1" t="s">
        <v>5585</v>
      </c>
      <c r="C59" s="1" t="s">
        <v>5814</v>
      </c>
      <c r="D59" s="130" t="s">
        <v>5517</v>
      </c>
      <c r="E59" s="47">
        <f>[14]Summary!E59</f>
        <v>29</v>
      </c>
      <c r="F59" s="47">
        <f>[14]Summary!F59</f>
        <v>23.200000000000003</v>
      </c>
      <c r="G59" s="69">
        <f>[14]Summary!G59</f>
        <v>0</v>
      </c>
      <c r="H59" s="48">
        <f t="shared" si="0"/>
        <v>0</v>
      </c>
      <c r="I59" s="48" t="s">
        <v>5518</v>
      </c>
      <c r="J59" s="48" t="s">
        <v>5614</v>
      </c>
    </row>
    <row r="60" spans="1:10" ht="23.25">
      <c r="A60" s="124">
        <v>57</v>
      </c>
      <c r="B60" s="125" t="s">
        <v>5615</v>
      </c>
      <c r="C60" s="126" t="s">
        <v>5616</v>
      </c>
      <c r="D60" s="127" t="s">
        <v>5517</v>
      </c>
      <c r="E60" s="128">
        <f>[14]Summary!E60</f>
        <v>5</v>
      </c>
      <c r="F60" s="128">
        <f>[14]Summary!F60</f>
        <v>4</v>
      </c>
      <c r="G60" s="124">
        <f>[14]Summary!G60</f>
        <v>31</v>
      </c>
      <c r="H60" s="129">
        <f t="shared" si="0"/>
        <v>124</v>
      </c>
      <c r="I60" s="129" t="s">
        <v>5522</v>
      </c>
      <c r="J60" s="129" t="s">
        <v>5617</v>
      </c>
    </row>
    <row r="61" spans="1:10" ht="23.25" customHeight="1">
      <c r="A61" s="69">
        <v>58</v>
      </c>
      <c r="B61" s="1" t="s">
        <v>5618</v>
      </c>
      <c r="C61" s="1" t="s">
        <v>5817</v>
      </c>
      <c r="D61" s="130" t="s">
        <v>5517</v>
      </c>
      <c r="E61" s="47">
        <f>[14]Summary!E61</f>
        <v>2.75</v>
      </c>
      <c r="F61" s="47">
        <f>[14]Summary!F61</f>
        <v>2.2000000000000002</v>
      </c>
      <c r="G61" s="69">
        <f>[14]Summary!G61</f>
        <v>35</v>
      </c>
      <c r="H61" s="48">
        <f t="shared" si="0"/>
        <v>77</v>
      </c>
      <c r="I61" s="48" t="s">
        <v>5518</v>
      </c>
      <c r="J61" s="48" t="s">
        <v>5619</v>
      </c>
    </row>
    <row r="62" spans="1:10" ht="23.25">
      <c r="A62" s="124">
        <v>59</v>
      </c>
      <c r="B62" s="125" t="s">
        <v>5620</v>
      </c>
      <c r="C62" s="126" t="s">
        <v>5818</v>
      </c>
      <c r="D62" s="127" t="s">
        <v>5517</v>
      </c>
      <c r="E62" s="128">
        <f>[14]Summary!E62</f>
        <v>2.75</v>
      </c>
      <c r="F62" s="128">
        <f>[14]Summary!F62</f>
        <v>2.2000000000000002</v>
      </c>
      <c r="G62" s="124">
        <f>[14]Summary!G62</f>
        <v>25</v>
      </c>
      <c r="H62" s="129">
        <f t="shared" si="0"/>
        <v>55.000000000000007</v>
      </c>
      <c r="I62" s="129" t="s">
        <v>5518</v>
      </c>
      <c r="J62" s="129" t="s">
        <v>5621</v>
      </c>
    </row>
    <row r="63" spans="1:10" ht="23.25">
      <c r="A63" s="69">
        <v>60</v>
      </c>
      <c r="B63" s="1" t="s">
        <v>5622</v>
      </c>
      <c r="C63" s="1" t="s">
        <v>5819</v>
      </c>
      <c r="D63" s="130" t="s">
        <v>5517</v>
      </c>
      <c r="E63" s="47">
        <f>[14]Summary!E63</f>
        <v>2.75</v>
      </c>
      <c r="F63" s="47">
        <f>[14]Summary!F63</f>
        <v>2.2000000000000002</v>
      </c>
      <c r="G63" s="69">
        <f>[14]Summary!G63</f>
        <v>35</v>
      </c>
      <c r="H63" s="48">
        <f t="shared" si="0"/>
        <v>77</v>
      </c>
      <c r="I63" s="48" t="s">
        <v>5518</v>
      </c>
      <c r="J63" s="48" t="s">
        <v>5623</v>
      </c>
    </row>
    <row r="64" spans="1:10" ht="23.25" customHeight="1">
      <c r="A64" s="124">
        <v>61</v>
      </c>
      <c r="B64" s="125" t="s">
        <v>5603</v>
      </c>
      <c r="C64" s="126" t="s">
        <v>5807</v>
      </c>
      <c r="D64" s="127" t="s">
        <v>5517</v>
      </c>
      <c r="E64" s="128">
        <f>[14]Summary!E64</f>
        <v>2.75</v>
      </c>
      <c r="F64" s="128">
        <f>[14]Summary!F64</f>
        <v>2.2000000000000002</v>
      </c>
      <c r="G64" s="124">
        <f>[14]Summary!G64</f>
        <v>37</v>
      </c>
      <c r="H64" s="129">
        <f t="shared" si="0"/>
        <v>81.400000000000006</v>
      </c>
      <c r="I64" s="129" t="s">
        <v>5518</v>
      </c>
      <c r="J64" s="129" t="s">
        <v>5624</v>
      </c>
    </row>
    <row r="65" spans="1:10" ht="23.25">
      <c r="A65" s="69">
        <v>62</v>
      </c>
      <c r="B65" s="1" t="s">
        <v>5549</v>
      </c>
      <c r="C65" s="1" t="s">
        <v>5820</v>
      </c>
      <c r="D65" s="130" t="s">
        <v>5517</v>
      </c>
      <c r="E65" s="47">
        <f>[14]Summary!E65</f>
        <v>1.65</v>
      </c>
      <c r="F65" s="47">
        <f>[14]Summary!F65</f>
        <v>1.32</v>
      </c>
      <c r="G65" s="69">
        <f>[14]Summary!G65</f>
        <v>188</v>
      </c>
      <c r="H65" s="48">
        <f t="shared" si="0"/>
        <v>248.16000000000003</v>
      </c>
      <c r="I65" s="48" t="s">
        <v>5518</v>
      </c>
      <c r="J65" s="48" t="s">
        <v>5625</v>
      </c>
    </row>
    <row r="66" spans="1:10" ht="23.25">
      <c r="A66" s="124">
        <v>63</v>
      </c>
      <c r="B66" s="125" t="s">
        <v>5595</v>
      </c>
      <c r="C66" s="126" t="s">
        <v>5596</v>
      </c>
      <c r="D66" s="127" t="s">
        <v>5517</v>
      </c>
      <c r="E66" s="128">
        <f>[14]Summary!E66</f>
        <v>4.125</v>
      </c>
      <c r="F66" s="128">
        <f>[14]Summary!F66</f>
        <v>3.3000000000000003</v>
      </c>
      <c r="G66" s="124">
        <f>[14]Summary!G66</f>
        <v>16</v>
      </c>
      <c r="H66" s="129">
        <f t="shared" si="0"/>
        <v>52.800000000000004</v>
      </c>
      <c r="I66" s="129" t="s">
        <v>5522</v>
      </c>
      <c r="J66" s="129" t="s">
        <v>5626</v>
      </c>
    </row>
    <row r="67" spans="1:10" ht="23.25">
      <c r="A67" s="69">
        <v>64</v>
      </c>
      <c r="B67" s="1" t="s">
        <v>5549</v>
      </c>
      <c r="C67" s="1" t="s">
        <v>5550</v>
      </c>
      <c r="D67" s="130" t="s">
        <v>5517</v>
      </c>
      <c r="E67" s="47">
        <f>[14]Summary!E67</f>
        <v>3</v>
      </c>
      <c r="F67" s="47">
        <f>[14]Summary!F67</f>
        <v>2.4000000000000004</v>
      </c>
      <c r="G67" s="69">
        <f>[14]Summary!G67</f>
        <v>0</v>
      </c>
      <c r="H67" s="48">
        <f t="shared" si="0"/>
        <v>0</v>
      </c>
      <c r="I67" s="48" t="s">
        <v>5522</v>
      </c>
      <c r="J67" s="48" t="s">
        <v>5627</v>
      </c>
    </row>
    <row r="68" spans="1:10" ht="23.25">
      <c r="A68" s="124">
        <v>65</v>
      </c>
      <c r="B68" s="125" t="s">
        <v>5585</v>
      </c>
      <c r="C68" s="126" t="s">
        <v>5814</v>
      </c>
      <c r="D68" s="127" t="s">
        <v>5517</v>
      </c>
      <c r="E68" s="128">
        <f>[14]Summary!E68</f>
        <v>3</v>
      </c>
      <c r="F68" s="128">
        <f>[14]Summary!F68</f>
        <v>2.4000000000000004</v>
      </c>
      <c r="G68" s="124">
        <f>[14]Summary!G68</f>
        <v>0</v>
      </c>
      <c r="H68" s="129">
        <f t="shared" si="0"/>
        <v>0</v>
      </c>
      <c r="I68" s="129" t="s">
        <v>5518</v>
      </c>
      <c r="J68" s="129" t="s">
        <v>5628</v>
      </c>
    </row>
    <row r="69" spans="1:10" ht="23.25">
      <c r="A69" s="69">
        <v>66</v>
      </c>
      <c r="B69" s="1" t="s">
        <v>5629</v>
      </c>
      <c r="C69" s="1" t="s">
        <v>711</v>
      </c>
      <c r="D69" s="130" t="s">
        <v>5517</v>
      </c>
      <c r="E69" s="47">
        <f>[14]Summary!E69</f>
        <v>3</v>
      </c>
      <c r="F69" s="47">
        <f>[14]Summary!F69</f>
        <v>2.4000000000000004</v>
      </c>
      <c r="G69" s="69">
        <f>[14]Summary!G69</f>
        <v>0</v>
      </c>
      <c r="H69" s="48">
        <f t="shared" si="0"/>
        <v>0</v>
      </c>
      <c r="I69" s="48" t="s">
        <v>5630</v>
      </c>
      <c r="J69" s="48" t="s">
        <v>5631</v>
      </c>
    </row>
    <row r="70" spans="1:10" ht="23.25">
      <c r="A70" s="124">
        <v>67</v>
      </c>
      <c r="B70" s="125" t="s">
        <v>5632</v>
      </c>
      <c r="C70" s="126" t="s">
        <v>5633</v>
      </c>
      <c r="D70" s="127" t="s">
        <v>5517</v>
      </c>
      <c r="E70" s="128">
        <f>[14]Summary!E70</f>
        <v>3</v>
      </c>
      <c r="F70" s="128">
        <f>[14]Summary!F70</f>
        <v>2.4000000000000004</v>
      </c>
      <c r="G70" s="124">
        <f>[14]Summary!G70</f>
        <v>0</v>
      </c>
      <c r="H70" s="129">
        <f t="shared" ref="H70:H133" si="1">F70*G70</f>
        <v>0</v>
      </c>
      <c r="I70" s="129" t="s">
        <v>5630</v>
      </c>
      <c r="J70" s="129" t="s">
        <v>5634</v>
      </c>
    </row>
    <row r="71" spans="1:10" ht="23.25">
      <c r="A71" s="69">
        <v>68</v>
      </c>
      <c r="B71" s="1" t="s">
        <v>5635</v>
      </c>
      <c r="C71" s="1" t="s">
        <v>5636</v>
      </c>
      <c r="D71" s="130" t="s">
        <v>5517</v>
      </c>
      <c r="E71" s="47">
        <f>[14]Summary!E71</f>
        <v>3</v>
      </c>
      <c r="F71" s="47">
        <f>[14]Summary!F71</f>
        <v>2.4000000000000004</v>
      </c>
      <c r="G71" s="69">
        <f>[14]Summary!G71</f>
        <v>62</v>
      </c>
      <c r="H71" s="48">
        <f t="shared" si="1"/>
        <v>148.80000000000001</v>
      </c>
      <c r="I71" s="48" t="s">
        <v>5522</v>
      </c>
      <c r="J71" s="48" t="s">
        <v>5637</v>
      </c>
    </row>
    <row r="72" spans="1:10" ht="23.25">
      <c r="A72" s="124">
        <v>69</v>
      </c>
      <c r="B72" s="125" t="s">
        <v>5638</v>
      </c>
      <c r="C72" s="126" t="s">
        <v>5639</v>
      </c>
      <c r="D72" s="127" t="s">
        <v>5517</v>
      </c>
      <c r="E72" s="128">
        <f>[14]Summary!E72</f>
        <v>3</v>
      </c>
      <c r="F72" s="128">
        <f>[14]Summary!F72</f>
        <v>2.4000000000000004</v>
      </c>
      <c r="G72" s="124">
        <f>[14]Summary!G72</f>
        <v>47</v>
      </c>
      <c r="H72" s="129">
        <f t="shared" si="1"/>
        <v>112.80000000000001</v>
      </c>
      <c r="I72" s="129" t="s">
        <v>5630</v>
      </c>
      <c r="J72" s="129" t="s">
        <v>5640</v>
      </c>
    </row>
    <row r="73" spans="1:10" ht="23.25" customHeight="1">
      <c r="A73" s="69">
        <v>70</v>
      </c>
      <c r="B73" s="1" t="s">
        <v>5547</v>
      </c>
      <c r="C73" s="1" t="s">
        <v>230</v>
      </c>
      <c r="D73" s="130" t="s">
        <v>5517</v>
      </c>
      <c r="E73" s="47">
        <f>[14]Summary!E73</f>
        <v>3</v>
      </c>
      <c r="F73" s="47">
        <f>[14]Summary!F73</f>
        <v>2.4000000000000004</v>
      </c>
      <c r="G73" s="69">
        <f>[14]Summary!G73</f>
        <v>155</v>
      </c>
      <c r="H73" s="48">
        <f t="shared" si="1"/>
        <v>372.00000000000006</v>
      </c>
      <c r="I73" s="48" t="s">
        <v>5522</v>
      </c>
      <c r="J73" s="48" t="s">
        <v>5641</v>
      </c>
    </row>
    <row r="74" spans="1:10" ht="23.25">
      <c r="A74" s="124">
        <v>71</v>
      </c>
      <c r="B74" s="125" t="s">
        <v>5642</v>
      </c>
      <c r="C74" s="126" t="s">
        <v>210</v>
      </c>
      <c r="D74" s="127" t="s">
        <v>5517</v>
      </c>
      <c r="E74" s="128">
        <f>[14]Summary!E74</f>
        <v>3</v>
      </c>
      <c r="F74" s="128">
        <f>[14]Summary!F74</f>
        <v>2.4000000000000004</v>
      </c>
      <c r="G74" s="124">
        <f>[14]Summary!G74</f>
        <v>250</v>
      </c>
      <c r="H74" s="129">
        <f t="shared" si="1"/>
        <v>600.00000000000011</v>
      </c>
      <c r="I74" s="129" t="s">
        <v>5522</v>
      </c>
      <c r="J74" s="129" t="s">
        <v>5643</v>
      </c>
    </row>
    <row r="75" spans="1:10" ht="23.25" customHeight="1">
      <c r="A75" s="69">
        <v>72</v>
      </c>
      <c r="B75" s="1" t="s">
        <v>5536</v>
      </c>
      <c r="C75" s="1" t="s">
        <v>208</v>
      </c>
      <c r="D75" s="130" t="s">
        <v>5517</v>
      </c>
      <c r="E75" s="47">
        <f>[14]Summary!E75</f>
        <v>3</v>
      </c>
      <c r="F75" s="47">
        <f>[14]Summary!F75</f>
        <v>2.4000000000000004</v>
      </c>
      <c r="G75" s="69">
        <f>[14]Summary!G75</f>
        <v>120</v>
      </c>
      <c r="H75" s="48">
        <f t="shared" si="1"/>
        <v>288.00000000000006</v>
      </c>
      <c r="I75" s="48" t="s">
        <v>5522</v>
      </c>
      <c r="J75" s="48" t="s">
        <v>5644</v>
      </c>
    </row>
    <row r="76" spans="1:10" ht="46.5">
      <c r="A76" s="124">
        <v>73</v>
      </c>
      <c r="B76" s="125" t="s">
        <v>1745</v>
      </c>
      <c r="C76" s="126" t="s">
        <v>5645</v>
      </c>
      <c r="D76" s="127" t="s">
        <v>5517</v>
      </c>
      <c r="E76" s="128">
        <f>[14]Summary!E76</f>
        <v>5</v>
      </c>
      <c r="F76" s="128">
        <f>[14]Summary!F76</f>
        <v>4</v>
      </c>
      <c r="G76" s="124">
        <f>[14]Summary!G76</f>
        <v>237</v>
      </c>
      <c r="H76" s="129">
        <f t="shared" si="1"/>
        <v>948</v>
      </c>
      <c r="I76" s="129" t="s">
        <v>5553</v>
      </c>
      <c r="J76" s="129" t="s">
        <v>5672</v>
      </c>
    </row>
    <row r="77" spans="1:10" ht="23.25">
      <c r="A77" s="69">
        <v>74</v>
      </c>
      <c r="B77" s="1" t="s">
        <v>5646</v>
      </c>
      <c r="C77" s="1" t="s">
        <v>5532</v>
      </c>
      <c r="D77" s="130" t="s">
        <v>5517</v>
      </c>
      <c r="E77" s="47">
        <f>[14]Summary!E77</f>
        <v>5</v>
      </c>
      <c r="F77" s="47">
        <f>[14]Summary!F77</f>
        <v>4</v>
      </c>
      <c r="G77" s="69">
        <f>[14]Summary!G77</f>
        <v>350</v>
      </c>
      <c r="H77" s="48">
        <f t="shared" si="1"/>
        <v>1400</v>
      </c>
      <c r="I77" s="48" t="s">
        <v>5522</v>
      </c>
      <c r="J77" s="48" t="s">
        <v>5673</v>
      </c>
    </row>
    <row r="78" spans="1:10" ht="23.25" customHeight="1">
      <c r="A78" s="124">
        <v>75</v>
      </c>
      <c r="B78" s="125" t="s">
        <v>5583</v>
      </c>
      <c r="C78" s="126" t="s">
        <v>222</v>
      </c>
      <c r="D78" s="127" t="s">
        <v>5517</v>
      </c>
      <c r="E78" s="128">
        <f>[14]Summary!E78</f>
        <v>5</v>
      </c>
      <c r="F78" s="128">
        <f>[14]Summary!F78</f>
        <v>4</v>
      </c>
      <c r="G78" s="124">
        <f>[14]Summary!G78</f>
        <v>30</v>
      </c>
      <c r="H78" s="129">
        <f t="shared" si="1"/>
        <v>120</v>
      </c>
      <c r="I78" s="129" t="s">
        <v>5522</v>
      </c>
      <c r="J78" s="129"/>
    </row>
    <row r="79" spans="1:10" ht="23.25">
      <c r="A79" s="69">
        <v>76</v>
      </c>
      <c r="B79" s="1" t="s">
        <v>5583</v>
      </c>
      <c r="C79" s="1" t="s">
        <v>222</v>
      </c>
      <c r="D79" s="130" t="s">
        <v>5517</v>
      </c>
      <c r="E79" s="47">
        <f>[14]Summary!E79</f>
        <v>5</v>
      </c>
      <c r="F79" s="47">
        <f>[14]Summary!F79</f>
        <v>4</v>
      </c>
      <c r="G79" s="69">
        <f>[14]Summary!G79</f>
        <v>42</v>
      </c>
      <c r="H79" s="48">
        <f t="shared" si="1"/>
        <v>168</v>
      </c>
      <c r="I79" s="48" t="s">
        <v>5522</v>
      </c>
      <c r="J79" s="48"/>
    </row>
    <row r="80" spans="1:10" ht="23.25">
      <c r="A80" s="124">
        <v>77</v>
      </c>
      <c r="B80" s="125" t="s">
        <v>5547</v>
      </c>
      <c r="C80" s="126" t="s">
        <v>5810</v>
      </c>
      <c r="D80" s="127" t="s">
        <v>5517</v>
      </c>
      <c r="E80" s="128">
        <f>[14]Summary!E80</f>
        <v>5</v>
      </c>
      <c r="F80" s="128">
        <f>[14]Summary!F80</f>
        <v>4</v>
      </c>
      <c r="G80" s="124">
        <f>[14]Summary!G80</f>
        <v>34</v>
      </c>
      <c r="H80" s="129">
        <f t="shared" si="1"/>
        <v>136</v>
      </c>
      <c r="I80" s="129" t="s">
        <v>5518</v>
      </c>
      <c r="J80" s="129"/>
    </row>
    <row r="81" spans="1:10" ht="23.25">
      <c r="A81" s="69">
        <v>78</v>
      </c>
      <c r="B81" s="1" t="s">
        <v>5558</v>
      </c>
      <c r="C81" s="1" t="s">
        <v>5821</v>
      </c>
      <c r="D81" s="130" t="s">
        <v>5517</v>
      </c>
      <c r="E81" s="47">
        <f>[14]Summary!E81</f>
        <v>1.25</v>
      </c>
      <c r="F81" s="47">
        <f>[14]Summary!F81</f>
        <v>1</v>
      </c>
      <c r="G81" s="69">
        <f>[14]Summary!G81</f>
        <v>153</v>
      </c>
      <c r="H81" s="48">
        <f t="shared" si="1"/>
        <v>153</v>
      </c>
      <c r="I81" s="48" t="s">
        <v>5518</v>
      </c>
      <c r="J81" s="48"/>
    </row>
    <row r="82" spans="1:10" ht="23.25" customHeight="1">
      <c r="A82" s="124">
        <v>79</v>
      </c>
      <c r="B82" s="125" t="s">
        <v>5585</v>
      </c>
      <c r="C82" s="126" t="s">
        <v>5814</v>
      </c>
      <c r="D82" s="127" t="s">
        <v>5517</v>
      </c>
      <c r="E82" s="128">
        <f>[14]Summary!E82</f>
        <v>1.25</v>
      </c>
      <c r="F82" s="128">
        <f>[14]Summary!F82</f>
        <v>1</v>
      </c>
      <c r="G82" s="124">
        <f>[14]Summary!G82</f>
        <v>69</v>
      </c>
      <c r="H82" s="129">
        <f t="shared" si="1"/>
        <v>69</v>
      </c>
      <c r="I82" s="129" t="s">
        <v>5518</v>
      </c>
      <c r="J82" s="129"/>
    </row>
    <row r="83" spans="1:10" ht="23.25">
      <c r="A83" s="69">
        <v>80</v>
      </c>
      <c r="B83" s="1" t="s">
        <v>5585</v>
      </c>
      <c r="C83" s="1" t="s">
        <v>5814</v>
      </c>
      <c r="D83" s="130" t="s">
        <v>5517</v>
      </c>
      <c r="E83" s="47">
        <f>[14]Summary!E83</f>
        <v>9</v>
      </c>
      <c r="F83" s="47">
        <f>[14]Summary!F83</f>
        <v>7.2</v>
      </c>
      <c r="G83" s="69">
        <f>[14]Summary!G83</f>
        <v>66</v>
      </c>
      <c r="H83" s="48">
        <f t="shared" si="1"/>
        <v>475.2</v>
      </c>
      <c r="I83" s="48" t="s">
        <v>5518</v>
      </c>
      <c r="J83" s="48"/>
    </row>
    <row r="84" spans="1:10" ht="23.25">
      <c r="A84" s="124">
        <v>81</v>
      </c>
      <c r="B84" s="125" t="s">
        <v>5585</v>
      </c>
      <c r="C84" s="126" t="s">
        <v>5814</v>
      </c>
      <c r="D84" s="127" t="s">
        <v>5517</v>
      </c>
      <c r="E84" s="128">
        <f>[14]Summary!E84</f>
        <v>9</v>
      </c>
      <c r="F84" s="128">
        <f>[14]Summary!F84</f>
        <v>7.2</v>
      </c>
      <c r="G84" s="124">
        <f>[14]Summary!G84</f>
        <v>31</v>
      </c>
      <c r="H84" s="129">
        <f t="shared" si="1"/>
        <v>223.20000000000002</v>
      </c>
      <c r="I84" s="129" t="s">
        <v>5518</v>
      </c>
      <c r="J84" s="129"/>
    </row>
    <row r="85" spans="1:10" ht="23.25">
      <c r="A85" s="69">
        <v>82</v>
      </c>
      <c r="B85" s="1" t="s">
        <v>5585</v>
      </c>
      <c r="C85" s="1" t="s">
        <v>5647</v>
      </c>
      <c r="D85" s="130" t="s">
        <v>5517</v>
      </c>
      <c r="E85" s="47">
        <f>[14]Summary!E85</f>
        <v>1.6</v>
      </c>
      <c r="F85" s="47">
        <f>[14]Summary!F85</f>
        <v>1.2800000000000002</v>
      </c>
      <c r="G85" s="69">
        <f>[14]Summary!G85</f>
        <v>113</v>
      </c>
      <c r="H85" s="48">
        <f t="shared" si="1"/>
        <v>144.64000000000001</v>
      </c>
      <c r="I85" s="48" t="s">
        <v>5522</v>
      </c>
      <c r="J85" s="48"/>
    </row>
    <row r="86" spans="1:10" ht="23.25">
      <c r="A86" s="124">
        <v>83</v>
      </c>
      <c r="B86" s="125" t="s">
        <v>5646</v>
      </c>
      <c r="C86" s="126" t="s">
        <v>5822</v>
      </c>
      <c r="D86" s="127" t="s">
        <v>5517</v>
      </c>
      <c r="E86" s="128">
        <f>[14]Summary!E86</f>
        <v>1.6</v>
      </c>
      <c r="F86" s="128">
        <f>[14]Summary!F86</f>
        <v>1.2800000000000002</v>
      </c>
      <c r="G86" s="124">
        <f>[14]Summary!G86</f>
        <v>28</v>
      </c>
      <c r="H86" s="129">
        <f t="shared" si="1"/>
        <v>35.840000000000003</v>
      </c>
      <c r="I86" s="129" t="s">
        <v>5518</v>
      </c>
      <c r="J86" s="129"/>
    </row>
    <row r="87" spans="1:10" ht="23.25">
      <c r="A87" s="69">
        <v>84</v>
      </c>
      <c r="B87" s="1" t="s">
        <v>5646</v>
      </c>
      <c r="C87" s="1" t="s">
        <v>5532</v>
      </c>
      <c r="D87" s="130" t="s">
        <v>5517</v>
      </c>
      <c r="E87" s="47">
        <f>[14]Summary!E87</f>
        <v>2.5</v>
      </c>
      <c r="F87" s="47">
        <f>[14]Summary!F87</f>
        <v>2</v>
      </c>
      <c r="G87" s="69">
        <f>[14]Summary!G87</f>
        <v>20</v>
      </c>
      <c r="H87" s="48">
        <f t="shared" si="1"/>
        <v>40</v>
      </c>
      <c r="I87" s="48" t="s">
        <v>5522</v>
      </c>
      <c r="J87" s="48"/>
    </row>
    <row r="88" spans="1:10" ht="23.25" customHeight="1">
      <c r="A88" s="124">
        <v>85</v>
      </c>
      <c r="B88" s="125" t="s">
        <v>5646</v>
      </c>
      <c r="C88" s="126" t="s">
        <v>5532</v>
      </c>
      <c r="D88" s="127" t="s">
        <v>5517</v>
      </c>
      <c r="E88" s="128">
        <f>[14]Summary!E88</f>
        <v>2.5</v>
      </c>
      <c r="F88" s="128">
        <f>[14]Summary!F88</f>
        <v>2</v>
      </c>
      <c r="G88" s="124">
        <f>[14]Summary!G88</f>
        <v>25</v>
      </c>
      <c r="H88" s="129">
        <f t="shared" si="1"/>
        <v>50</v>
      </c>
      <c r="I88" s="129" t="s">
        <v>5522</v>
      </c>
      <c r="J88" s="129"/>
    </row>
    <row r="89" spans="1:10" ht="23.25">
      <c r="A89" s="69">
        <v>86</v>
      </c>
      <c r="B89" s="1" t="s">
        <v>5646</v>
      </c>
      <c r="C89" s="1" t="s">
        <v>5532</v>
      </c>
      <c r="D89" s="130" t="s">
        <v>5517</v>
      </c>
      <c r="E89" s="47">
        <f>[14]Summary!E89</f>
        <v>23</v>
      </c>
      <c r="F89" s="47">
        <f>[14]Summary!F89</f>
        <v>18.400000000000002</v>
      </c>
      <c r="G89" s="69">
        <f>[14]Summary!G89</f>
        <v>0</v>
      </c>
      <c r="H89" s="48">
        <f t="shared" si="1"/>
        <v>0</v>
      </c>
      <c r="I89" s="48" t="s">
        <v>5522</v>
      </c>
      <c r="J89" s="48"/>
    </row>
    <row r="90" spans="1:10" ht="23.25">
      <c r="A90" s="124">
        <v>87</v>
      </c>
      <c r="B90" s="125" t="s">
        <v>5536</v>
      </c>
      <c r="C90" s="126" t="s">
        <v>5823</v>
      </c>
      <c r="D90" s="127" t="s">
        <v>5517</v>
      </c>
      <c r="E90" s="128">
        <f>[14]Summary!E90</f>
        <v>23</v>
      </c>
      <c r="F90" s="128">
        <f>[14]Summary!F90</f>
        <v>18.400000000000002</v>
      </c>
      <c r="G90" s="124">
        <f>[14]Summary!G90</f>
        <v>45</v>
      </c>
      <c r="H90" s="129">
        <f t="shared" si="1"/>
        <v>828.00000000000011</v>
      </c>
      <c r="I90" s="129" t="s">
        <v>5518</v>
      </c>
      <c r="J90" s="129"/>
    </row>
    <row r="91" spans="1:10" ht="23.25" customHeight="1">
      <c r="A91" s="69">
        <v>88</v>
      </c>
      <c r="B91" s="1" t="s">
        <v>5536</v>
      </c>
      <c r="C91" s="1" t="s">
        <v>5823</v>
      </c>
      <c r="D91" s="130" t="s">
        <v>5517</v>
      </c>
      <c r="E91" s="47">
        <f>[14]Summary!E91</f>
        <v>37</v>
      </c>
      <c r="F91" s="47">
        <f>[14]Summary!F91</f>
        <v>29.6</v>
      </c>
      <c r="G91" s="69">
        <f>[14]Summary!G91</f>
        <v>0</v>
      </c>
      <c r="H91" s="48">
        <f t="shared" si="1"/>
        <v>0</v>
      </c>
      <c r="I91" s="48" t="s">
        <v>5518</v>
      </c>
      <c r="J91" s="48"/>
    </row>
    <row r="92" spans="1:10" ht="23.25">
      <c r="A92" s="124">
        <v>89</v>
      </c>
      <c r="B92" s="125" t="s">
        <v>5536</v>
      </c>
      <c r="C92" s="126" t="s">
        <v>5823</v>
      </c>
      <c r="D92" s="127" t="s">
        <v>5517</v>
      </c>
      <c r="E92" s="128">
        <f>[14]Summary!E92</f>
        <v>5</v>
      </c>
      <c r="F92" s="128">
        <f>[14]Summary!F92</f>
        <v>4</v>
      </c>
      <c r="G92" s="124">
        <f>[14]Summary!G92</f>
        <v>25</v>
      </c>
      <c r="H92" s="129">
        <f t="shared" si="1"/>
        <v>100</v>
      </c>
      <c r="I92" s="129" t="s">
        <v>5518</v>
      </c>
      <c r="J92" s="129"/>
    </row>
    <row r="93" spans="1:10" ht="23.25">
      <c r="A93" s="69">
        <v>90</v>
      </c>
      <c r="B93" s="1" t="s">
        <v>5583</v>
      </c>
      <c r="C93" s="1" t="s">
        <v>222</v>
      </c>
      <c r="D93" s="130" t="s">
        <v>5517</v>
      </c>
      <c r="E93" s="47">
        <f>[14]Summary!E93</f>
        <v>5</v>
      </c>
      <c r="F93" s="47">
        <f>[14]Summary!F93</f>
        <v>4</v>
      </c>
      <c r="G93" s="69">
        <f>[14]Summary!G93</f>
        <v>20</v>
      </c>
      <c r="H93" s="48">
        <f t="shared" si="1"/>
        <v>80</v>
      </c>
      <c r="I93" s="48" t="s">
        <v>5522</v>
      </c>
      <c r="J93" s="48"/>
    </row>
    <row r="94" spans="1:10" ht="23.25">
      <c r="A94" s="124">
        <v>91</v>
      </c>
      <c r="B94" s="125" t="s">
        <v>5648</v>
      </c>
      <c r="C94" s="126" t="s">
        <v>1625</v>
      </c>
      <c r="D94" s="127" t="s">
        <v>5517</v>
      </c>
      <c r="E94" s="128">
        <f>[14]Summary!E94</f>
        <v>5</v>
      </c>
      <c r="F94" s="128">
        <f>[14]Summary!F94</f>
        <v>4</v>
      </c>
      <c r="G94" s="124">
        <f>[14]Summary!G94</f>
        <v>25</v>
      </c>
      <c r="H94" s="129">
        <f t="shared" si="1"/>
        <v>100</v>
      </c>
      <c r="I94" s="129" t="s">
        <v>5522</v>
      </c>
      <c r="J94" s="129"/>
    </row>
    <row r="95" spans="1:10" ht="23.25" customHeight="1">
      <c r="A95" s="69">
        <v>92</v>
      </c>
      <c r="B95" s="1" t="s">
        <v>5648</v>
      </c>
      <c r="C95" s="1" t="s">
        <v>1625</v>
      </c>
      <c r="D95" s="130" t="s">
        <v>5517</v>
      </c>
      <c r="E95" s="47">
        <f>[14]Summary!E95</f>
        <v>5</v>
      </c>
      <c r="F95" s="47">
        <f>[14]Summary!F95</f>
        <v>4</v>
      </c>
      <c r="G95" s="69">
        <f>[14]Summary!G95</f>
        <v>41</v>
      </c>
      <c r="H95" s="48">
        <f t="shared" si="1"/>
        <v>164</v>
      </c>
      <c r="I95" s="48" t="s">
        <v>5522</v>
      </c>
      <c r="J95" s="48"/>
    </row>
    <row r="96" spans="1:10" ht="23.25">
      <c r="A96" s="124">
        <v>93</v>
      </c>
      <c r="B96" s="125" t="s">
        <v>5648</v>
      </c>
      <c r="C96" s="126" t="s">
        <v>1625</v>
      </c>
      <c r="D96" s="127" t="s">
        <v>5517</v>
      </c>
      <c r="E96" s="128">
        <f>[14]Summary!E96</f>
        <v>5</v>
      </c>
      <c r="F96" s="128">
        <f>[14]Summary!F96</f>
        <v>4</v>
      </c>
      <c r="G96" s="124">
        <f>[14]Summary!G96</f>
        <v>18</v>
      </c>
      <c r="H96" s="129">
        <f t="shared" si="1"/>
        <v>72</v>
      </c>
      <c r="I96" s="129" t="s">
        <v>5522</v>
      </c>
      <c r="J96" s="129"/>
    </row>
    <row r="97" spans="1:10" ht="23.25">
      <c r="A97" s="69">
        <v>94</v>
      </c>
      <c r="B97" s="1" t="s">
        <v>5648</v>
      </c>
      <c r="C97" s="1" t="s">
        <v>1625</v>
      </c>
      <c r="D97" s="130" t="s">
        <v>5517</v>
      </c>
      <c r="E97" s="47">
        <f>[14]Summary!E97</f>
        <v>5</v>
      </c>
      <c r="F97" s="47">
        <f>[14]Summary!F97</f>
        <v>4</v>
      </c>
      <c r="G97" s="69">
        <f>[14]Summary!G97</f>
        <v>30</v>
      </c>
      <c r="H97" s="48">
        <f t="shared" si="1"/>
        <v>120</v>
      </c>
      <c r="I97" s="48" t="s">
        <v>5522</v>
      </c>
      <c r="J97" s="48"/>
    </row>
    <row r="98" spans="1:10" ht="23.25">
      <c r="A98" s="124">
        <v>95</v>
      </c>
      <c r="B98" s="125" t="s">
        <v>5648</v>
      </c>
      <c r="C98" s="126" t="s">
        <v>1625</v>
      </c>
      <c r="D98" s="127" t="s">
        <v>5517</v>
      </c>
      <c r="E98" s="128">
        <f>[14]Summary!E98</f>
        <v>5</v>
      </c>
      <c r="F98" s="128">
        <f>[14]Summary!F98</f>
        <v>4</v>
      </c>
      <c r="G98" s="124">
        <f>[14]Summary!G98</f>
        <v>21</v>
      </c>
      <c r="H98" s="129">
        <f t="shared" si="1"/>
        <v>84</v>
      </c>
      <c r="I98" s="129" t="s">
        <v>5522</v>
      </c>
      <c r="J98" s="129"/>
    </row>
    <row r="99" spans="1:10" ht="23.25">
      <c r="A99" s="69">
        <v>96</v>
      </c>
      <c r="B99" s="1" t="s">
        <v>5648</v>
      </c>
      <c r="C99" s="1" t="s">
        <v>1625</v>
      </c>
      <c r="D99" s="130" t="s">
        <v>5517</v>
      </c>
      <c r="E99" s="47">
        <f>[14]Summary!E99</f>
        <v>5</v>
      </c>
      <c r="F99" s="47">
        <f>[14]Summary!F99</f>
        <v>4</v>
      </c>
      <c r="G99" s="69">
        <f>[14]Summary!G99</f>
        <v>20</v>
      </c>
      <c r="H99" s="48">
        <f t="shared" si="1"/>
        <v>80</v>
      </c>
      <c r="I99" s="48" t="s">
        <v>5522</v>
      </c>
      <c r="J99" s="48"/>
    </row>
    <row r="100" spans="1:10" ht="23.25">
      <c r="A100" s="124">
        <v>97</v>
      </c>
      <c r="B100" s="125" t="s">
        <v>5649</v>
      </c>
      <c r="C100" s="126" t="s">
        <v>5650</v>
      </c>
      <c r="D100" s="127" t="s">
        <v>5517</v>
      </c>
      <c r="E100" s="128">
        <f>[14]Summary!E100</f>
        <v>5</v>
      </c>
      <c r="F100" s="128">
        <f>[14]Summary!F100</f>
        <v>4</v>
      </c>
      <c r="G100" s="124">
        <f>[14]Summary!G100</f>
        <v>20</v>
      </c>
      <c r="H100" s="129">
        <f t="shared" si="1"/>
        <v>80</v>
      </c>
      <c r="I100" s="129" t="s">
        <v>5522</v>
      </c>
      <c r="J100" s="129"/>
    </row>
    <row r="101" spans="1:10" ht="23.25" customHeight="1">
      <c r="A101" s="69">
        <v>98</v>
      </c>
      <c r="B101" s="1" t="s">
        <v>5649</v>
      </c>
      <c r="C101" s="1" t="s">
        <v>5650</v>
      </c>
      <c r="D101" s="130" t="s">
        <v>5517</v>
      </c>
      <c r="E101" s="47">
        <f>[14]Summary!E101</f>
        <v>39</v>
      </c>
      <c r="F101" s="47">
        <f>[14]Summary!F101</f>
        <v>31.200000000000003</v>
      </c>
      <c r="G101" s="69">
        <f>[14]Summary!G101</f>
        <v>0</v>
      </c>
      <c r="H101" s="48">
        <f t="shared" si="1"/>
        <v>0</v>
      </c>
      <c r="I101" s="48" t="s">
        <v>5522</v>
      </c>
      <c r="J101" s="48"/>
    </row>
    <row r="102" spans="1:10" ht="23.25">
      <c r="A102" s="124">
        <v>99</v>
      </c>
      <c r="B102" s="125" t="s">
        <v>5620</v>
      </c>
      <c r="C102" s="126" t="s">
        <v>5818</v>
      </c>
      <c r="D102" s="127" t="s">
        <v>5517</v>
      </c>
      <c r="E102" s="128">
        <f>[14]Summary!E102</f>
        <v>39</v>
      </c>
      <c r="F102" s="128">
        <f>[14]Summary!F102</f>
        <v>31.200000000000003</v>
      </c>
      <c r="G102" s="124">
        <f>[14]Summary!G102</f>
        <v>25</v>
      </c>
      <c r="H102" s="129">
        <f t="shared" si="1"/>
        <v>780.00000000000011</v>
      </c>
      <c r="I102" s="129" t="s">
        <v>5518</v>
      </c>
      <c r="J102" s="129"/>
    </row>
    <row r="103" spans="1:10" ht="23.25">
      <c r="A103" s="69">
        <v>100</v>
      </c>
      <c r="B103" s="1" t="s">
        <v>5620</v>
      </c>
      <c r="C103" s="1" t="s">
        <v>5818</v>
      </c>
      <c r="D103" s="130" t="s">
        <v>5517</v>
      </c>
      <c r="E103" s="47">
        <f>[14]Summary!E103</f>
        <v>7.5</v>
      </c>
      <c r="F103" s="47">
        <f>[14]Summary!F103</f>
        <v>6</v>
      </c>
      <c r="G103" s="69">
        <f>[14]Summary!G103</f>
        <v>25</v>
      </c>
      <c r="H103" s="48">
        <f t="shared" si="1"/>
        <v>150</v>
      </c>
      <c r="I103" s="48" t="s">
        <v>5518</v>
      </c>
      <c r="J103" s="48"/>
    </row>
    <row r="104" spans="1:10" ht="23.25" customHeight="1">
      <c r="A104" s="124">
        <v>101</v>
      </c>
      <c r="B104" s="125" t="s">
        <v>5547</v>
      </c>
      <c r="C104" s="126" t="s">
        <v>230</v>
      </c>
      <c r="D104" s="127" t="s">
        <v>5517</v>
      </c>
      <c r="E104" s="128">
        <f>[14]Summary!E104</f>
        <v>80</v>
      </c>
      <c r="F104" s="128">
        <f>[14]Summary!F104</f>
        <v>64</v>
      </c>
      <c r="G104" s="124">
        <f>[14]Summary!G104</f>
        <v>0</v>
      </c>
      <c r="H104" s="129">
        <f t="shared" si="1"/>
        <v>0</v>
      </c>
      <c r="I104" s="129" t="s">
        <v>5522</v>
      </c>
      <c r="J104" s="129"/>
    </row>
    <row r="105" spans="1:10" ht="23.25">
      <c r="A105" s="69">
        <v>102</v>
      </c>
      <c r="B105" s="1" t="s">
        <v>5547</v>
      </c>
      <c r="C105" s="1" t="s">
        <v>230</v>
      </c>
      <c r="D105" s="130" t="s">
        <v>5517</v>
      </c>
      <c r="E105" s="47">
        <f>[14]Summary!E105</f>
        <v>11.5</v>
      </c>
      <c r="F105" s="47">
        <f>[14]Summary!F105</f>
        <v>9.2000000000000011</v>
      </c>
      <c r="G105" s="69">
        <f>[14]Summary!G105</f>
        <v>10</v>
      </c>
      <c r="H105" s="48">
        <f t="shared" si="1"/>
        <v>92.000000000000014</v>
      </c>
      <c r="I105" s="48" t="s">
        <v>5522</v>
      </c>
      <c r="J105" s="48"/>
    </row>
    <row r="106" spans="1:10" ht="23.25">
      <c r="A106" s="124">
        <v>103</v>
      </c>
      <c r="B106" s="125" t="s">
        <v>5547</v>
      </c>
      <c r="C106" s="126" t="s">
        <v>230</v>
      </c>
      <c r="D106" s="127" t="s">
        <v>5517</v>
      </c>
      <c r="E106" s="128">
        <f>[14]Summary!E106</f>
        <v>2</v>
      </c>
      <c r="F106" s="128">
        <f>[14]Summary!F106</f>
        <v>1.6</v>
      </c>
      <c r="G106" s="124">
        <f>[14]Summary!G106</f>
        <v>210</v>
      </c>
      <c r="H106" s="129">
        <f t="shared" si="1"/>
        <v>336</v>
      </c>
      <c r="I106" s="129" t="s">
        <v>5522</v>
      </c>
      <c r="J106" s="129"/>
    </row>
    <row r="107" spans="1:10" ht="23.25">
      <c r="A107" s="69">
        <v>104</v>
      </c>
      <c r="B107" s="1" t="s">
        <v>5547</v>
      </c>
      <c r="C107" s="1" t="s">
        <v>230</v>
      </c>
      <c r="D107" s="130" t="s">
        <v>5517</v>
      </c>
      <c r="E107" s="47">
        <f>[14]Summary!E107</f>
        <v>2</v>
      </c>
      <c r="F107" s="47">
        <f>[14]Summary!F107</f>
        <v>1.6</v>
      </c>
      <c r="G107" s="69">
        <f>[14]Summary!G107</f>
        <v>20</v>
      </c>
      <c r="H107" s="48">
        <f t="shared" si="1"/>
        <v>32</v>
      </c>
      <c r="I107" s="48" t="s">
        <v>5522</v>
      </c>
      <c r="J107" s="48"/>
    </row>
    <row r="108" spans="1:10" ht="23.25" customHeight="1">
      <c r="A108" s="124">
        <v>105</v>
      </c>
      <c r="B108" s="125" t="s">
        <v>5547</v>
      </c>
      <c r="C108" s="126" t="s">
        <v>230</v>
      </c>
      <c r="D108" s="127" t="s">
        <v>5517</v>
      </c>
      <c r="E108" s="128">
        <f>[14]Summary!E108</f>
        <v>2</v>
      </c>
      <c r="F108" s="128">
        <f>[14]Summary!F108</f>
        <v>1.6</v>
      </c>
      <c r="G108" s="124">
        <f>[14]Summary!G108</f>
        <v>22</v>
      </c>
      <c r="H108" s="129">
        <f t="shared" si="1"/>
        <v>35.200000000000003</v>
      </c>
      <c r="I108" s="129" t="s">
        <v>5522</v>
      </c>
      <c r="J108" s="129"/>
    </row>
    <row r="109" spans="1:10" ht="23.25">
      <c r="A109" s="69">
        <v>106</v>
      </c>
      <c r="B109" s="1" t="s">
        <v>5558</v>
      </c>
      <c r="C109" s="1" t="s">
        <v>232</v>
      </c>
      <c r="D109" s="130" t="s">
        <v>5517</v>
      </c>
      <c r="E109" s="47">
        <f>[14]Summary!E109</f>
        <v>2</v>
      </c>
      <c r="F109" s="47">
        <f>[14]Summary!F109</f>
        <v>1.6</v>
      </c>
      <c r="G109" s="69">
        <f>[14]Summary!G109</f>
        <v>20</v>
      </c>
      <c r="H109" s="48">
        <f t="shared" si="1"/>
        <v>32</v>
      </c>
      <c r="I109" s="48" t="s">
        <v>5522</v>
      </c>
      <c r="J109" s="48"/>
    </row>
    <row r="110" spans="1:10" ht="23.25">
      <c r="A110" s="124">
        <v>107</v>
      </c>
      <c r="B110" s="125" t="s">
        <v>5603</v>
      </c>
      <c r="C110" s="126" t="s">
        <v>5807</v>
      </c>
      <c r="D110" s="127" t="s">
        <v>5517</v>
      </c>
      <c r="E110" s="128">
        <f>[14]Summary!E110</f>
        <v>2</v>
      </c>
      <c r="F110" s="128">
        <f>[14]Summary!F110</f>
        <v>1.6</v>
      </c>
      <c r="G110" s="124">
        <f>[14]Summary!G110</f>
        <v>22</v>
      </c>
      <c r="H110" s="129">
        <f t="shared" si="1"/>
        <v>35.200000000000003</v>
      </c>
      <c r="I110" s="129" t="s">
        <v>5518</v>
      </c>
      <c r="J110" s="129"/>
    </row>
    <row r="111" spans="1:10" ht="23.25">
      <c r="A111" s="69">
        <v>108</v>
      </c>
      <c r="B111" s="1" t="s">
        <v>5558</v>
      </c>
      <c r="C111" s="1" t="s">
        <v>232</v>
      </c>
      <c r="D111" s="130" t="s">
        <v>5517</v>
      </c>
      <c r="E111" s="47">
        <f>[14]Summary!E111</f>
        <v>2</v>
      </c>
      <c r="F111" s="47">
        <f>[14]Summary!F111</f>
        <v>1.6</v>
      </c>
      <c r="G111" s="69">
        <f>[14]Summary!G111</f>
        <v>30</v>
      </c>
      <c r="H111" s="48">
        <f t="shared" si="1"/>
        <v>48</v>
      </c>
      <c r="I111" s="48" t="s">
        <v>5522</v>
      </c>
      <c r="J111" s="48"/>
    </row>
    <row r="112" spans="1:10" ht="23.25">
      <c r="A112" s="124">
        <v>109</v>
      </c>
      <c r="B112" s="125" t="s">
        <v>5558</v>
      </c>
      <c r="C112" s="126" t="s">
        <v>5816</v>
      </c>
      <c r="D112" s="127" t="s">
        <v>5517</v>
      </c>
      <c r="E112" s="128">
        <f>[14]Summary!E112</f>
        <v>2</v>
      </c>
      <c r="F112" s="128">
        <f>[14]Summary!F112</f>
        <v>1.6</v>
      </c>
      <c r="G112" s="124">
        <f>[14]Summary!G112</f>
        <v>21</v>
      </c>
      <c r="H112" s="129">
        <f t="shared" si="1"/>
        <v>33.6</v>
      </c>
      <c r="I112" s="129" t="s">
        <v>5518</v>
      </c>
      <c r="J112" s="129"/>
    </row>
    <row r="113" spans="1:10" ht="23.25">
      <c r="A113" s="69">
        <v>110</v>
      </c>
      <c r="B113" s="1" t="s">
        <v>5558</v>
      </c>
      <c r="C113" s="1" t="s">
        <v>232</v>
      </c>
      <c r="D113" s="130" t="s">
        <v>5517</v>
      </c>
      <c r="E113" s="47">
        <f>[14]Summary!E113</f>
        <v>24</v>
      </c>
      <c r="F113" s="47">
        <f>[14]Summary!F113</f>
        <v>19.200000000000003</v>
      </c>
      <c r="G113" s="69">
        <f>[14]Summary!G113</f>
        <v>0</v>
      </c>
      <c r="H113" s="48">
        <f t="shared" si="1"/>
        <v>0</v>
      </c>
      <c r="I113" s="48" t="s">
        <v>5522</v>
      </c>
      <c r="J113" s="48"/>
    </row>
    <row r="114" spans="1:10" ht="23.25" customHeight="1">
      <c r="A114" s="124">
        <v>111</v>
      </c>
      <c r="B114" s="125" t="s">
        <v>5651</v>
      </c>
      <c r="C114" s="126" t="s">
        <v>5824</v>
      </c>
      <c r="D114" s="127" t="s">
        <v>5517</v>
      </c>
      <c r="E114" s="128">
        <f>[14]Summary!E114</f>
        <v>24</v>
      </c>
      <c r="F114" s="128">
        <f>[14]Summary!F114</f>
        <v>19.200000000000003</v>
      </c>
      <c r="G114" s="124">
        <f>[14]Summary!G114</f>
        <v>0</v>
      </c>
      <c r="H114" s="129">
        <f t="shared" si="1"/>
        <v>0</v>
      </c>
      <c r="I114" s="129" t="s">
        <v>5518</v>
      </c>
      <c r="J114" s="129"/>
    </row>
    <row r="115" spans="1:10" ht="23.25">
      <c r="A115" s="69">
        <v>112</v>
      </c>
      <c r="B115" s="1" t="s">
        <v>5622</v>
      </c>
      <c r="C115" s="1" t="s">
        <v>5819</v>
      </c>
      <c r="D115" s="130" t="s">
        <v>5517</v>
      </c>
      <c r="E115" s="47">
        <f>[14]Summary!E115</f>
        <v>24</v>
      </c>
      <c r="F115" s="47">
        <f>[14]Summary!F115</f>
        <v>19.200000000000003</v>
      </c>
      <c r="G115" s="69">
        <f>[14]Summary!G115</f>
        <v>0</v>
      </c>
      <c r="H115" s="48">
        <f t="shared" si="1"/>
        <v>0</v>
      </c>
      <c r="I115" s="48" t="s">
        <v>5518</v>
      </c>
      <c r="J115" s="48"/>
    </row>
    <row r="116" spans="1:10" ht="23.25">
      <c r="A116" s="124">
        <v>113</v>
      </c>
      <c r="B116" s="125" t="s">
        <v>5549</v>
      </c>
      <c r="C116" s="126" t="s">
        <v>5550</v>
      </c>
      <c r="D116" s="127" t="s">
        <v>5517</v>
      </c>
      <c r="E116" s="128">
        <f>[14]Summary!E116</f>
        <v>24</v>
      </c>
      <c r="F116" s="128">
        <f>[14]Summary!F116</f>
        <v>19.200000000000003</v>
      </c>
      <c r="G116" s="124">
        <f>[14]Summary!G116</f>
        <v>0</v>
      </c>
      <c r="H116" s="129">
        <f t="shared" si="1"/>
        <v>0</v>
      </c>
      <c r="I116" s="129" t="s">
        <v>5522</v>
      </c>
      <c r="J116" s="129"/>
    </row>
    <row r="117" spans="1:10" ht="23.25" customHeight="1">
      <c r="A117" s="69">
        <v>114</v>
      </c>
      <c r="B117" s="1" t="s">
        <v>5536</v>
      </c>
      <c r="C117" s="1" t="s">
        <v>5652</v>
      </c>
      <c r="D117" s="130" t="s">
        <v>5517</v>
      </c>
      <c r="E117" s="47">
        <f>[14]Summary!E117</f>
        <v>24</v>
      </c>
      <c r="F117" s="47">
        <f>[14]Summary!F117</f>
        <v>19.200000000000003</v>
      </c>
      <c r="G117" s="69">
        <f>[14]Summary!G117</f>
        <v>16</v>
      </c>
      <c r="H117" s="48">
        <f t="shared" si="1"/>
        <v>307.20000000000005</v>
      </c>
      <c r="I117" s="48" t="s">
        <v>5522</v>
      </c>
      <c r="J117" s="48"/>
    </row>
    <row r="118" spans="1:10" ht="23.25">
      <c r="A118" s="124">
        <v>115</v>
      </c>
      <c r="B118" s="125" t="s">
        <v>5622</v>
      </c>
      <c r="C118" s="126" t="s">
        <v>5653</v>
      </c>
      <c r="D118" s="127" t="s">
        <v>5517</v>
      </c>
      <c r="E118" s="128">
        <f>[14]Summary!E118</f>
        <v>24</v>
      </c>
      <c r="F118" s="128">
        <f>[14]Summary!F118</f>
        <v>19.200000000000003</v>
      </c>
      <c r="G118" s="124">
        <f>[14]Summary!G118</f>
        <v>45</v>
      </c>
      <c r="H118" s="129">
        <f t="shared" si="1"/>
        <v>864.00000000000011</v>
      </c>
      <c r="I118" s="129" t="s">
        <v>5522</v>
      </c>
      <c r="J118" s="129"/>
    </row>
    <row r="119" spans="1:10" ht="23.25">
      <c r="A119" s="69">
        <v>116</v>
      </c>
      <c r="B119" s="1" t="s">
        <v>5547</v>
      </c>
      <c r="C119" s="1" t="s">
        <v>5810</v>
      </c>
      <c r="D119" s="130" t="s">
        <v>5517</v>
      </c>
      <c r="E119" s="47">
        <f>[14]Summary!E119</f>
        <v>3.25</v>
      </c>
      <c r="F119" s="47">
        <f>[14]Summary!F119</f>
        <v>2.6</v>
      </c>
      <c r="G119" s="69">
        <f>[14]Summary!G119</f>
        <v>0</v>
      </c>
      <c r="H119" s="48">
        <f t="shared" si="1"/>
        <v>0</v>
      </c>
      <c r="I119" s="48" t="s">
        <v>5518</v>
      </c>
      <c r="J119" s="48"/>
    </row>
    <row r="120" spans="1:10" ht="23.25">
      <c r="A120" s="124">
        <v>117</v>
      </c>
      <c r="B120" s="125" t="s">
        <v>5580</v>
      </c>
      <c r="C120" s="126" t="s">
        <v>5587</v>
      </c>
      <c r="D120" s="127" t="s">
        <v>5517</v>
      </c>
      <c r="E120" s="128">
        <f>[14]Summary!E120</f>
        <v>3</v>
      </c>
      <c r="F120" s="128">
        <f>[14]Summary!F120</f>
        <v>2.4000000000000004</v>
      </c>
      <c r="G120" s="124">
        <f>[14]Summary!G120</f>
        <v>35</v>
      </c>
      <c r="H120" s="129">
        <f t="shared" si="1"/>
        <v>84.000000000000014</v>
      </c>
      <c r="I120" s="129" t="s">
        <v>5522</v>
      </c>
      <c r="J120" s="129"/>
    </row>
    <row r="121" spans="1:10" ht="23.25" customHeight="1">
      <c r="A121" s="69">
        <v>118</v>
      </c>
      <c r="B121" s="1" t="s">
        <v>5580</v>
      </c>
      <c r="C121" s="1" t="s">
        <v>5587</v>
      </c>
      <c r="D121" s="130" t="s">
        <v>5517</v>
      </c>
      <c r="E121" s="47">
        <f>[14]Summary!E121</f>
        <v>7</v>
      </c>
      <c r="F121" s="47">
        <f>[14]Summary!F121</f>
        <v>5.6000000000000005</v>
      </c>
      <c r="G121" s="69">
        <f>[14]Summary!G121</f>
        <v>20</v>
      </c>
      <c r="H121" s="48">
        <f t="shared" si="1"/>
        <v>112.00000000000001</v>
      </c>
      <c r="I121" s="48" t="s">
        <v>5522</v>
      </c>
      <c r="J121" s="48"/>
    </row>
    <row r="122" spans="1:10" ht="23.25">
      <c r="A122" s="124">
        <v>119</v>
      </c>
      <c r="B122" s="125" t="s">
        <v>5580</v>
      </c>
      <c r="C122" s="126" t="s">
        <v>5587</v>
      </c>
      <c r="D122" s="127" t="s">
        <v>5517</v>
      </c>
      <c r="E122" s="128">
        <f>[14]Summary!E122</f>
        <v>7</v>
      </c>
      <c r="F122" s="128">
        <f>[14]Summary!F122</f>
        <v>5.6000000000000005</v>
      </c>
      <c r="G122" s="124">
        <f>[14]Summary!G122</f>
        <v>16</v>
      </c>
      <c r="H122" s="129">
        <f t="shared" si="1"/>
        <v>89.600000000000009</v>
      </c>
      <c r="I122" s="129" t="s">
        <v>5522</v>
      </c>
      <c r="J122" s="129"/>
    </row>
    <row r="123" spans="1:10" ht="23.25">
      <c r="A123" s="69">
        <v>120</v>
      </c>
      <c r="B123" s="1" t="s">
        <v>5615</v>
      </c>
      <c r="C123" s="1" t="s">
        <v>5616</v>
      </c>
      <c r="D123" s="130" t="s">
        <v>5517</v>
      </c>
      <c r="E123" s="47">
        <f>[14]Summary!E123</f>
        <v>7</v>
      </c>
      <c r="F123" s="47">
        <f>[14]Summary!F123</f>
        <v>5.6000000000000005</v>
      </c>
      <c r="G123" s="69">
        <f>[14]Summary!G123</f>
        <v>12</v>
      </c>
      <c r="H123" s="48">
        <f t="shared" si="1"/>
        <v>67.2</v>
      </c>
      <c r="I123" s="48" t="s">
        <v>5522</v>
      </c>
      <c r="J123" s="48"/>
    </row>
    <row r="124" spans="1:10" ht="23.25">
      <c r="A124" s="124">
        <v>121</v>
      </c>
      <c r="B124" s="125" t="s">
        <v>5558</v>
      </c>
      <c r="C124" s="126" t="s">
        <v>5816</v>
      </c>
      <c r="D124" s="127" t="s">
        <v>5517</v>
      </c>
      <c r="E124" s="128">
        <f>[14]Summary!E124</f>
        <v>7</v>
      </c>
      <c r="F124" s="128">
        <f>[14]Summary!F124</f>
        <v>5.6000000000000005</v>
      </c>
      <c r="G124" s="124">
        <f>[14]Summary!G124</f>
        <v>18</v>
      </c>
      <c r="H124" s="129">
        <f t="shared" si="1"/>
        <v>100.80000000000001</v>
      </c>
      <c r="I124" s="129" t="s">
        <v>5518</v>
      </c>
      <c r="J124" s="129"/>
    </row>
    <row r="125" spans="1:10" ht="23.25">
      <c r="A125" s="69">
        <v>122</v>
      </c>
      <c r="B125" s="1" t="s">
        <v>5558</v>
      </c>
      <c r="C125" s="1" t="s">
        <v>232</v>
      </c>
      <c r="D125" s="130" t="s">
        <v>5517</v>
      </c>
      <c r="E125" s="47">
        <f>[14]Summary!E125</f>
        <v>7</v>
      </c>
      <c r="F125" s="47">
        <f>[14]Summary!F125</f>
        <v>5.6000000000000005</v>
      </c>
      <c r="G125" s="69">
        <f>[14]Summary!G125</f>
        <v>20</v>
      </c>
      <c r="H125" s="48">
        <f t="shared" si="1"/>
        <v>112.00000000000001</v>
      </c>
      <c r="I125" s="48" t="s">
        <v>5522</v>
      </c>
      <c r="J125" s="48"/>
    </row>
    <row r="126" spans="1:10" ht="23.25">
      <c r="A126" s="124">
        <v>123</v>
      </c>
      <c r="B126" s="125" t="s">
        <v>5549</v>
      </c>
      <c r="C126" s="126" t="s">
        <v>5550</v>
      </c>
      <c r="D126" s="127" t="s">
        <v>5517</v>
      </c>
      <c r="E126" s="128">
        <f>[14]Summary!E126</f>
        <v>7</v>
      </c>
      <c r="F126" s="128">
        <f>[14]Summary!F126</f>
        <v>5.6000000000000005</v>
      </c>
      <c r="G126" s="124">
        <f>[14]Summary!G126</f>
        <v>20</v>
      </c>
      <c r="H126" s="129">
        <f t="shared" si="1"/>
        <v>112.00000000000001</v>
      </c>
      <c r="I126" s="129" t="s">
        <v>5522</v>
      </c>
      <c r="J126" s="129"/>
    </row>
    <row r="127" spans="1:10" ht="23.25" customHeight="1">
      <c r="A127" s="69">
        <v>124</v>
      </c>
      <c r="B127" s="1" t="s">
        <v>5549</v>
      </c>
      <c r="C127" s="1" t="s">
        <v>5550</v>
      </c>
      <c r="D127" s="130" t="s">
        <v>5517</v>
      </c>
      <c r="E127" s="47">
        <f>[14]Summary!E127</f>
        <v>7</v>
      </c>
      <c r="F127" s="47">
        <f>[14]Summary!F127</f>
        <v>5.6000000000000005</v>
      </c>
      <c r="G127" s="69">
        <f>[14]Summary!G127</f>
        <v>17</v>
      </c>
      <c r="H127" s="48">
        <f t="shared" si="1"/>
        <v>95.2</v>
      </c>
      <c r="I127" s="48" t="s">
        <v>5522</v>
      </c>
      <c r="J127" s="48"/>
    </row>
    <row r="128" spans="1:10" ht="23.25">
      <c r="A128" s="124">
        <v>125</v>
      </c>
      <c r="B128" s="125" t="s">
        <v>5549</v>
      </c>
      <c r="C128" s="126" t="s">
        <v>5550</v>
      </c>
      <c r="D128" s="127" t="s">
        <v>5517</v>
      </c>
      <c r="E128" s="128">
        <f>[14]Summary!E128</f>
        <v>9.5</v>
      </c>
      <c r="F128" s="128">
        <f>[14]Summary!F128</f>
        <v>7.6000000000000005</v>
      </c>
      <c r="G128" s="124">
        <f>[14]Summary!G128</f>
        <v>0</v>
      </c>
      <c r="H128" s="129">
        <f t="shared" si="1"/>
        <v>0</v>
      </c>
      <c r="I128" s="129" t="s">
        <v>5522</v>
      </c>
      <c r="J128" s="129"/>
    </row>
    <row r="129" spans="1:10" ht="23.25">
      <c r="A129" s="69">
        <v>126</v>
      </c>
      <c r="B129" s="1" t="s">
        <v>5549</v>
      </c>
      <c r="C129" s="1" t="s">
        <v>5550</v>
      </c>
      <c r="D129" s="130" t="s">
        <v>5517</v>
      </c>
      <c r="E129" s="47">
        <f>[14]Summary!E129</f>
        <v>9.5</v>
      </c>
      <c r="F129" s="47">
        <f>[14]Summary!F129</f>
        <v>7.6000000000000005</v>
      </c>
      <c r="G129" s="69">
        <f>[14]Summary!G129</f>
        <v>0</v>
      </c>
      <c r="H129" s="48">
        <f t="shared" si="1"/>
        <v>0</v>
      </c>
      <c r="I129" s="48" t="s">
        <v>5522</v>
      </c>
      <c r="J129" s="48"/>
    </row>
    <row r="130" spans="1:10" ht="23.25" customHeight="1">
      <c r="A130" s="124">
        <v>127</v>
      </c>
      <c r="B130" s="125" t="s">
        <v>5654</v>
      </c>
      <c r="C130" s="126" t="s">
        <v>5825</v>
      </c>
      <c r="D130" s="127" t="s">
        <v>5517</v>
      </c>
      <c r="E130" s="128">
        <f>[14]Summary!E130</f>
        <v>9.5</v>
      </c>
      <c r="F130" s="128">
        <f>[14]Summary!F130</f>
        <v>7.6000000000000005</v>
      </c>
      <c r="G130" s="124">
        <f>[14]Summary!G130</f>
        <v>0</v>
      </c>
      <c r="H130" s="129">
        <f t="shared" si="1"/>
        <v>0</v>
      </c>
      <c r="I130" s="129" t="s">
        <v>5518</v>
      </c>
      <c r="J130" s="129"/>
    </row>
    <row r="131" spans="1:10" ht="23.25">
      <c r="A131" s="69">
        <v>128</v>
      </c>
      <c r="B131" s="1" t="s">
        <v>5642</v>
      </c>
      <c r="C131" s="1" t="s">
        <v>210</v>
      </c>
      <c r="D131" s="130" t="s">
        <v>5517</v>
      </c>
      <c r="E131" s="47">
        <f>[14]Summary!E131</f>
        <v>9.5</v>
      </c>
      <c r="F131" s="47">
        <f>[14]Summary!F131</f>
        <v>7.6000000000000005</v>
      </c>
      <c r="G131" s="69">
        <f>[14]Summary!G131</f>
        <v>24</v>
      </c>
      <c r="H131" s="48">
        <f t="shared" si="1"/>
        <v>182.4</v>
      </c>
      <c r="I131" s="48" t="s">
        <v>5522</v>
      </c>
      <c r="J131" s="48"/>
    </row>
    <row r="132" spans="1:10" ht="23.25">
      <c r="A132" s="124">
        <v>129</v>
      </c>
      <c r="B132" s="125" t="s">
        <v>5642</v>
      </c>
      <c r="C132" s="126" t="s">
        <v>5826</v>
      </c>
      <c r="D132" s="127" t="s">
        <v>5517</v>
      </c>
      <c r="E132" s="128">
        <f>[14]Summary!E132</f>
        <v>9.5</v>
      </c>
      <c r="F132" s="128">
        <f>[14]Summary!F132</f>
        <v>7.6000000000000005</v>
      </c>
      <c r="G132" s="124">
        <f>[14]Summary!G132</f>
        <v>0</v>
      </c>
      <c r="H132" s="129">
        <f t="shared" si="1"/>
        <v>0</v>
      </c>
      <c r="I132" s="129" t="s">
        <v>5518</v>
      </c>
      <c r="J132" s="129"/>
    </row>
    <row r="133" spans="1:10" ht="23.25">
      <c r="A133" s="69">
        <v>130</v>
      </c>
      <c r="B133" s="1" t="s">
        <v>5574</v>
      </c>
      <c r="C133" s="1" t="s">
        <v>5538</v>
      </c>
      <c r="D133" s="130" t="s">
        <v>5517</v>
      </c>
      <c r="E133" s="47">
        <f>[14]Summary!E133</f>
        <v>9.5</v>
      </c>
      <c r="F133" s="47">
        <f>[14]Summary!F133</f>
        <v>7.6000000000000005</v>
      </c>
      <c r="G133" s="69">
        <f>[14]Summary!G133</f>
        <v>52</v>
      </c>
      <c r="H133" s="48">
        <f t="shared" si="1"/>
        <v>395.20000000000005</v>
      </c>
      <c r="I133" s="48" t="s">
        <v>5522</v>
      </c>
      <c r="J133" s="48"/>
    </row>
    <row r="134" spans="1:10" ht="23.25" customHeight="1">
      <c r="A134" s="124">
        <v>131</v>
      </c>
      <c r="B134" s="125" t="s">
        <v>5574</v>
      </c>
      <c r="C134" s="126" t="s">
        <v>5538</v>
      </c>
      <c r="D134" s="127" t="s">
        <v>5517</v>
      </c>
      <c r="E134" s="128">
        <f>[14]Summary!E134</f>
        <v>9.5</v>
      </c>
      <c r="F134" s="128">
        <f>[14]Summary!F134</f>
        <v>7.6000000000000005</v>
      </c>
      <c r="G134" s="124">
        <f>[14]Summary!G134</f>
        <v>21</v>
      </c>
      <c r="H134" s="129">
        <f t="shared" ref="H134:H159" si="2">F134*G134</f>
        <v>159.60000000000002</v>
      </c>
      <c r="I134" s="129" t="s">
        <v>5522</v>
      </c>
      <c r="J134" s="129"/>
    </row>
    <row r="135" spans="1:10" ht="23.25">
      <c r="A135" s="69">
        <v>132</v>
      </c>
      <c r="B135" s="1" t="s">
        <v>5574</v>
      </c>
      <c r="C135" s="1" t="s">
        <v>5538</v>
      </c>
      <c r="D135" s="130" t="s">
        <v>5517</v>
      </c>
      <c r="E135" s="47">
        <f>[14]Summary!E135</f>
        <v>9.5</v>
      </c>
      <c r="F135" s="47">
        <f>[14]Summary!F135</f>
        <v>7.6000000000000005</v>
      </c>
      <c r="G135" s="69">
        <f>[14]Summary!G135</f>
        <v>0</v>
      </c>
      <c r="H135" s="48">
        <f t="shared" si="2"/>
        <v>0</v>
      </c>
      <c r="I135" s="48" t="s">
        <v>5522</v>
      </c>
      <c r="J135" s="48"/>
    </row>
    <row r="136" spans="1:10" ht="23.25" customHeight="1">
      <c r="A136" s="124">
        <v>133</v>
      </c>
      <c r="B136" s="125" t="s">
        <v>5574</v>
      </c>
      <c r="C136" s="126" t="s">
        <v>5538</v>
      </c>
      <c r="D136" s="127" t="s">
        <v>5517</v>
      </c>
      <c r="E136" s="128">
        <f>[14]Summary!E136</f>
        <v>9.5</v>
      </c>
      <c r="F136" s="128">
        <f>[14]Summary!F136</f>
        <v>7.6000000000000005</v>
      </c>
      <c r="G136" s="124">
        <f>[14]Summary!G136</f>
        <v>38</v>
      </c>
      <c r="H136" s="129">
        <f t="shared" si="2"/>
        <v>288.8</v>
      </c>
      <c r="I136" s="129" t="s">
        <v>5522</v>
      </c>
      <c r="J136" s="129"/>
    </row>
    <row r="137" spans="1:10" ht="23.25">
      <c r="A137" s="69">
        <v>134</v>
      </c>
      <c r="B137" s="1" t="s">
        <v>5574</v>
      </c>
      <c r="C137" s="1" t="s">
        <v>5538</v>
      </c>
      <c r="D137" s="130" t="s">
        <v>5517</v>
      </c>
      <c r="E137" s="47">
        <f>[14]Summary!E137</f>
        <v>9.5</v>
      </c>
      <c r="F137" s="47">
        <f>[14]Summary!F137</f>
        <v>7.6000000000000005</v>
      </c>
      <c r="G137" s="69">
        <f>[14]Summary!G137</f>
        <v>17</v>
      </c>
      <c r="H137" s="48">
        <f t="shared" si="2"/>
        <v>129.20000000000002</v>
      </c>
      <c r="I137" s="48" t="s">
        <v>5522</v>
      </c>
      <c r="J137" s="48"/>
    </row>
    <row r="138" spans="1:10" ht="23.25">
      <c r="A138" s="124">
        <v>135</v>
      </c>
      <c r="B138" s="125" t="s">
        <v>5577</v>
      </c>
      <c r="C138" s="126" t="s">
        <v>5578</v>
      </c>
      <c r="D138" s="127" t="s">
        <v>5517</v>
      </c>
      <c r="E138" s="128">
        <f>[14]Summary!E138</f>
        <v>1.5</v>
      </c>
      <c r="F138" s="128">
        <f>[14]Summary!F138</f>
        <v>1.2000000000000002</v>
      </c>
      <c r="G138" s="124">
        <f>[14]Summary!G138</f>
        <v>30</v>
      </c>
      <c r="H138" s="129">
        <f t="shared" si="2"/>
        <v>36.000000000000007</v>
      </c>
      <c r="I138" s="129" t="s">
        <v>5522</v>
      </c>
      <c r="J138" s="129"/>
    </row>
    <row r="139" spans="1:10" ht="23.25">
      <c r="A139" s="69">
        <v>136</v>
      </c>
      <c r="B139" s="1" t="s">
        <v>5655</v>
      </c>
      <c r="C139" s="1" t="s">
        <v>5656</v>
      </c>
      <c r="D139" s="130" t="s">
        <v>5517</v>
      </c>
      <c r="E139" s="47">
        <f>[14]Summary!E139</f>
        <v>1.5</v>
      </c>
      <c r="F139" s="47">
        <f>[14]Summary!F139</f>
        <v>1.2000000000000002</v>
      </c>
      <c r="G139" s="69">
        <f>[14]Summary!G139</f>
        <v>61</v>
      </c>
      <c r="H139" s="48">
        <f t="shared" si="2"/>
        <v>73.200000000000017</v>
      </c>
      <c r="I139" s="48" t="s">
        <v>5522</v>
      </c>
      <c r="J139" s="48"/>
    </row>
    <row r="140" spans="1:10" ht="23.25">
      <c r="A140" s="124">
        <v>137</v>
      </c>
      <c r="B140" s="125" t="s">
        <v>5655</v>
      </c>
      <c r="C140" s="126" t="s">
        <v>5656</v>
      </c>
      <c r="D140" s="127" t="s">
        <v>5517</v>
      </c>
      <c r="E140" s="128">
        <f>[14]Summary!E140</f>
        <v>1.5</v>
      </c>
      <c r="F140" s="128">
        <f>[14]Summary!F140</f>
        <v>1.2000000000000002</v>
      </c>
      <c r="G140" s="124">
        <f>[14]Summary!G140</f>
        <v>35</v>
      </c>
      <c r="H140" s="129">
        <f t="shared" si="2"/>
        <v>42.000000000000007</v>
      </c>
      <c r="I140" s="129" t="s">
        <v>5522</v>
      </c>
      <c r="J140" s="129"/>
    </row>
    <row r="141" spans="1:10" ht="23.25">
      <c r="A141" s="69">
        <v>138</v>
      </c>
      <c r="B141" s="1" t="s">
        <v>5655</v>
      </c>
      <c r="C141" s="1" t="s">
        <v>5656</v>
      </c>
      <c r="D141" s="130" t="s">
        <v>5517</v>
      </c>
      <c r="E141" s="47">
        <f>[14]Summary!E141</f>
        <v>1.5</v>
      </c>
      <c r="F141" s="47">
        <f>[14]Summary!F141</f>
        <v>1.2000000000000002</v>
      </c>
      <c r="G141" s="69">
        <f>[14]Summary!G141</f>
        <v>38</v>
      </c>
      <c r="H141" s="48">
        <f t="shared" si="2"/>
        <v>45.600000000000009</v>
      </c>
      <c r="I141" s="48" t="s">
        <v>5522</v>
      </c>
      <c r="J141" s="48"/>
    </row>
    <row r="142" spans="1:10" ht="23.25" customHeight="1">
      <c r="A142" s="124">
        <v>139</v>
      </c>
      <c r="B142" s="125" t="s">
        <v>5655</v>
      </c>
      <c r="C142" s="126" t="s">
        <v>5656</v>
      </c>
      <c r="D142" s="127" t="s">
        <v>5517</v>
      </c>
      <c r="E142" s="128">
        <f>[14]Summary!E142</f>
        <v>1.5</v>
      </c>
      <c r="F142" s="128">
        <f>[14]Summary!F142</f>
        <v>1.2000000000000002</v>
      </c>
      <c r="G142" s="124">
        <f>[14]Summary!G142</f>
        <v>34</v>
      </c>
      <c r="H142" s="129">
        <f t="shared" si="2"/>
        <v>40.800000000000004</v>
      </c>
      <c r="I142" s="129" t="s">
        <v>5522</v>
      </c>
      <c r="J142" s="129"/>
    </row>
    <row r="143" spans="1:10" ht="23.25">
      <c r="A143" s="69">
        <v>140</v>
      </c>
      <c r="B143" s="1" t="s">
        <v>5657</v>
      </c>
      <c r="C143" s="1" t="s">
        <v>5658</v>
      </c>
      <c r="D143" s="130" t="s">
        <v>5517</v>
      </c>
      <c r="E143" s="47">
        <f>[14]Summary!E143</f>
        <v>1.5</v>
      </c>
      <c r="F143" s="47">
        <f>[14]Summary!F143</f>
        <v>1.2000000000000002</v>
      </c>
      <c r="G143" s="69">
        <f>[14]Summary!G143</f>
        <v>47</v>
      </c>
      <c r="H143" s="48">
        <f t="shared" si="2"/>
        <v>56.400000000000006</v>
      </c>
      <c r="I143" s="48" t="s">
        <v>5522</v>
      </c>
      <c r="J143" s="48"/>
    </row>
    <row r="144" spans="1:10" ht="23.25">
      <c r="A144" s="124">
        <v>141</v>
      </c>
      <c r="B144" s="125" t="s">
        <v>5568</v>
      </c>
      <c r="C144" s="126" t="s">
        <v>5569</v>
      </c>
      <c r="D144" s="127" t="s">
        <v>5517</v>
      </c>
      <c r="E144" s="128">
        <f>[14]Summary!E144</f>
        <v>3.75</v>
      </c>
      <c r="F144" s="128">
        <f>[14]Summary!F144</f>
        <v>3</v>
      </c>
      <c r="G144" s="124">
        <f>[14]Summary!G144</f>
        <v>15</v>
      </c>
      <c r="H144" s="129">
        <f t="shared" si="2"/>
        <v>45</v>
      </c>
      <c r="I144" s="129" t="s">
        <v>5522</v>
      </c>
      <c r="J144" s="129"/>
    </row>
    <row r="145" spans="1:10" ht="23.25" customHeight="1">
      <c r="A145" s="69">
        <v>142</v>
      </c>
      <c r="B145" s="1" t="s">
        <v>5568</v>
      </c>
      <c r="C145" s="1" t="s">
        <v>5569</v>
      </c>
      <c r="D145" s="130" t="s">
        <v>5517</v>
      </c>
      <c r="E145" s="47">
        <f>[14]Summary!E145</f>
        <v>3.75</v>
      </c>
      <c r="F145" s="47">
        <f>[14]Summary!F145</f>
        <v>3</v>
      </c>
      <c r="G145" s="69">
        <f>[14]Summary!G145</f>
        <v>37</v>
      </c>
      <c r="H145" s="48">
        <f t="shared" si="2"/>
        <v>111</v>
      </c>
      <c r="I145" s="48" t="s">
        <v>5522</v>
      </c>
      <c r="J145" s="48"/>
    </row>
    <row r="146" spans="1:10" ht="23.25">
      <c r="A146" s="124">
        <v>143</v>
      </c>
      <c r="B146" s="125" t="s">
        <v>5568</v>
      </c>
      <c r="C146" s="126" t="s">
        <v>5569</v>
      </c>
      <c r="D146" s="127" t="s">
        <v>5517</v>
      </c>
      <c r="E146" s="128">
        <f>[14]Summary!E146</f>
        <v>3.75</v>
      </c>
      <c r="F146" s="128">
        <f>[14]Summary!F146</f>
        <v>3</v>
      </c>
      <c r="G146" s="124">
        <f>[14]Summary!G146</f>
        <v>22</v>
      </c>
      <c r="H146" s="129">
        <f t="shared" si="2"/>
        <v>66</v>
      </c>
      <c r="I146" s="129" t="s">
        <v>5522</v>
      </c>
      <c r="J146" s="129"/>
    </row>
    <row r="147" spans="1:10" ht="23.25">
      <c r="A147" s="69">
        <v>144</v>
      </c>
      <c r="B147" s="1" t="s">
        <v>5568</v>
      </c>
      <c r="C147" s="1" t="s">
        <v>5569</v>
      </c>
      <c r="D147" s="130" t="s">
        <v>5517</v>
      </c>
      <c r="E147" s="47">
        <f>[14]Summary!E147</f>
        <v>3.75</v>
      </c>
      <c r="F147" s="47">
        <f>[14]Summary!F147</f>
        <v>3</v>
      </c>
      <c r="G147" s="69">
        <f>[14]Summary!G147</f>
        <v>38</v>
      </c>
      <c r="H147" s="48">
        <f t="shared" si="2"/>
        <v>114</v>
      </c>
      <c r="I147" s="48" t="s">
        <v>5522</v>
      </c>
      <c r="J147" s="48"/>
    </row>
    <row r="148" spans="1:10" ht="23.25">
      <c r="A148" s="124">
        <v>145</v>
      </c>
      <c r="B148" s="125" t="s">
        <v>5568</v>
      </c>
      <c r="C148" s="126" t="s">
        <v>5569</v>
      </c>
      <c r="D148" s="127" t="s">
        <v>5517</v>
      </c>
      <c r="E148" s="128">
        <f>[14]Summary!E148</f>
        <v>3.75</v>
      </c>
      <c r="F148" s="128">
        <f>[14]Summary!F148</f>
        <v>3</v>
      </c>
      <c r="G148" s="124">
        <f>[14]Summary!G148</f>
        <v>30</v>
      </c>
      <c r="H148" s="129">
        <f t="shared" si="2"/>
        <v>90</v>
      </c>
      <c r="I148" s="129" t="s">
        <v>5522</v>
      </c>
      <c r="J148" s="129"/>
    </row>
    <row r="149" spans="1:10" ht="23.25" customHeight="1">
      <c r="A149" s="69">
        <v>146</v>
      </c>
      <c r="B149" s="1" t="s">
        <v>5568</v>
      </c>
      <c r="C149" s="1" t="s">
        <v>5569</v>
      </c>
      <c r="D149" s="130" t="s">
        <v>5517</v>
      </c>
      <c r="E149" s="47">
        <f>[14]Summary!E149</f>
        <v>30</v>
      </c>
      <c r="F149" s="47">
        <f>[14]Summary!F149</f>
        <v>24</v>
      </c>
      <c r="G149" s="69">
        <f>[14]Summary!G149</f>
        <v>0</v>
      </c>
      <c r="H149" s="48">
        <f t="shared" si="2"/>
        <v>0</v>
      </c>
      <c r="I149" s="48" t="s">
        <v>5522</v>
      </c>
      <c r="J149" s="48"/>
    </row>
    <row r="150" spans="1:10" ht="23.25">
      <c r="A150" s="124">
        <v>147</v>
      </c>
      <c r="B150" s="125" t="s">
        <v>5657</v>
      </c>
      <c r="C150" s="126" t="s">
        <v>5658</v>
      </c>
      <c r="D150" s="127" t="s">
        <v>5517</v>
      </c>
      <c r="E150" s="128">
        <f>[14]Summary!E150</f>
        <v>4.75</v>
      </c>
      <c r="F150" s="128">
        <f>[14]Summary!F150</f>
        <v>3.8000000000000003</v>
      </c>
      <c r="G150" s="124">
        <f>[14]Summary!G150</f>
        <v>14</v>
      </c>
      <c r="H150" s="129">
        <f t="shared" si="2"/>
        <v>53.2</v>
      </c>
      <c r="I150" s="129" t="s">
        <v>5522</v>
      </c>
      <c r="J150" s="129"/>
    </row>
    <row r="151" spans="1:10" ht="23.25">
      <c r="A151" s="69">
        <v>148</v>
      </c>
      <c r="B151" s="1" t="s">
        <v>5657</v>
      </c>
      <c r="C151" s="1" t="s">
        <v>5658</v>
      </c>
      <c r="D151" s="130" t="s">
        <v>5517</v>
      </c>
      <c r="E151" s="47">
        <f>[14]Summary!E151</f>
        <v>4.75</v>
      </c>
      <c r="F151" s="47">
        <f>[14]Summary!F151</f>
        <v>3.8000000000000003</v>
      </c>
      <c r="G151" s="69">
        <f>[14]Summary!G151</f>
        <v>0</v>
      </c>
      <c r="H151" s="48">
        <f t="shared" si="2"/>
        <v>0</v>
      </c>
      <c r="I151" s="48" t="s">
        <v>5522</v>
      </c>
      <c r="J151" s="48"/>
    </row>
    <row r="152" spans="1:10" ht="23.25">
      <c r="A152" s="124">
        <v>149</v>
      </c>
      <c r="B152" s="125" t="s">
        <v>5657</v>
      </c>
      <c r="C152" s="126" t="s">
        <v>5658</v>
      </c>
      <c r="D152" s="127" t="s">
        <v>5517</v>
      </c>
      <c r="E152" s="128">
        <f>[14]Summary!E152</f>
        <v>4.75</v>
      </c>
      <c r="F152" s="128">
        <f>[14]Summary!F152</f>
        <v>3.8000000000000003</v>
      </c>
      <c r="G152" s="124">
        <f>[14]Summary!G152</f>
        <v>21</v>
      </c>
      <c r="H152" s="129">
        <f t="shared" si="2"/>
        <v>79.800000000000011</v>
      </c>
      <c r="I152" s="129" t="s">
        <v>5522</v>
      </c>
      <c r="J152" s="129"/>
    </row>
    <row r="153" spans="1:10" ht="23.25">
      <c r="A153" s="69">
        <v>150</v>
      </c>
      <c r="B153" s="1" t="s">
        <v>5657</v>
      </c>
      <c r="C153" s="1" t="s">
        <v>5658</v>
      </c>
      <c r="D153" s="130" t="s">
        <v>5517</v>
      </c>
      <c r="E153" s="47">
        <f>[14]Summary!E153</f>
        <v>4.75</v>
      </c>
      <c r="F153" s="47">
        <f>[14]Summary!F153</f>
        <v>3.8000000000000003</v>
      </c>
      <c r="G153" s="69">
        <f>[14]Summary!G153</f>
        <v>15</v>
      </c>
      <c r="H153" s="48">
        <f t="shared" si="2"/>
        <v>57.000000000000007</v>
      </c>
      <c r="I153" s="48" t="s">
        <v>5522</v>
      </c>
      <c r="J153" s="48"/>
    </row>
    <row r="154" spans="1:10" ht="23.25">
      <c r="A154" s="124">
        <v>151</v>
      </c>
      <c r="B154" s="125" t="s">
        <v>5657</v>
      </c>
      <c r="C154" s="126" t="s">
        <v>5658</v>
      </c>
      <c r="D154" s="127" t="s">
        <v>5517</v>
      </c>
      <c r="E154" s="128">
        <f>[14]Summary!E154</f>
        <v>4.75</v>
      </c>
      <c r="F154" s="128">
        <f>[14]Summary!F154</f>
        <v>3.8000000000000003</v>
      </c>
      <c r="G154" s="124">
        <f>[14]Summary!G154</f>
        <v>20</v>
      </c>
      <c r="H154" s="129">
        <f t="shared" si="2"/>
        <v>76</v>
      </c>
      <c r="I154" s="129" t="s">
        <v>5522</v>
      </c>
      <c r="J154" s="129"/>
    </row>
    <row r="155" spans="1:10" ht="23.25" customHeight="1">
      <c r="A155" s="69">
        <v>152</v>
      </c>
      <c r="B155" s="1" t="s">
        <v>5659</v>
      </c>
      <c r="C155" s="1" t="s">
        <v>5827</v>
      </c>
      <c r="D155" s="130" t="s">
        <v>5517</v>
      </c>
      <c r="E155" s="47">
        <f>[14]Summary!E155</f>
        <v>8.5</v>
      </c>
      <c r="F155" s="47">
        <f>[14]Summary!F155</f>
        <v>6.8000000000000007</v>
      </c>
      <c r="G155" s="69">
        <f>[14]Summary!G155</f>
        <v>33</v>
      </c>
      <c r="H155" s="48">
        <f t="shared" si="2"/>
        <v>224.40000000000003</v>
      </c>
      <c r="I155" s="48" t="s">
        <v>5518</v>
      </c>
      <c r="J155" s="48"/>
    </row>
    <row r="156" spans="1:10" ht="23.25">
      <c r="A156" s="124">
        <v>153</v>
      </c>
      <c r="B156" s="125" t="s">
        <v>5660</v>
      </c>
      <c r="C156" s="126" t="s">
        <v>5661</v>
      </c>
      <c r="D156" s="127" t="s">
        <v>5517</v>
      </c>
      <c r="E156" s="128">
        <f>[14]Summary!E156</f>
        <v>1</v>
      </c>
      <c r="F156" s="128">
        <f>[14]Summary!F156</f>
        <v>0.8</v>
      </c>
      <c r="G156" s="124">
        <f>[14]Summary!G156</f>
        <v>200</v>
      </c>
      <c r="H156" s="129">
        <f t="shared" si="2"/>
        <v>160</v>
      </c>
      <c r="I156" s="129" t="s">
        <v>5522</v>
      </c>
      <c r="J156" s="129"/>
    </row>
    <row r="157" spans="1:10" ht="23.25">
      <c r="A157" s="69">
        <v>154</v>
      </c>
      <c r="B157" s="1" t="s">
        <v>5648</v>
      </c>
      <c r="C157" s="1" t="s">
        <v>1625</v>
      </c>
      <c r="D157" s="130" t="s">
        <v>5517</v>
      </c>
      <c r="E157" s="47">
        <f>[14]Summary!E157</f>
        <v>1.25</v>
      </c>
      <c r="F157" s="47">
        <f>[14]Summary!F157</f>
        <v>1</v>
      </c>
      <c r="G157" s="69">
        <f>[14]Summary!G157</f>
        <v>1011</v>
      </c>
      <c r="H157" s="48">
        <f t="shared" si="2"/>
        <v>1011</v>
      </c>
      <c r="I157" s="48" t="s">
        <v>5522</v>
      </c>
      <c r="J157" s="48"/>
    </row>
    <row r="158" spans="1:10" ht="23.25" customHeight="1">
      <c r="A158" s="124">
        <v>155</v>
      </c>
      <c r="B158" s="125" t="s">
        <v>5648</v>
      </c>
      <c r="C158" s="126" t="s">
        <v>1625</v>
      </c>
      <c r="D158" s="127" t="s">
        <v>5517</v>
      </c>
      <c r="E158" s="128">
        <f>[14]Summary!E158</f>
        <v>3.5</v>
      </c>
      <c r="F158" s="128">
        <f>[14]Summary!F158</f>
        <v>2.8000000000000003</v>
      </c>
      <c r="G158" s="124">
        <f>[14]Summary!G158</f>
        <v>63</v>
      </c>
      <c r="H158" s="129">
        <f t="shared" si="2"/>
        <v>176.4</v>
      </c>
      <c r="I158" s="129" t="s">
        <v>5522</v>
      </c>
      <c r="J158" s="129"/>
    </row>
    <row r="159" spans="1:10" ht="23.25">
      <c r="A159" s="69">
        <v>156</v>
      </c>
      <c r="B159" s="1" t="s">
        <v>5648</v>
      </c>
      <c r="C159" s="1" t="s">
        <v>1625</v>
      </c>
      <c r="D159" s="130" t="s">
        <v>5517</v>
      </c>
      <c r="E159" s="47">
        <f>[14]Summary!E159</f>
        <v>4.25</v>
      </c>
      <c r="F159" s="47">
        <f>[14]Summary!F159</f>
        <v>3.4000000000000004</v>
      </c>
      <c r="G159" s="69">
        <f>[14]Summary!G159</f>
        <v>4</v>
      </c>
      <c r="H159" s="48">
        <f t="shared" si="2"/>
        <v>13.600000000000001</v>
      </c>
      <c r="I159" s="48" t="s">
        <v>5522</v>
      </c>
      <c r="J159" s="48"/>
    </row>
    <row r="160" spans="1:10" ht="23.25">
      <c r="A160" s="124">
        <v>157</v>
      </c>
      <c r="B160" s="125" t="s">
        <v>5662</v>
      </c>
      <c r="C160" s="126" t="s">
        <v>5663</v>
      </c>
      <c r="D160" s="127" t="s">
        <v>5517</v>
      </c>
      <c r="E160" s="128">
        <f>[14]Summary!E160</f>
        <v>5.75</v>
      </c>
      <c r="F160" s="128">
        <f>[14]Summary!F160</f>
        <v>4.6000000000000005</v>
      </c>
      <c r="G160" s="124">
        <f>[14]Summary!G160</f>
        <v>0</v>
      </c>
      <c r="H160" s="129">
        <f>F160*G160</f>
        <v>0</v>
      </c>
      <c r="I160" s="129" t="s">
        <v>5522</v>
      </c>
      <c r="J160" s="129"/>
    </row>
    <row r="161" spans="1:10" ht="27.75" customHeight="1">
      <c r="A161" s="69">
        <v>158</v>
      </c>
      <c r="B161" s="1" t="s">
        <v>5561</v>
      </c>
      <c r="C161" s="1" t="s">
        <v>5812</v>
      </c>
      <c r="D161" s="130" t="s">
        <v>5517</v>
      </c>
      <c r="E161" s="47">
        <f>[14]Summary!E161</f>
        <v>1</v>
      </c>
      <c r="F161" s="47">
        <f>[14]Summary!F161</f>
        <v>0.8</v>
      </c>
      <c r="G161" s="69">
        <f>[14]Summary!G161</f>
        <v>1044</v>
      </c>
      <c r="H161" s="48">
        <f>F161*G161</f>
        <v>835.2</v>
      </c>
      <c r="I161" s="48" t="s">
        <v>5828</v>
      </c>
      <c r="J161" s="48"/>
    </row>
    <row r="163" spans="1:10" ht="27.75" customHeight="1">
      <c r="A163" s="299" t="s">
        <v>7</v>
      </c>
      <c r="B163" s="299"/>
      <c r="C163" s="299"/>
      <c r="D163" s="299"/>
      <c r="E163" s="299"/>
      <c r="F163" s="231"/>
      <c r="G163" s="217">
        <f>SUM(G4:G162)</f>
        <v>7614</v>
      </c>
      <c r="H163" s="219">
        <f>SUM(H4:H161)</f>
        <v>28455.759999999998</v>
      </c>
      <c r="I163" s="225"/>
      <c r="J163" s="225"/>
    </row>
  </sheetData>
  <autoFilter ref="A3:J160" xr:uid="{D8187650-6085-4A82-BC4B-56407B52AC81}"/>
  <mergeCells count="3">
    <mergeCell ref="A1:J1"/>
    <mergeCell ref="A2:J2"/>
    <mergeCell ref="A163:E163"/>
  </mergeCells>
  <conditionalFormatting sqref="A4:A161">
    <cfRule type="expression" dxfId="2" priority="3">
      <formula>AND(#REF!&lt;&gt;"",OR(ISNUMBER(SEARCH(#REF!,$A4:$D4,1))))</formula>
    </cfRule>
  </conditionalFormatting>
  <conditionalFormatting sqref="D4:D161">
    <cfRule type="expression" dxfId="1" priority="1">
      <formula>AND(#REF!&lt;&gt;"",OR(ISNUMBER(SEARCH(#REF!,$A4:$E4,1))))</formula>
    </cfRule>
  </conditionalFormatting>
  <conditionalFormatting sqref="H4:J161">
    <cfRule type="expression" dxfId="0" priority="5">
      <formula>AND(#REF!&lt;&gt;"",OR(ISNUMBER(SEARCH(#REF!,$A4:$D4,1))))</formula>
    </cfRule>
  </conditionalFormatting>
  <pageMargins left="0.25" right="0.25" top="0.75" bottom="0.75" header="0.3" footer="0.3"/>
  <pageSetup paperSize="9" scale="42"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13</vt:i4>
      </vt:variant>
    </vt:vector>
  </HeadingPairs>
  <TitlesOfParts>
    <vt:vector size="28" baseType="lpstr">
      <vt:lpstr>Summary</vt:lpstr>
      <vt:lpstr>Steel Store</vt:lpstr>
      <vt:lpstr>General Store</vt:lpstr>
      <vt:lpstr>Electrical Equipment Store</vt:lpstr>
      <vt:lpstr>Plumbing Store</vt:lpstr>
      <vt:lpstr>PVC Store</vt:lpstr>
      <vt:lpstr>Paint Store</vt:lpstr>
      <vt:lpstr>AC Unit Store</vt:lpstr>
      <vt:lpstr>Furniture Store</vt:lpstr>
      <vt:lpstr>Work Tools Store   </vt:lpstr>
      <vt:lpstr>Sandwich , Plywood ,Vinyl</vt:lpstr>
      <vt:lpstr>Safety Store</vt:lpstr>
      <vt:lpstr>General Construction Store</vt:lpstr>
      <vt:lpstr>Cleaning Materials Store </vt:lpstr>
      <vt:lpstr>Outside Area Cables</vt:lpstr>
      <vt:lpstr>'AC Unit Store'!Print_Titles</vt:lpstr>
      <vt:lpstr>'Electrical Equipment Store'!Print_Titles</vt:lpstr>
      <vt:lpstr>'Furniture Store'!Print_Titles</vt:lpstr>
      <vt:lpstr>'General Construction Store'!Print_Titles</vt:lpstr>
      <vt:lpstr>'General Store'!Print_Titles</vt:lpstr>
      <vt:lpstr>'Outside Area Cables'!Print_Titles</vt:lpstr>
      <vt:lpstr>'Paint Store'!Print_Titles</vt:lpstr>
      <vt:lpstr>'Plumbing Store'!Print_Titles</vt:lpstr>
      <vt:lpstr>'PVC Store'!Print_Titles</vt:lpstr>
      <vt:lpstr>'Safety Store'!Print_Titles</vt:lpstr>
      <vt:lpstr>'Sandwich , Plywood ,Vinyl'!Print_Titles</vt:lpstr>
      <vt:lpstr>'Steel Store'!Print_Titles</vt:lpstr>
      <vt:lpstr>'Work Tools Store   '!Print_Titles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Yacoub Yousif</dc:creator>
  <cp:lastModifiedBy>Yacoub Yousif</cp:lastModifiedBy>
  <cp:lastPrinted>2025-07-26T13:21:37Z</cp:lastPrinted>
  <dcterms:created xsi:type="dcterms:W3CDTF">2015-06-05T18:17:20Z</dcterms:created>
  <dcterms:modified xsi:type="dcterms:W3CDTF">2026-04-11T07:49:36Z</dcterms:modified>
</cp:coreProperties>
</file>